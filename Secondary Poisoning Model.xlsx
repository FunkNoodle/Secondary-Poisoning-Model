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56a2b608891fd93/!PostDoc1/(STUDY2) Secondary Poisoning Model/!Submission 1 EST/"/>
    </mc:Choice>
  </mc:AlternateContent>
  <xr:revisionPtr revIDLastSave="18" documentId="13_ncr:1_{AE2FF214-DF85-4DFB-9DBA-C85AB7E541BD}" xr6:coauthVersionLast="47" xr6:coauthVersionMax="47" xr10:uidLastSave="{5DA916DF-F198-4FD9-8791-888E1707B0CC}"/>
  <bookViews>
    <workbookView xWindow="-103" yWindow="-103" windowWidth="27634" windowHeight="16629" xr2:uid="{00000000-000D-0000-FFFF-FFFF00000000}"/>
  </bookViews>
  <sheets>
    <sheet name="Model" sheetId="1" r:id="rId1"/>
    <sheet name="Chemical Data" sheetId="2" r:id="rId2"/>
  </sheets>
  <definedNames>
    <definedName name="ChemicalNames">OFFSET('Chemical Data'!$A$5,0,0,MAX(1,COUNTA('Chemical Data'!$A$5:$A$500)),1)</definedName>
    <definedName name="_xlnm.Print_Area" localSheetId="0">Model!$A$1:$P$136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5" i="2" l="1"/>
  <c r="J64" i="2"/>
  <c r="F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F45" i="2"/>
  <c r="J44" i="2"/>
  <c r="J43" i="2"/>
  <c r="J42" i="2"/>
  <c r="J41" i="2"/>
  <c r="F41" i="2"/>
  <c r="J40" i="2"/>
  <c r="F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F26" i="2"/>
  <c r="J25" i="2"/>
  <c r="J24" i="2"/>
  <c r="J23" i="2"/>
  <c r="J22" i="2"/>
  <c r="J21" i="2"/>
  <c r="J20" i="2"/>
  <c r="J19" i="2"/>
  <c r="J18" i="2"/>
  <c r="J17" i="2"/>
  <c r="J16" i="2"/>
  <c r="J15" i="2"/>
  <c r="J14" i="2"/>
  <c r="F14" i="2"/>
  <c r="J13" i="2"/>
  <c r="J12" i="2"/>
  <c r="F12" i="2"/>
  <c r="J11" i="2"/>
  <c r="J10" i="2"/>
  <c r="J9" i="2"/>
  <c r="F9" i="2"/>
  <c r="J8" i="2"/>
  <c r="J7" i="2"/>
  <c r="J6" i="2"/>
  <c r="J5" i="2"/>
  <c r="G105" i="1"/>
  <c r="F105" i="1"/>
  <c r="E105" i="1"/>
  <c r="D105" i="1"/>
  <c r="G92" i="1"/>
  <c r="F92" i="1"/>
  <c r="E92" i="1"/>
  <c r="G85" i="1"/>
  <c r="G120" i="1" s="1"/>
  <c r="F85" i="1"/>
  <c r="E85" i="1"/>
  <c r="D85" i="1"/>
  <c r="D114" i="1" s="1"/>
  <c r="D71" i="1"/>
  <c r="D64" i="1"/>
  <c r="D30" i="1" s="1"/>
  <c r="F30" i="1" s="1"/>
  <c r="N31" i="1"/>
  <c r="M31" i="1"/>
  <c r="L31" i="1"/>
  <c r="G23" i="1"/>
  <c r="G22" i="1"/>
  <c r="G21" i="1"/>
  <c r="G20" i="1"/>
  <c r="G18" i="1"/>
  <c r="V17" i="1"/>
  <c r="U17" i="1"/>
  <c r="T17" i="1"/>
  <c r="S17" i="1"/>
  <c r="G17" i="1"/>
  <c r="G16" i="1"/>
  <c r="G15" i="1"/>
  <c r="O13" i="1"/>
  <c r="V24" i="1" s="1"/>
  <c r="N13" i="1"/>
  <c r="U24" i="1" s="1"/>
  <c r="M13" i="1"/>
  <c r="T24" i="1" s="1"/>
  <c r="L13" i="1"/>
  <c r="S24" i="1" s="1"/>
  <c r="G29" i="1" l="1"/>
  <c r="D25" i="1"/>
  <c r="F25" i="1" s="1"/>
  <c r="L121" i="1" s="1"/>
  <c r="G25" i="1"/>
  <c r="D26" i="1"/>
  <c r="F26" i="1" s="1"/>
  <c r="M127" i="1" s="1"/>
  <c r="G26" i="1"/>
  <c r="D27" i="1"/>
  <c r="F27" i="1" s="1"/>
  <c r="G27" i="1"/>
  <c r="G28" i="1"/>
  <c r="D31" i="1"/>
  <c r="D28" i="1"/>
  <c r="F28" i="1" s="1"/>
  <c r="N126" i="1" s="1"/>
  <c r="D29" i="1"/>
  <c r="F29" i="1" s="1"/>
  <c r="O125" i="1" s="1"/>
  <c r="D20" i="1"/>
  <c r="F20" i="1" s="1"/>
  <c r="D18" i="1"/>
  <c r="F18" i="1" s="1"/>
  <c r="D69" i="1" s="1"/>
  <c r="D72" i="1" s="1"/>
  <c r="D17" i="1"/>
  <c r="F17" i="1" s="1"/>
  <c r="D21" i="1"/>
  <c r="F21" i="1" s="1"/>
  <c r="F95" i="1" s="1"/>
  <c r="D23" i="1"/>
  <c r="F23" i="1" s="1"/>
  <c r="D15" i="1"/>
  <c r="F15" i="1" s="1"/>
  <c r="J37" i="1" s="1"/>
  <c r="D22" i="1"/>
  <c r="F22" i="1" s="1"/>
  <c r="K126" i="1" s="1"/>
  <c r="D65" i="1"/>
  <c r="D67" i="1"/>
  <c r="P126" i="1"/>
  <c r="E111" i="1"/>
  <c r="E88" i="1"/>
  <c r="E95" i="1"/>
  <c r="E87" i="1"/>
  <c r="M30" i="1"/>
  <c r="E122" i="1"/>
  <c r="E124" i="1" s="1"/>
  <c r="E128" i="1"/>
  <c r="E103" i="1"/>
  <c r="E89" i="1"/>
  <c r="E104" i="1"/>
  <c r="E106" i="1" s="1"/>
  <c r="M25" i="1"/>
  <c r="M34" i="1"/>
  <c r="E120" i="1"/>
  <c r="M29" i="1"/>
  <c r="E127" i="1"/>
  <c r="E123" i="1"/>
  <c r="E94" i="1"/>
  <c r="F111" i="1"/>
  <c r="F106" i="1"/>
  <c r="F88" i="1"/>
  <c r="F127" i="1"/>
  <c r="N30" i="1"/>
  <c r="F122" i="1"/>
  <c r="F103" i="1"/>
  <c r="F89" i="1"/>
  <c r="F104" i="1"/>
  <c r="N25" i="1"/>
  <c r="F120" i="1"/>
  <c r="F93" i="1"/>
  <c r="F123" i="1" s="1"/>
  <c r="N29" i="1"/>
  <c r="N34" i="1"/>
  <c r="F94" i="1"/>
  <c r="N121" i="1"/>
  <c r="P122" i="1"/>
  <c r="O122" i="1"/>
  <c r="N122" i="1"/>
  <c r="L123" i="1"/>
  <c r="O121" i="1"/>
  <c r="L26" i="1"/>
  <c r="E112" i="1"/>
  <c r="F112" i="1"/>
  <c r="F113" i="1" s="1"/>
  <c r="O26" i="1"/>
  <c r="L124" i="1"/>
  <c r="F87" i="1"/>
  <c r="E114" i="1"/>
  <c r="E91" i="1"/>
  <c r="E121" i="1" s="1"/>
  <c r="F114" i="1"/>
  <c r="F91" i="1"/>
  <c r="F121" i="1" s="1"/>
  <c r="F124" i="1" s="1"/>
  <c r="G114" i="1"/>
  <c r="O126" i="1"/>
  <c r="G91" i="1"/>
  <c r="G121" i="1" s="1"/>
  <c r="G124" i="1" s="1"/>
  <c r="D111" i="1"/>
  <c r="D112" i="1" s="1"/>
  <c r="D120" i="1"/>
  <c r="D92" i="1"/>
  <c r="D122" i="1" s="1"/>
  <c r="D124" i="1" s="1"/>
  <c r="D91" i="1"/>
  <c r="D121" i="1" s="1"/>
  <c r="D87" i="1"/>
  <c r="L30" i="1"/>
  <c r="L27" i="1"/>
  <c r="D103" i="1"/>
  <c r="D94" i="1"/>
  <c r="D89" i="1"/>
  <c r="D104" i="1"/>
  <c r="D106" i="1" s="1"/>
  <c r="D88" i="1"/>
  <c r="L34" i="1"/>
  <c r="D127" i="1"/>
  <c r="D128" i="1" s="1"/>
  <c r="D123" i="1"/>
  <c r="D90" i="1"/>
  <c r="L25" i="1"/>
  <c r="L29" i="1"/>
  <c r="D95" i="1"/>
  <c r="D93" i="1"/>
  <c r="M124" i="1"/>
  <c r="P121" i="1"/>
  <c r="P123" i="1"/>
  <c r="N123" i="1"/>
  <c r="O123" i="1"/>
  <c r="E93" i="1"/>
  <c r="M121" i="1"/>
  <c r="G122" i="1"/>
  <c r="G111" i="1"/>
  <c r="G112" i="1" s="1"/>
  <c r="G106" i="1"/>
  <c r="G127" i="1"/>
  <c r="O30" i="1"/>
  <c r="G128" i="1"/>
  <c r="G103" i="1"/>
  <c r="O24" i="1"/>
  <c r="G94" i="1"/>
  <c r="G89" i="1"/>
  <c r="G104" i="1"/>
  <c r="G93" i="1"/>
  <c r="O34" i="1"/>
  <c r="G123" i="1"/>
  <c r="O28" i="1"/>
  <c r="G88" i="1"/>
  <c r="M26" i="1"/>
  <c r="N26" i="1"/>
  <c r="D86" i="1"/>
  <c r="L33" i="1" s="1"/>
  <c r="E86" i="1"/>
  <c r="E90" i="1" s="1"/>
  <c r="F86" i="1"/>
  <c r="F90" i="1" s="1"/>
  <c r="G86" i="1"/>
  <c r="O33" i="1" s="1"/>
  <c r="G87" i="1"/>
  <c r="G30" i="1"/>
  <c r="D16" i="1"/>
  <c r="M125" i="1" l="1"/>
  <c r="M122" i="1"/>
  <c r="D74" i="1"/>
  <c r="L122" i="1"/>
  <c r="N125" i="1"/>
  <c r="L127" i="1"/>
  <c r="P125" i="1"/>
  <c r="L125" i="1"/>
  <c r="G95" i="1"/>
  <c r="F128" i="1"/>
  <c r="K121" i="1"/>
  <c r="K125" i="1"/>
  <c r="K122" i="1"/>
  <c r="K127" i="1"/>
  <c r="K124" i="1"/>
  <c r="K123" i="1"/>
  <c r="G113" i="1"/>
  <c r="D113" i="1"/>
  <c r="G90" i="1"/>
  <c r="N33" i="1"/>
  <c r="M33" i="1"/>
  <c r="H24" i="1"/>
  <c r="E113" i="1"/>
  <c r="F16" i="1"/>
  <c r="F19" i="1" s="1"/>
  <c r="D75" i="1" s="1"/>
  <c r="D19" i="1"/>
  <c r="D66" i="1" l="1"/>
  <c r="D107" i="1" s="1"/>
  <c r="D76" i="1"/>
  <c r="D79" i="1" s="1"/>
  <c r="D77" i="1"/>
  <c r="D80" i="1" s="1"/>
  <c r="D78" i="1"/>
  <c r="D81" i="1" s="1"/>
  <c r="D96" i="1"/>
  <c r="D98" i="1" s="1"/>
  <c r="E129" i="1"/>
  <c r="E130" i="1" s="1"/>
  <c r="D68" i="1"/>
  <c r="D70" i="1" s="1"/>
  <c r="D73" i="1" s="1"/>
  <c r="N24" i="1"/>
  <c r="M24" i="1"/>
  <c r="F129" i="1"/>
  <c r="F130" i="1" s="1"/>
  <c r="E96" i="1"/>
  <c r="G96" i="1"/>
  <c r="G97" i="1" s="1"/>
  <c r="F107" i="1"/>
  <c r="G129" i="1"/>
  <c r="G130" i="1" s="1"/>
  <c r="D115" i="1"/>
  <c r="D116" i="1" s="1"/>
  <c r="E99" i="1"/>
  <c r="E97" i="1"/>
  <c r="E98" i="1"/>
  <c r="E115" i="1"/>
  <c r="E116" i="1" s="1"/>
  <c r="F96" i="1"/>
  <c r="L24" i="1"/>
  <c r="G107" i="1"/>
  <c r="E107" i="1"/>
  <c r="F115" i="1"/>
  <c r="F116" i="1" s="1"/>
  <c r="D129" i="1"/>
  <c r="D130" i="1" s="1"/>
  <c r="G115" i="1"/>
  <c r="G116" i="1" s="1"/>
  <c r="O25" i="1" s="1"/>
  <c r="G98" i="1" l="1"/>
  <c r="G99" i="1"/>
  <c r="D99" i="1"/>
  <c r="D97" i="1"/>
  <c r="G100" i="1"/>
  <c r="G102" i="1" s="1"/>
  <c r="O32" i="1" s="1"/>
  <c r="G101" i="1"/>
  <c r="G126" i="1" s="1"/>
  <c r="G125" i="1"/>
  <c r="F98" i="1"/>
  <c r="F97" i="1"/>
  <c r="F99" i="1"/>
  <c r="E100" i="1"/>
  <c r="E102" i="1" s="1"/>
  <c r="E101" i="1"/>
  <c r="E126" i="1" s="1"/>
  <c r="E125" i="1"/>
  <c r="O29" i="1"/>
  <c r="D100" i="1" l="1"/>
  <c r="D102" i="1" s="1"/>
  <c r="L28" i="1" s="1"/>
  <c r="D101" i="1"/>
  <c r="D126" i="1" s="1"/>
  <c r="D125" i="1"/>
  <c r="M32" i="1"/>
  <c r="M28" i="1"/>
  <c r="N27" i="1"/>
  <c r="F101" i="1"/>
  <c r="F126" i="1" s="1"/>
  <c r="F100" i="1"/>
  <c r="F102" i="1" s="1"/>
  <c r="F125" i="1"/>
  <c r="O31" i="1"/>
  <c r="O35" i="1" s="1"/>
  <c r="M27" i="1" l="1"/>
  <c r="L32" i="1"/>
  <c r="L35" i="1" s="1"/>
  <c r="L14" i="1" s="1"/>
  <c r="M35" i="1"/>
  <c r="N32" i="1"/>
  <c r="O27" i="1"/>
  <c r="N28" i="1"/>
  <c r="N35" i="1" s="1"/>
  <c r="L16" i="1" l="1"/>
  <c r="D134" i="1"/>
  <c r="L15" i="1"/>
  <c r="S13" i="1"/>
  <c r="L20" i="1"/>
  <c r="M14" i="1"/>
  <c r="E134" i="1" l="1"/>
  <c r="M16" i="1"/>
  <c r="M15" i="1"/>
  <c r="M17" i="1"/>
  <c r="T13" i="1"/>
  <c r="N14" i="1"/>
  <c r="S15" i="1"/>
  <c r="S25" i="1"/>
  <c r="S16" i="1"/>
  <c r="S23" i="1" s="1"/>
  <c r="S14" i="1"/>
  <c r="M20" i="1"/>
  <c r="D136" i="1"/>
  <c r="D135" i="1"/>
  <c r="T15" i="1" l="1"/>
  <c r="T25" i="1"/>
  <c r="T16" i="1"/>
  <c r="T23" i="1" s="1"/>
  <c r="T14" i="1"/>
  <c r="N15" i="1"/>
  <c r="N17" i="1"/>
  <c r="U13" i="1"/>
  <c r="F134" i="1"/>
  <c r="N16" i="1"/>
  <c r="O14" i="1"/>
  <c r="O20" i="1" s="1"/>
  <c r="N20" i="1"/>
  <c r="E136" i="1"/>
  <c r="E135" i="1"/>
  <c r="F135" i="1" l="1"/>
  <c r="F136" i="1"/>
  <c r="O15" i="1"/>
  <c r="V13" i="1"/>
  <c r="O17" i="1"/>
  <c r="O16" i="1"/>
  <c r="G134" i="1"/>
  <c r="U15" i="1"/>
  <c r="U25" i="1"/>
  <c r="U16" i="1"/>
  <c r="U23" i="1" s="1"/>
  <c r="U14" i="1"/>
  <c r="V15" i="1" l="1"/>
  <c r="V25" i="1"/>
  <c r="V14" i="1"/>
  <c r="V16" i="1"/>
  <c r="V23" i="1" s="1"/>
  <c r="S21" i="1" s="1"/>
  <c r="S20" i="1" s="1"/>
  <c r="S22" i="1" s="1"/>
  <c r="G136" i="1"/>
  <c r="G135" i="1"/>
  <c r="L18" i="1" s="1"/>
  <c r="R26" i="1" l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R75" i="1" s="1"/>
  <c r="R76" i="1" s="1"/>
  <c r="R77" i="1" s="1"/>
  <c r="R78" i="1" s="1"/>
  <c r="R79" i="1" s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R100" i="1" s="1"/>
  <c r="R101" i="1" s="1"/>
  <c r="R102" i="1" s="1"/>
  <c r="R103" i="1" s="1"/>
  <c r="R104" i="1" s="1"/>
  <c r="R105" i="1" s="1"/>
  <c r="R106" i="1" s="1"/>
  <c r="R107" i="1" s="1"/>
  <c r="R108" i="1" s="1"/>
  <c r="R109" i="1" s="1"/>
  <c r="R110" i="1" s="1"/>
  <c r="R111" i="1" s="1"/>
  <c r="R112" i="1" s="1"/>
  <c r="R113" i="1" s="1"/>
  <c r="R114" i="1" s="1"/>
  <c r="R115" i="1" s="1"/>
  <c r="R116" i="1" s="1"/>
  <c r="R117" i="1" s="1"/>
  <c r="R118" i="1" s="1"/>
  <c r="R119" i="1" s="1"/>
  <c r="R120" i="1" s="1"/>
  <c r="R121" i="1" s="1"/>
  <c r="R122" i="1" s="1"/>
  <c r="R123" i="1" s="1"/>
  <c r="R124" i="1" s="1"/>
  <c r="R125" i="1" s="1"/>
  <c r="R126" i="1" s="1"/>
  <c r="R127" i="1" s="1"/>
  <c r="R128" i="1" s="1"/>
  <c r="R129" i="1" s="1"/>
  <c r="R130" i="1" s="1"/>
  <c r="R131" i="1" s="1"/>
  <c r="R132" i="1" s="1"/>
  <c r="R133" i="1" s="1"/>
  <c r="R134" i="1" s="1"/>
  <c r="R135" i="1" s="1"/>
  <c r="R136" i="1" s="1"/>
  <c r="R137" i="1" s="1"/>
  <c r="R138" i="1" s="1"/>
  <c r="R139" i="1" s="1"/>
  <c r="R140" i="1" s="1"/>
  <c r="R141" i="1" s="1"/>
  <c r="R142" i="1" s="1"/>
  <c r="R143" i="1" s="1"/>
  <c r="R144" i="1" s="1"/>
  <c r="R145" i="1" s="1"/>
  <c r="R146" i="1" s="1"/>
  <c r="R147" i="1" s="1"/>
  <c r="R148" i="1" s="1"/>
  <c r="R149" i="1" s="1"/>
  <c r="R150" i="1" s="1"/>
  <c r="R151" i="1" s="1"/>
  <c r="R152" i="1" s="1"/>
  <c r="R153" i="1" s="1"/>
  <c r="R154" i="1" s="1"/>
  <c r="R155" i="1" s="1"/>
  <c r="R156" i="1" s="1"/>
  <c r="R157" i="1" s="1"/>
  <c r="R158" i="1" s="1"/>
  <c r="R159" i="1" s="1"/>
  <c r="R160" i="1" s="1"/>
  <c r="R161" i="1" s="1"/>
  <c r="R162" i="1" s="1"/>
  <c r="R163" i="1" s="1"/>
  <c r="R164" i="1" s="1"/>
  <c r="R165" i="1" s="1"/>
  <c r="R166" i="1" s="1"/>
  <c r="R167" i="1" s="1"/>
  <c r="R168" i="1" s="1"/>
  <c r="R169" i="1" s="1"/>
  <c r="R170" i="1" s="1"/>
  <c r="R171" i="1" s="1"/>
  <c r="R172" i="1" s="1"/>
  <c r="R173" i="1" s="1"/>
  <c r="R174" i="1" s="1"/>
  <c r="R175" i="1" s="1"/>
  <c r="R176" i="1" s="1"/>
  <c r="R177" i="1" s="1"/>
  <c r="R178" i="1" s="1"/>
  <c r="R179" i="1" s="1"/>
  <c r="R180" i="1" s="1"/>
  <c r="R181" i="1" s="1"/>
  <c r="R182" i="1" s="1"/>
  <c r="R183" i="1" s="1"/>
  <c r="R184" i="1" s="1"/>
  <c r="R185" i="1" s="1"/>
  <c r="R186" i="1" s="1"/>
  <c r="R187" i="1" s="1"/>
  <c r="R188" i="1" s="1"/>
  <c r="R189" i="1" s="1"/>
  <c r="R190" i="1" s="1"/>
  <c r="R191" i="1" s="1"/>
  <c r="R192" i="1" s="1"/>
  <c r="R193" i="1" s="1"/>
  <c r="R194" i="1" s="1"/>
  <c r="R195" i="1" s="1"/>
  <c r="R196" i="1" s="1"/>
  <c r="R197" i="1" s="1"/>
  <c r="R198" i="1" s="1"/>
  <c r="R199" i="1" s="1"/>
  <c r="R200" i="1" s="1"/>
  <c r="R201" i="1" s="1"/>
  <c r="R202" i="1" s="1"/>
  <c r="R203" i="1" s="1"/>
  <c r="R204" i="1" s="1"/>
  <c r="R205" i="1" s="1"/>
  <c r="R206" i="1" s="1"/>
  <c r="R207" i="1" s="1"/>
  <c r="R208" i="1" s="1"/>
  <c r="R209" i="1" s="1"/>
  <c r="R210" i="1" s="1"/>
  <c r="R211" i="1" s="1"/>
  <c r="R212" i="1" s="1"/>
  <c r="R213" i="1" s="1"/>
  <c r="R214" i="1" s="1"/>
  <c r="R215" i="1" s="1"/>
  <c r="R216" i="1" s="1"/>
  <c r="R217" i="1" s="1"/>
  <c r="R218" i="1" s="1"/>
  <c r="R219" i="1" s="1"/>
  <c r="R220" i="1" s="1"/>
  <c r="R221" i="1" s="1"/>
  <c r="R222" i="1" s="1"/>
  <c r="R223" i="1" s="1"/>
  <c r="R224" i="1" s="1"/>
  <c r="R225" i="1" s="1"/>
  <c r="R226" i="1" s="1"/>
  <c r="R227" i="1" s="1"/>
  <c r="R228" i="1" s="1"/>
  <c r="R229" i="1" s="1"/>
  <c r="R230" i="1" s="1"/>
  <c r="R231" i="1" s="1"/>
  <c r="R232" i="1" s="1"/>
  <c r="R233" i="1" s="1"/>
  <c r="R234" i="1" s="1"/>
  <c r="R235" i="1" s="1"/>
  <c r="R236" i="1" s="1"/>
  <c r="R237" i="1" s="1"/>
  <c r="R238" i="1" s="1"/>
  <c r="R239" i="1" s="1"/>
  <c r="R240" i="1" s="1"/>
  <c r="R241" i="1" s="1"/>
  <c r="R242" i="1" s="1"/>
  <c r="R243" i="1" s="1"/>
  <c r="R244" i="1" s="1"/>
  <c r="R245" i="1" s="1"/>
  <c r="R246" i="1" s="1"/>
  <c r="R247" i="1" s="1"/>
  <c r="R248" i="1" s="1"/>
  <c r="R249" i="1" s="1"/>
  <c r="R250" i="1" s="1"/>
  <c r="R251" i="1" s="1"/>
  <c r="R252" i="1" s="1"/>
  <c r="R253" i="1" s="1"/>
  <c r="R254" i="1" s="1"/>
  <c r="R255" i="1" s="1"/>
  <c r="R256" i="1" s="1"/>
  <c r="R257" i="1" s="1"/>
  <c r="R258" i="1" s="1"/>
  <c r="R259" i="1" s="1"/>
  <c r="R260" i="1" s="1"/>
  <c r="R261" i="1" s="1"/>
  <c r="R262" i="1" s="1"/>
  <c r="R263" i="1" s="1"/>
  <c r="R264" i="1" s="1"/>
  <c r="R265" i="1" s="1"/>
  <c r="R266" i="1" s="1"/>
  <c r="R267" i="1" s="1"/>
  <c r="R268" i="1" s="1"/>
  <c r="R269" i="1" s="1"/>
  <c r="R270" i="1" s="1"/>
  <c r="R271" i="1" s="1"/>
  <c r="R272" i="1" s="1"/>
  <c r="R273" i="1" s="1"/>
  <c r="R274" i="1" s="1"/>
  <c r="R275" i="1" s="1"/>
  <c r="R276" i="1" s="1"/>
  <c r="R277" i="1" s="1"/>
  <c r="R278" i="1" s="1"/>
  <c r="R279" i="1" s="1"/>
  <c r="R280" i="1" s="1"/>
  <c r="R281" i="1" s="1"/>
  <c r="R282" i="1" s="1"/>
  <c r="R283" i="1" s="1"/>
  <c r="R284" i="1" s="1"/>
  <c r="R285" i="1" s="1"/>
  <c r="R286" i="1" s="1"/>
  <c r="R287" i="1" s="1"/>
  <c r="R288" i="1" s="1"/>
  <c r="R289" i="1" s="1"/>
  <c r="R290" i="1" s="1"/>
  <c r="R291" i="1" s="1"/>
  <c r="R292" i="1" s="1"/>
  <c r="R293" i="1" s="1"/>
  <c r="R294" i="1" s="1"/>
  <c r="R295" i="1" s="1"/>
  <c r="R296" i="1" s="1"/>
  <c r="R297" i="1" s="1"/>
  <c r="R298" i="1" s="1"/>
  <c r="R299" i="1" s="1"/>
  <c r="R300" i="1" s="1"/>
  <c r="R301" i="1" s="1"/>
  <c r="R302" i="1" s="1"/>
  <c r="R303" i="1" s="1"/>
  <c r="R304" i="1" s="1"/>
  <c r="R305" i="1" s="1"/>
  <c r="R306" i="1" s="1"/>
  <c r="R307" i="1" s="1"/>
  <c r="R308" i="1" s="1"/>
  <c r="R309" i="1" s="1"/>
  <c r="R310" i="1" s="1"/>
  <c r="R311" i="1" s="1"/>
  <c r="R312" i="1" s="1"/>
  <c r="R313" i="1" s="1"/>
  <c r="R314" i="1" s="1"/>
  <c r="R315" i="1" s="1"/>
  <c r="R316" i="1" s="1"/>
  <c r="R317" i="1" s="1"/>
  <c r="R318" i="1" s="1"/>
  <c r="R319" i="1" s="1"/>
  <c r="R320" i="1" s="1"/>
  <c r="R321" i="1" s="1"/>
  <c r="R322" i="1" s="1"/>
  <c r="R323" i="1" s="1"/>
  <c r="R324" i="1" s="1"/>
  <c r="R325" i="1" s="1"/>
  <c r="R326" i="1" s="1"/>
  <c r="R327" i="1" s="1"/>
  <c r="R328" i="1" s="1"/>
  <c r="R329" i="1" s="1"/>
  <c r="R330" i="1" s="1"/>
  <c r="R331" i="1" s="1"/>
  <c r="R332" i="1" s="1"/>
  <c r="R333" i="1" s="1"/>
  <c r="R334" i="1" s="1"/>
  <c r="R335" i="1" s="1"/>
  <c r="R336" i="1" s="1"/>
  <c r="R337" i="1" s="1"/>
  <c r="R338" i="1" s="1"/>
  <c r="R339" i="1" s="1"/>
  <c r="R340" i="1" s="1"/>
  <c r="R341" i="1" s="1"/>
  <c r="R342" i="1" s="1"/>
  <c r="R343" i="1" s="1"/>
  <c r="R344" i="1" s="1"/>
  <c r="R345" i="1" s="1"/>
  <c r="R346" i="1" s="1"/>
  <c r="R347" i="1" s="1"/>
  <c r="R348" i="1" s="1"/>
  <c r="R349" i="1" s="1"/>
  <c r="R350" i="1" s="1"/>
  <c r="R351" i="1" s="1"/>
  <c r="R352" i="1" s="1"/>
  <c r="R353" i="1" s="1"/>
  <c r="R354" i="1" s="1"/>
  <c r="R355" i="1" s="1"/>
  <c r="R356" i="1" s="1"/>
  <c r="R357" i="1" s="1"/>
  <c r="R358" i="1" s="1"/>
  <c r="R359" i="1" s="1"/>
  <c r="R360" i="1" s="1"/>
  <c r="R361" i="1" s="1"/>
  <c r="R362" i="1" s="1"/>
  <c r="R363" i="1" s="1"/>
  <c r="R364" i="1" s="1"/>
  <c r="R365" i="1" s="1"/>
  <c r="R366" i="1" s="1"/>
  <c r="R367" i="1" s="1"/>
  <c r="R368" i="1" s="1"/>
  <c r="R369" i="1" s="1"/>
  <c r="R370" i="1" s="1"/>
  <c r="R371" i="1" s="1"/>
  <c r="R372" i="1" s="1"/>
  <c r="R373" i="1" s="1"/>
  <c r="R374" i="1" s="1"/>
  <c r="R375" i="1" s="1"/>
  <c r="R376" i="1" s="1"/>
  <c r="R377" i="1" s="1"/>
  <c r="R378" i="1" s="1"/>
  <c r="R379" i="1" s="1"/>
  <c r="R380" i="1" s="1"/>
  <c r="R381" i="1" s="1"/>
  <c r="R382" i="1" s="1"/>
  <c r="R383" i="1" s="1"/>
  <c r="R384" i="1" s="1"/>
  <c r="R385" i="1" s="1"/>
  <c r="R386" i="1" s="1"/>
  <c r="R387" i="1" s="1"/>
  <c r="R388" i="1" s="1"/>
  <c r="R389" i="1" s="1"/>
  <c r="R390" i="1" s="1"/>
  <c r="R391" i="1" s="1"/>
  <c r="R392" i="1" s="1"/>
  <c r="R393" i="1" s="1"/>
  <c r="R394" i="1" s="1"/>
  <c r="R395" i="1" s="1"/>
  <c r="R396" i="1" s="1"/>
  <c r="R397" i="1" s="1"/>
  <c r="R398" i="1" s="1"/>
  <c r="R399" i="1" s="1"/>
  <c r="R400" i="1" s="1"/>
  <c r="R401" i="1" s="1"/>
  <c r="R402" i="1" s="1"/>
  <c r="R403" i="1" s="1"/>
  <c r="R404" i="1" s="1"/>
  <c r="R405" i="1" s="1"/>
  <c r="R406" i="1" s="1"/>
  <c r="R407" i="1" s="1"/>
  <c r="R408" i="1" s="1"/>
  <c r="R409" i="1" s="1"/>
  <c r="R410" i="1" s="1"/>
  <c r="R411" i="1" s="1"/>
  <c r="R412" i="1" s="1"/>
  <c r="R413" i="1" s="1"/>
  <c r="R414" i="1" s="1"/>
  <c r="R415" i="1" s="1"/>
  <c r="R416" i="1" s="1"/>
  <c r="R417" i="1" s="1"/>
  <c r="R418" i="1" s="1"/>
  <c r="R419" i="1" s="1"/>
  <c r="R420" i="1" s="1"/>
  <c r="R421" i="1" s="1"/>
  <c r="R422" i="1" s="1"/>
  <c r="R423" i="1" s="1"/>
  <c r="R424" i="1" s="1"/>
  <c r="R425" i="1" s="1"/>
  <c r="R426" i="1" s="1"/>
  <c r="R427" i="1" s="1"/>
  <c r="R428" i="1" s="1"/>
  <c r="R429" i="1" s="1"/>
  <c r="R430" i="1" s="1"/>
  <c r="R431" i="1" s="1"/>
  <c r="R432" i="1" s="1"/>
  <c r="R433" i="1" s="1"/>
  <c r="R434" i="1" s="1"/>
  <c r="R435" i="1" s="1"/>
  <c r="R436" i="1" s="1"/>
  <c r="R437" i="1" s="1"/>
  <c r="R438" i="1" s="1"/>
  <c r="R439" i="1" s="1"/>
  <c r="R440" i="1" s="1"/>
  <c r="R441" i="1" s="1"/>
  <c r="R442" i="1" s="1"/>
  <c r="R443" i="1" s="1"/>
  <c r="R444" i="1" s="1"/>
  <c r="R445" i="1" s="1"/>
  <c r="R446" i="1" s="1"/>
  <c r="R447" i="1" s="1"/>
  <c r="R448" i="1" s="1"/>
  <c r="R449" i="1" s="1"/>
  <c r="R450" i="1" s="1"/>
  <c r="R451" i="1" s="1"/>
  <c r="R452" i="1" s="1"/>
  <c r="R453" i="1" s="1"/>
  <c r="R454" i="1" s="1"/>
  <c r="R455" i="1" s="1"/>
  <c r="R456" i="1" s="1"/>
  <c r="R457" i="1" s="1"/>
  <c r="R458" i="1" s="1"/>
  <c r="R459" i="1" s="1"/>
  <c r="R460" i="1" s="1"/>
  <c r="R461" i="1" s="1"/>
  <c r="R462" i="1" s="1"/>
  <c r="R463" i="1" s="1"/>
  <c r="R464" i="1" s="1"/>
  <c r="R465" i="1" s="1"/>
  <c r="R466" i="1" s="1"/>
  <c r="R467" i="1" s="1"/>
  <c r="R468" i="1" s="1"/>
  <c r="R469" i="1" s="1"/>
  <c r="R470" i="1" s="1"/>
  <c r="R471" i="1" s="1"/>
  <c r="R472" i="1" s="1"/>
  <c r="R473" i="1" s="1"/>
  <c r="R474" i="1" s="1"/>
  <c r="R475" i="1" s="1"/>
  <c r="R476" i="1" s="1"/>
  <c r="R477" i="1" s="1"/>
  <c r="R478" i="1" s="1"/>
  <c r="R479" i="1" s="1"/>
  <c r="R480" i="1" s="1"/>
  <c r="R481" i="1" s="1"/>
  <c r="R482" i="1" s="1"/>
  <c r="R483" i="1" s="1"/>
  <c r="R484" i="1" s="1"/>
  <c r="R485" i="1" s="1"/>
  <c r="R486" i="1" s="1"/>
  <c r="R487" i="1" s="1"/>
  <c r="R488" i="1" s="1"/>
  <c r="R489" i="1" s="1"/>
  <c r="R490" i="1" s="1"/>
  <c r="R491" i="1" s="1"/>
  <c r="R492" i="1" s="1"/>
  <c r="R493" i="1" s="1"/>
  <c r="R494" i="1" s="1"/>
  <c r="R495" i="1" s="1"/>
  <c r="R496" i="1" s="1"/>
  <c r="R497" i="1" s="1"/>
  <c r="R498" i="1" s="1"/>
  <c r="R499" i="1" s="1"/>
  <c r="R500" i="1" s="1"/>
  <c r="R501" i="1" s="1"/>
  <c r="R502" i="1" s="1"/>
  <c r="R503" i="1" s="1"/>
  <c r="R504" i="1" s="1"/>
  <c r="R505" i="1" s="1"/>
  <c r="R506" i="1" s="1"/>
  <c r="R507" i="1" s="1"/>
  <c r="R508" i="1" s="1"/>
  <c r="R509" i="1" s="1"/>
  <c r="R510" i="1" s="1"/>
  <c r="R511" i="1" s="1"/>
  <c r="R512" i="1" s="1"/>
  <c r="R513" i="1" s="1"/>
  <c r="R514" i="1" s="1"/>
  <c r="R515" i="1" s="1"/>
  <c r="R516" i="1" s="1"/>
  <c r="R517" i="1" s="1"/>
  <c r="R518" i="1" s="1"/>
  <c r="R519" i="1" s="1"/>
  <c r="R520" i="1" s="1"/>
  <c r="R521" i="1" s="1"/>
  <c r="R522" i="1" s="1"/>
  <c r="R523" i="1" s="1"/>
  <c r="R524" i="1" s="1"/>
  <c r="R525" i="1" s="1"/>
  <c r="R526" i="1" s="1"/>
  <c r="R527" i="1" s="1"/>
  <c r="R528" i="1" s="1"/>
  <c r="R529" i="1" s="1"/>
  <c r="R530" i="1" s="1"/>
  <c r="R531" i="1" s="1"/>
  <c r="R532" i="1" s="1"/>
  <c r="R533" i="1" s="1"/>
  <c r="R534" i="1" s="1"/>
  <c r="R535" i="1" s="1"/>
  <c r="R536" i="1" s="1"/>
  <c r="R537" i="1" s="1"/>
  <c r="R538" i="1" s="1"/>
  <c r="R539" i="1" s="1"/>
  <c r="R540" i="1" s="1"/>
  <c r="R541" i="1" s="1"/>
  <c r="R542" i="1" s="1"/>
  <c r="R543" i="1" s="1"/>
  <c r="R544" i="1" s="1"/>
  <c r="R545" i="1" s="1"/>
  <c r="R546" i="1" s="1"/>
  <c r="R547" i="1" s="1"/>
  <c r="R548" i="1" s="1"/>
  <c r="R549" i="1" s="1"/>
  <c r="R550" i="1" s="1"/>
  <c r="R551" i="1" s="1"/>
  <c r="R552" i="1" s="1"/>
  <c r="R553" i="1" s="1"/>
  <c r="R554" i="1" s="1"/>
  <c r="R555" i="1" s="1"/>
  <c r="R556" i="1" s="1"/>
  <c r="R557" i="1" s="1"/>
  <c r="R558" i="1" s="1"/>
  <c r="R559" i="1" s="1"/>
  <c r="R560" i="1" s="1"/>
  <c r="R561" i="1" s="1"/>
  <c r="R562" i="1" s="1"/>
  <c r="R563" i="1" s="1"/>
  <c r="R564" i="1" s="1"/>
  <c r="R565" i="1" s="1"/>
  <c r="R566" i="1" s="1"/>
  <c r="R567" i="1" s="1"/>
  <c r="R568" i="1" s="1"/>
  <c r="R569" i="1" s="1"/>
  <c r="R570" i="1" s="1"/>
  <c r="R571" i="1" s="1"/>
  <c r="R572" i="1" s="1"/>
  <c r="R573" i="1" s="1"/>
  <c r="R574" i="1" s="1"/>
  <c r="R575" i="1" s="1"/>
  <c r="R576" i="1" s="1"/>
  <c r="R577" i="1" s="1"/>
  <c r="R578" i="1" s="1"/>
  <c r="R579" i="1" s="1"/>
  <c r="R580" i="1" s="1"/>
  <c r="R581" i="1" s="1"/>
  <c r="R582" i="1" s="1"/>
  <c r="R583" i="1" s="1"/>
  <c r="R584" i="1" s="1"/>
  <c r="R585" i="1" s="1"/>
  <c r="R586" i="1" s="1"/>
  <c r="R587" i="1" s="1"/>
  <c r="R588" i="1" s="1"/>
  <c r="R589" i="1" s="1"/>
  <c r="R590" i="1" s="1"/>
  <c r="R591" i="1" s="1"/>
  <c r="R592" i="1" s="1"/>
  <c r="R593" i="1" s="1"/>
  <c r="R594" i="1" s="1"/>
  <c r="R595" i="1" s="1"/>
  <c r="R596" i="1" s="1"/>
  <c r="R597" i="1" s="1"/>
  <c r="R598" i="1" s="1"/>
  <c r="R599" i="1" s="1"/>
  <c r="R600" i="1" s="1"/>
  <c r="R601" i="1" s="1"/>
  <c r="R602" i="1" s="1"/>
  <c r="R603" i="1" s="1"/>
  <c r="R604" i="1" s="1"/>
  <c r="R605" i="1" s="1"/>
  <c r="R606" i="1" s="1"/>
  <c r="R607" i="1" s="1"/>
  <c r="R608" i="1" s="1"/>
  <c r="R609" i="1" s="1"/>
  <c r="R610" i="1" s="1"/>
  <c r="R611" i="1" s="1"/>
  <c r="R612" i="1" s="1"/>
  <c r="R613" i="1" s="1"/>
  <c r="R614" i="1" s="1"/>
  <c r="R615" i="1" s="1"/>
  <c r="R616" i="1" s="1"/>
  <c r="R617" i="1" s="1"/>
  <c r="R618" i="1" s="1"/>
  <c r="R619" i="1" s="1"/>
  <c r="R620" i="1" s="1"/>
  <c r="R621" i="1" s="1"/>
  <c r="R622" i="1" s="1"/>
  <c r="R623" i="1" s="1"/>
  <c r="R624" i="1" s="1"/>
  <c r="R625" i="1" s="1"/>
  <c r="R626" i="1" s="1"/>
  <c r="R627" i="1" s="1"/>
  <c r="R628" i="1" s="1"/>
  <c r="R629" i="1" s="1"/>
  <c r="R630" i="1" s="1"/>
  <c r="R631" i="1" s="1"/>
  <c r="R632" i="1" s="1"/>
  <c r="R633" i="1" s="1"/>
  <c r="R634" i="1" s="1"/>
  <c r="R635" i="1" s="1"/>
  <c r="R636" i="1" s="1"/>
  <c r="R637" i="1" s="1"/>
  <c r="R638" i="1" s="1"/>
  <c r="R639" i="1" s="1"/>
  <c r="R640" i="1" s="1"/>
  <c r="R641" i="1" s="1"/>
  <c r="R642" i="1" s="1"/>
  <c r="R643" i="1" s="1"/>
  <c r="R644" i="1" s="1"/>
  <c r="R645" i="1" s="1"/>
  <c r="R646" i="1" s="1"/>
  <c r="R647" i="1" s="1"/>
  <c r="R648" i="1" s="1"/>
  <c r="R649" i="1" s="1"/>
  <c r="R650" i="1" s="1"/>
  <c r="R651" i="1" s="1"/>
  <c r="R652" i="1" s="1"/>
  <c r="R653" i="1" s="1"/>
  <c r="R654" i="1" s="1"/>
  <c r="R655" i="1" s="1"/>
  <c r="R656" i="1" s="1"/>
  <c r="R657" i="1" s="1"/>
  <c r="R658" i="1" s="1"/>
  <c r="R659" i="1" s="1"/>
  <c r="R660" i="1" s="1"/>
  <c r="R661" i="1" s="1"/>
  <c r="R662" i="1" s="1"/>
  <c r="R663" i="1" s="1"/>
  <c r="R664" i="1" s="1"/>
  <c r="R665" i="1" s="1"/>
  <c r="R666" i="1" s="1"/>
  <c r="R667" i="1" s="1"/>
  <c r="R668" i="1" s="1"/>
  <c r="R669" i="1" s="1"/>
  <c r="R670" i="1" s="1"/>
  <c r="R671" i="1" s="1"/>
  <c r="R672" i="1" s="1"/>
  <c r="R673" i="1" s="1"/>
  <c r="R674" i="1" s="1"/>
  <c r="R675" i="1" s="1"/>
  <c r="R676" i="1" s="1"/>
  <c r="R677" i="1" s="1"/>
  <c r="R678" i="1" s="1"/>
  <c r="R679" i="1" s="1"/>
  <c r="R680" i="1" s="1"/>
  <c r="R681" i="1" s="1"/>
  <c r="R682" i="1" s="1"/>
  <c r="R683" i="1" s="1"/>
  <c r="R684" i="1" s="1"/>
  <c r="R685" i="1" s="1"/>
  <c r="R686" i="1" s="1"/>
  <c r="R687" i="1" s="1"/>
  <c r="R688" i="1" s="1"/>
  <c r="R689" i="1" s="1"/>
  <c r="R690" i="1" s="1"/>
  <c r="R691" i="1" s="1"/>
  <c r="R692" i="1" s="1"/>
  <c r="R693" i="1" s="1"/>
  <c r="R694" i="1" s="1"/>
  <c r="R695" i="1" s="1"/>
  <c r="R696" i="1" s="1"/>
  <c r="R697" i="1" s="1"/>
  <c r="R698" i="1" s="1"/>
  <c r="R699" i="1" s="1"/>
  <c r="R700" i="1" s="1"/>
  <c r="R701" i="1" s="1"/>
  <c r="R702" i="1" s="1"/>
  <c r="R703" i="1" s="1"/>
  <c r="R704" i="1" s="1"/>
  <c r="R705" i="1" s="1"/>
  <c r="R706" i="1" s="1"/>
  <c r="R707" i="1" s="1"/>
  <c r="R708" i="1" s="1"/>
  <c r="R709" i="1" s="1"/>
  <c r="R710" i="1" s="1"/>
  <c r="R711" i="1" s="1"/>
  <c r="R712" i="1" s="1"/>
  <c r="R713" i="1" s="1"/>
  <c r="R714" i="1" s="1"/>
  <c r="R715" i="1" s="1"/>
  <c r="R716" i="1" s="1"/>
  <c r="R717" i="1" s="1"/>
  <c r="R718" i="1" s="1"/>
  <c r="R719" i="1" s="1"/>
  <c r="R720" i="1" s="1"/>
  <c r="R721" i="1" s="1"/>
  <c r="R722" i="1" s="1"/>
  <c r="R723" i="1" s="1"/>
  <c r="R724" i="1" s="1"/>
  <c r="R725" i="1" s="1"/>
  <c r="R726" i="1" s="1"/>
  <c r="R727" i="1" s="1"/>
  <c r="R728" i="1" s="1"/>
  <c r="R729" i="1" s="1"/>
  <c r="R730" i="1" s="1"/>
  <c r="R731" i="1" s="1"/>
  <c r="R732" i="1" s="1"/>
  <c r="R733" i="1" s="1"/>
  <c r="R734" i="1" s="1"/>
  <c r="R735" i="1" s="1"/>
  <c r="R736" i="1" s="1"/>
  <c r="R737" i="1" s="1"/>
  <c r="R738" i="1" s="1"/>
  <c r="R739" i="1" s="1"/>
  <c r="R740" i="1" s="1"/>
  <c r="R741" i="1" s="1"/>
  <c r="R742" i="1" s="1"/>
  <c r="R743" i="1" s="1"/>
  <c r="R744" i="1" s="1"/>
  <c r="R745" i="1" s="1"/>
  <c r="R746" i="1" s="1"/>
  <c r="R747" i="1" s="1"/>
  <c r="R748" i="1" s="1"/>
  <c r="R749" i="1" s="1"/>
  <c r="R750" i="1" s="1"/>
  <c r="R751" i="1" s="1"/>
  <c r="R752" i="1" s="1"/>
  <c r="R753" i="1" s="1"/>
  <c r="R754" i="1" s="1"/>
  <c r="R755" i="1" s="1"/>
  <c r="R756" i="1" s="1"/>
  <c r="R757" i="1" s="1"/>
  <c r="R758" i="1" s="1"/>
  <c r="R759" i="1" s="1"/>
  <c r="R760" i="1" s="1"/>
  <c r="R761" i="1" s="1"/>
  <c r="R762" i="1" s="1"/>
  <c r="R763" i="1" s="1"/>
  <c r="R764" i="1" s="1"/>
  <c r="R765" i="1" s="1"/>
  <c r="R766" i="1" s="1"/>
  <c r="R767" i="1" s="1"/>
  <c r="R768" i="1" s="1"/>
  <c r="R769" i="1" s="1"/>
  <c r="R770" i="1" s="1"/>
  <c r="R771" i="1" s="1"/>
  <c r="R772" i="1" s="1"/>
  <c r="R773" i="1" s="1"/>
  <c r="R774" i="1" s="1"/>
  <c r="R775" i="1" s="1"/>
  <c r="R776" i="1" s="1"/>
  <c r="R777" i="1" s="1"/>
  <c r="R778" i="1" s="1"/>
  <c r="R779" i="1" s="1"/>
  <c r="R780" i="1" s="1"/>
  <c r="R781" i="1" s="1"/>
  <c r="R782" i="1" s="1"/>
  <c r="R783" i="1" s="1"/>
  <c r="R784" i="1" s="1"/>
  <c r="R785" i="1" s="1"/>
  <c r="R786" i="1" s="1"/>
  <c r="R787" i="1" s="1"/>
  <c r="R788" i="1" s="1"/>
  <c r="R789" i="1" s="1"/>
  <c r="R790" i="1" s="1"/>
  <c r="R791" i="1" s="1"/>
  <c r="R792" i="1" s="1"/>
  <c r="R793" i="1" s="1"/>
  <c r="R794" i="1" s="1"/>
  <c r="R795" i="1" s="1"/>
  <c r="R796" i="1" s="1"/>
  <c r="R797" i="1" s="1"/>
  <c r="R798" i="1" s="1"/>
  <c r="R799" i="1" s="1"/>
  <c r="R800" i="1" s="1"/>
  <c r="R801" i="1" s="1"/>
  <c r="R802" i="1" s="1"/>
  <c r="R803" i="1" s="1"/>
  <c r="R804" i="1" s="1"/>
  <c r="R805" i="1" s="1"/>
  <c r="R806" i="1" s="1"/>
  <c r="R807" i="1" s="1"/>
  <c r="R808" i="1" s="1"/>
  <c r="R809" i="1" s="1"/>
  <c r="R810" i="1" s="1"/>
  <c r="R811" i="1" s="1"/>
  <c r="R812" i="1" s="1"/>
  <c r="R813" i="1" s="1"/>
  <c r="R814" i="1" s="1"/>
  <c r="R815" i="1" s="1"/>
  <c r="R816" i="1" s="1"/>
  <c r="R817" i="1" s="1"/>
  <c r="R818" i="1" s="1"/>
  <c r="R819" i="1" s="1"/>
  <c r="R820" i="1" s="1"/>
  <c r="R821" i="1" s="1"/>
  <c r="R822" i="1" s="1"/>
  <c r="R823" i="1" s="1"/>
  <c r="R824" i="1" s="1"/>
  <c r="R825" i="1" s="1"/>
  <c r="R826" i="1" s="1"/>
  <c r="R827" i="1" s="1"/>
  <c r="R828" i="1" s="1"/>
  <c r="R829" i="1" s="1"/>
  <c r="R830" i="1" s="1"/>
  <c r="R831" i="1" s="1"/>
  <c r="R832" i="1" s="1"/>
  <c r="R833" i="1" s="1"/>
  <c r="R834" i="1" s="1"/>
  <c r="R835" i="1" s="1"/>
  <c r="R836" i="1" s="1"/>
  <c r="R837" i="1" s="1"/>
  <c r="R838" i="1" s="1"/>
  <c r="R839" i="1" s="1"/>
  <c r="R840" i="1" s="1"/>
  <c r="R841" i="1" s="1"/>
  <c r="R842" i="1" s="1"/>
  <c r="R843" i="1" s="1"/>
  <c r="R844" i="1" s="1"/>
  <c r="R845" i="1" s="1"/>
  <c r="R846" i="1" s="1"/>
  <c r="R847" i="1" s="1"/>
  <c r="R848" i="1" s="1"/>
  <c r="R849" i="1" s="1"/>
  <c r="R850" i="1" s="1"/>
  <c r="R851" i="1" s="1"/>
  <c r="R852" i="1" s="1"/>
  <c r="R853" i="1" s="1"/>
  <c r="R854" i="1" s="1"/>
  <c r="R855" i="1" s="1"/>
  <c r="R856" i="1" s="1"/>
  <c r="R857" i="1" s="1"/>
  <c r="R858" i="1" s="1"/>
  <c r="R859" i="1" s="1"/>
  <c r="R860" i="1" s="1"/>
  <c r="R861" i="1" s="1"/>
  <c r="R862" i="1" s="1"/>
  <c r="R863" i="1" s="1"/>
  <c r="R864" i="1" s="1"/>
  <c r="R865" i="1" s="1"/>
  <c r="R866" i="1" s="1"/>
  <c r="R867" i="1" s="1"/>
  <c r="R868" i="1" s="1"/>
  <c r="R869" i="1" s="1"/>
  <c r="R870" i="1" s="1"/>
  <c r="R871" i="1" s="1"/>
  <c r="R872" i="1" s="1"/>
  <c r="R873" i="1" s="1"/>
  <c r="R874" i="1" s="1"/>
  <c r="R875" i="1" s="1"/>
  <c r="R876" i="1" s="1"/>
  <c r="R877" i="1" s="1"/>
  <c r="R878" i="1" s="1"/>
  <c r="R879" i="1" s="1"/>
  <c r="R880" i="1" s="1"/>
  <c r="R881" i="1" s="1"/>
  <c r="R882" i="1" s="1"/>
  <c r="R883" i="1" s="1"/>
  <c r="R884" i="1" s="1"/>
  <c r="R885" i="1" s="1"/>
  <c r="R886" i="1" s="1"/>
  <c r="R887" i="1" s="1"/>
  <c r="R888" i="1" s="1"/>
  <c r="R889" i="1" s="1"/>
  <c r="R890" i="1" s="1"/>
  <c r="R891" i="1" s="1"/>
  <c r="R892" i="1" s="1"/>
  <c r="R893" i="1" s="1"/>
  <c r="R894" i="1" s="1"/>
  <c r="R895" i="1" s="1"/>
  <c r="R896" i="1" s="1"/>
  <c r="R897" i="1" s="1"/>
  <c r="R898" i="1" s="1"/>
  <c r="R899" i="1" s="1"/>
  <c r="R900" i="1" s="1"/>
  <c r="R901" i="1" s="1"/>
  <c r="R902" i="1" s="1"/>
  <c r="R903" i="1" s="1"/>
  <c r="R904" i="1" s="1"/>
  <c r="R905" i="1" s="1"/>
  <c r="R906" i="1" s="1"/>
  <c r="R907" i="1" s="1"/>
  <c r="R908" i="1" s="1"/>
  <c r="R909" i="1" s="1"/>
  <c r="R910" i="1" s="1"/>
  <c r="R911" i="1" s="1"/>
  <c r="R912" i="1" s="1"/>
  <c r="R913" i="1" s="1"/>
  <c r="R914" i="1" s="1"/>
  <c r="R915" i="1" s="1"/>
  <c r="R916" i="1" s="1"/>
  <c r="R917" i="1" s="1"/>
  <c r="R918" i="1" s="1"/>
  <c r="R919" i="1" s="1"/>
  <c r="R920" i="1" s="1"/>
  <c r="R921" i="1" s="1"/>
  <c r="R922" i="1" s="1"/>
  <c r="R923" i="1" s="1"/>
  <c r="R924" i="1" s="1"/>
  <c r="R925" i="1" s="1"/>
  <c r="R926" i="1" s="1"/>
  <c r="R927" i="1" s="1"/>
  <c r="R928" i="1" s="1"/>
  <c r="R929" i="1" s="1"/>
  <c r="R930" i="1" s="1"/>
  <c r="R931" i="1" s="1"/>
  <c r="R932" i="1" s="1"/>
  <c r="R933" i="1" s="1"/>
  <c r="R934" i="1" s="1"/>
  <c r="R935" i="1" s="1"/>
  <c r="R936" i="1" s="1"/>
  <c r="R937" i="1" s="1"/>
  <c r="R938" i="1" s="1"/>
  <c r="R939" i="1" s="1"/>
  <c r="R940" i="1" s="1"/>
  <c r="R941" i="1" s="1"/>
  <c r="R942" i="1" s="1"/>
  <c r="R943" i="1" s="1"/>
  <c r="R944" i="1" s="1"/>
  <c r="R945" i="1" s="1"/>
  <c r="R946" i="1" s="1"/>
  <c r="R947" i="1" s="1"/>
  <c r="R948" i="1" s="1"/>
  <c r="R949" i="1" s="1"/>
  <c r="R950" i="1" s="1"/>
  <c r="R951" i="1" s="1"/>
  <c r="R952" i="1" s="1"/>
  <c r="R953" i="1" s="1"/>
  <c r="R954" i="1" s="1"/>
  <c r="R955" i="1" s="1"/>
  <c r="R956" i="1" s="1"/>
  <c r="R957" i="1" s="1"/>
  <c r="R958" i="1" s="1"/>
  <c r="R959" i="1" s="1"/>
  <c r="R960" i="1" s="1"/>
  <c r="R961" i="1" s="1"/>
  <c r="R962" i="1" s="1"/>
  <c r="R963" i="1" s="1"/>
  <c r="R964" i="1" s="1"/>
  <c r="R965" i="1" s="1"/>
  <c r="R966" i="1" s="1"/>
  <c r="R967" i="1" s="1"/>
  <c r="R968" i="1" s="1"/>
  <c r="R969" i="1" s="1"/>
  <c r="R970" i="1" s="1"/>
  <c r="R971" i="1" s="1"/>
  <c r="R972" i="1" s="1"/>
  <c r="R973" i="1" s="1"/>
  <c r="R974" i="1" s="1"/>
  <c r="R975" i="1" s="1"/>
  <c r="R976" i="1" s="1"/>
  <c r="R977" i="1" s="1"/>
  <c r="R978" i="1" s="1"/>
  <c r="R979" i="1" s="1"/>
  <c r="R980" i="1" s="1"/>
  <c r="R981" i="1" s="1"/>
  <c r="R982" i="1" s="1"/>
  <c r="R983" i="1" s="1"/>
  <c r="R984" i="1" s="1"/>
  <c r="R985" i="1" s="1"/>
  <c r="R986" i="1" s="1"/>
  <c r="R987" i="1" s="1"/>
  <c r="R988" i="1" s="1"/>
  <c r="R989" i="1" s="1"/>
  <c r="R990" i="1" s="1"/>
  <c r="R991" i="1" s="1"/>
  <c r="R992" i="1" s="1"/>
  <c r="R993" i="1" s="1"/>
  <c r="R994" i="1" s="1"/>
  <c r="R995" i="1" s="1"/>
  <c r="R996" i="1" s="1"/>
  <c r="R997" i="1" s="1"/>
  <c r="R998" i="1" s="1"/>
  <c r="R999" i="1" s="1"/>
  <c r="R1000" i="1" s="1"/>
  <c r="R1001" i="1" s="1"/>
  <c r="R1002" i="1" s="1"/>
  <c r="R1003" i="1" s="1"/>
  <c r="R1004" i="1" s="1"/>
  <c r="R1005" i="1" s="1"/>
  <c r="R1006" i="1" s="1"/>
  <c r="R1007" i="1" s="1"/>
  <c r="R1008" i="1" s="1"/>
  <c r="R1009" i="1" s="1"/>
  <c r="R1010" i="1" s="1"/>
  <c r="R1011" i="1" s="1"/>
  <c r="R1012" i="1" s="1"/>
  <c r="R1013" i="1" s="1"/>
  <c r="R1014" i="1" s="1"/>
  <c r="R1015" i="1" s="1"/>
  <c r="R1016" i="1" s="1"/>
  <c r="R1017" i="1" s="1"/>
  <c r="R1018" i="1" s="1"/>
  <c r="R1019" i="1" s="1"/>
  <c r="R1020" i="1" s="1"/>
  <c r="R1021" i="1" s="1"/>
  <c r="R1022" i="1" s="1"/>
  <c r="R1023" i="1" s="1"/>
  <c r="R1024" i="1" s="1"/>
  <c r="R1025" i="1" s="1"/>
  <c r="S18" i="1"/>
  <c r="T18" i="1"/>
  <c r="U18" i="1"/>
  <c r="V18" i="1"/>
  <c r="V19" i="1" l="1"/>
  <c r="T19" i="1"/>
  <c r="U19" i="1"/>
  <c r="S19" i="1"/>
  <c r="S26" i="1"/>
  <c r="S27" i="1" l="1"/>
  <c r="S28" i="1" s="1"/>
  <c r="S29" i="1" s="1"/>
  <c r="S30" i="1" s="1"/>
  <c r="S31" i="1" s="1"/>
  <c r="S32" i="1" s="1"/>
  <c r="S33" i="1" s="1"/>
  <c r="S34" i="1" s="1"/>
  <c r="S35" i="1" s="1"/>
  <c r="S36" i="1" s="1"/>
  <c r="S37" i="1" s="1"/>
  <c r="S38" i="1" s="1"/>
  <c r="S39" i="1" s="1"/>
  <c r="S40" i="1" s="1"/>
  <c r="S41" i="1" s="1"/>
  <c r="S42" i="1" s="1"/>
  <c r="S43" i="1" s="1"/>
  <c r="S44" i="1" s="1"/>
  <c r="S45" i="1" s="1"/>
  <c r="S46" i="1" s="1"/>
  <c r="S47" i="1" s="1"/>
  <c r="S48" i="1" s="1"/>
  <c r="S49" i="1" s="1"/>
  <c r="S50" i="1" s="1"/>
  <c r="S51" i="1" s="1"/>
  <c r="S52" i="1" s="1"/>
  <c r="S53" i="1" s="1"/>
  <c r="S54" i="1" s="1"/>
  <c r="S55" i="1" s="1"/>
  <c r="S56" i="1" s="1"/>
  <c r="S57" i="1" s="1"/>
  <c r="S58" i="1" s="1"/>
  <c r="S59" i="1" s="1"/>
  <c r="S60" i="1" s="1"/>
  <c r="S61" i="1" s="1"/>
  <c r="S62" i="1" s="1"/>
  <c r="S63" i="1" s="1"/>
  <c r="S64" i="1" s="1"/>
  <c r="S65" i="1" s="1"/>
  <c r="S66" i="1" s="1"/>
  <c r="S67" i="1" s="1"/>
  <c r="S68" i="1" s="1"/>
  <c r="S69" i="1" s="1"/>
  <c r="S70" i="1" s="1"/>
  <c r="S71" i="1" s="1"/>
  <c r="S72" i="1" s="1"/>
  <c r="S73" i="1" s="1"/>
  <c r="S74" i="1" s="1"/>
  <c r="S75" i="1" s="1"/>
  <c r="S76" i="1" s="1"/>
  <c r="S77" i="1" s="1"/>
  <c r="S78" i="1" s="1"/>
  <c r="S79" i="1" s="1"/>
  <c r="S80" i="1" s="1"/>
  <c r="S81" i="1" s="1"/>
  <c r="S82" i="1" s="1"/>
  <c r="S83" i="1" s="1"/>
  <c r="S84" i="1" s="1"/>
  <c r="S85" i="1" s="1"/>
  <c r="S86" i="1" s="1"/>
  <c r="S87" i="1" s="1"/>
  <c r="S88" i="1" s="1"/>
  <c r="S89" i="1" s="1"/>
  <c r="S90" i="1" s="1"/>
  <c r="S91" i="1" s="1"/>
  <c r="S92" i="1" s="1"/>
  <c r="S93" i="1" s="1"/>
  <c r="S94" i="1" s="1"/>
  <c r="S95" i="1" s="1"/>
  <c r="S96" i="1" s="1"/>
  <c r="S97" i="1" s="1"/>
  <c r="S98" i="1" s="1"/>
  <c r="S99" i="1" s="1"/>
  <c r="S100" i="1" s="1"/>
  <c r="S101" i="1" s="1"/>
  <c r="S102" i="1" s="1"/>
  <c r="S103" i="1" s="1"/>
  <c r="S104" i="1" s="1"/>
  <c r="S105" i="1" s="1"/>
  <c r="S106" i="1" s="1"/>
  <c r="S107" i="1" s="1"/>
  <c r="S108" i="1" s="1"/>
  <c r="S109" i="1" s="1"/>
  <c r="S110" i="1" s="1"/>
  <c r="S111" i="1" s="1"/>
  <c r="S112" i="1" s="1"/>
  <c r="S113" i="1" s="1"/>
  <c r="S114" i="1" s="1"/>
  <c r="S115" i="1" s="1"/>
  <c r="S116" i="1" s="1"/>
  <c r="S117" i="1" s="1"/>
  <c r="S118" i="1" s="1"/>
  <c r="S119" i="1" s="1"/>
  <c r="S120" i="1" s="1"/>
  <c r="S121" i="1" s="1"/>
  <c r="S122" i="1" s="1"/>
  <c r="S123" i="1" s="1"/>
  <c r="S124" i="1" s="1"/>
  <c r="S125" i="1" s="1"/>
  <c r="S126" i="1" s="1"/>
  <c r="S127" i="1" s="1"/>
  <c r="S128" i="1" s="1"/>
  <c r="S129" i="1" s="1"/>
  <c r="S130" i="1" s="1"/>
  <c r="S131" i="1" s="1"/>
  <c r="S132" i="1" s="1"/>
  <c r="S133" i="1" s="1"/>
  <c r="S134" i="1" s="1"/>
  <c r="S135" i="1" s="1"/>
  <c r="S136" i="1" s="1"/>
  <c r="S137" i="1" s="1"/>
  <c r="S138" i="1" s="1"/>
  <c r="S139" i="1" s="1"/>
  <c r="S140" i="1" s="1"/>
  <c r="S141" i="1" s="1"/>
  <c r="S142" i="1" s="1"/>
  <c r="S143" i="1" s="1"/>
  <c r="S144" i="1" s="1"/>
  <c r="S145" i="1" s="1"/>
  <c r="S146" i="1" s="1"/>
  <c r="S147" i="1" s="1"/>
  <c r="S148" i="1" s="1"/>
  <c r="S149" i="1" s="1"/>
  <c r="S150" i="1" s="1"/>
  <c r="S151" i="1" s="1"/>
  <c r="S152" i="1" s="1"/>
  <c r="S153" i="1" s="1"/>
  <c r="S154" i="1" s="1"/>
  <c r="S155" i="1" s="1"/>
  <c r="S156" i="1" s="1"/>
  <c r="S157" i="1" s="1"/>
  <c r="S158" i="1" s="1"/>
  <c r="S159" i="1" s="1"/>
  <c r="S160" i="1" s="1"/>
  <c r="S161" i="1" s="1"/>
  <c r="S162" i="1" s="1"/>
  <c r="S163" i="1" s="1"/>
  <c r="S164" i="1" s="1"/>
  <c r="S165" i="1" s="1"/>
  <c r="S166" i="1" s="1"/>
  <c r="S167" i="1" s="1"/>
  <c r="S168" i="1" s="1"/>
  <c r="S169" i="1" s="1"/>
  <c r="S170" i="1" s="1"/>
  <c r="S171" i="1" s="1"/>
  <c r="S172" i="1" s="1"/>
  <c r="S173" i="1" s="1"/>
  <c r="S174" i="1" s="1"/>
  <c r="S175" i="1" s="1"/>
  <c r="S176" i="1" s="1"/>
  <c r="S177" i="1" s="1"/>
  <c r="S178" i="1" s="1"/>
  <c r="S179" i="1" s="1"/>
  <c r="S180" i="1" s="1"/>
  <c r="S181" i="1" s="1"/>
  <c r="S182" i="1" s="1"/>
  <c r="S183" i="1" s="1"/>
  <c r="S184" i="1" s="1"/>
  <c r="S185" i="1" s="1"/>
  <c r="S186" i="1" s="1"/>
  <c r="S187" i="1" s="1"/>
  <c r="S188" i="1" s="1"/>
  <c r="S189" i="1" s="1"/>
  <c r="S190" i="1" s="1"/>
  <c r="S191" i="1" s="1"/>
  <c r="S192" i="1" s="1"/>
  <c r="S193" i="1" s="1"/>
  <c r="S194" i="1" s="1"/>
  <c r="S195" i="1" s="1"/>
  <c r="S196" i="1" s="1"/>
  <c r="S197" i="1" s="1"/>
  <c r="S198" i="1" s="1"/>
  <c r="S199" i="1" s="1"/>
  <c r="S200" i="1" s="1"/>
  <c r="S201" i="1" s="1"/>
  <c r="S202" i="1" s="1"/>
  <c r="S203" i="1" s="1"/>
  <c r="S204" i="1" s="1"/>
  <c r="S205" i="1" s="1"/>
  <c r="S206" i="1" s="1"/>
  <c r="S207" i="1" s="1"/>
  <c r="S208" i="1" s="1"/>
  <c r="S209" i="1" s="1"/>
  <c r="S210" i="1" s="1"/>
  <c r="S211" i="1" s="1"/>
  <c r="S212" i="1" s="1"/>
  <c r="S213" i="1" s="1"/>
  <c r="S214" i="1" s="1"/>
  <c r="S215" i="1" s="1"/>
  <c r="S216" i="1" s="1"/>
  <c r="S217" i="1" s="1"/>
  <c r="S218" i="1" s="1"/>
  <c r="S219" i="1" s="1"/>
  <c r="S220" i="1" s="1"/>
  <c r="S221" i="1" s="1"/>
  <c r="S222" i="1" s="1"/>
  <c r="S223" i="1" s="1"/>
  <c r="S224" i="1" s="1"/>
  <c r="S225" i="1" s="1"/>
  <c r="S226" i="1" s="1"/>
  <c r="S227" i="1" s="1"/>
  <c r="S228" i="1" s="1"/>
  <c r="S229" i="1" s="1"/>
  <c r="S230" i="1" s="1"/>
  <c r="S231" i="1" s="1"/>
  <c r="S232" i="1" s="1"/>
  <c r="S233" i="1" s="1"/>
  <c r="S234" i="1" s="1"/>
  <c r="S235" i="1" s="1"/>
  <c r="S236" i="1" s="1"/>
  <c r="S237" i="1" s="1"/>
  <c r="S238" i="1" s="1"/>
  <c r="S239" i="1" s="1"/>
  <c r="S240" i="1" s="1"/>
  <c r="S241" i="1" s="1"/>
  <c r="S242" i="1" s="1"/>
  <c r="S243" i="1" s="1"/>
  <c r="S244" i="1" s="1"/>
  <c r="S245" i="1" s="1"/>
  <c r="S246" i="1" s="1"/>
  <c r="S247" i="1" s="1"/>
  <c r="S248" i="1" s="1"/>
  <c r="S249" i="1" s="1"/>
  <c r="S250" i="1" s="1"/>
  <c r="S251" i="1" s="1"/>
  <c r="S252" i="1" s="1"/>
  <c r="S253" i="1" s="1"/>
  <c r="S254" i="1" s="1"/>
  <c r="S255" i="1" s="1"/>
  <c r="S256" i="1" s="1"/>
  <c r="S257" i="1" s="1"/>
  <c r="S258" i="1" s="1"/>
  <c r="S259" i="1" s="1"/>
  <c r="S260" i="1" s="1"/>
  <c r="S261" i="1" s="1"/>
  <c r="S262" i="1" s="1"/>
  <c r="S263" i="1" s="1"/>
  <c r="S264" i="1" s="1"/>
  <c r="S265" i="1" s="1"/>
  <c r="S266" i="1" s="1"/>
  <c r="S267" i="1" s="1"/>
  <c r="S268" i="1" s="1"/>
  <c r="S269" i="1" s="1"/>
  <c r="S270" i="1" s="1"/>
  <c r="S271" i="1" s="1"/>
  <c r="S272" i="1" s="1"/>
  <c r="S273" i="1" s="1"/>
  <c r="S274" i="1" s="1"/>
  <c r="S275" i="1" s="1"/>
  <c r="S276" i="1" s="1"/>
  <c r="S277" i="1" s="1"/>
  <c r="S278" i="1" s="1"/>
  <c r="S279" i="1" s="1"/>
  <c r="S280" i="1" s="1"/>
  <c r="S281" i="1" s="1"/>
  <c r="S282" i="1" s="1"/>
  <c r="S283" i="1" s="1"/>
  <c r="S284" i="1" s="1"/>
  <c r="S285" i="1" s="1"/>
  <c r="S286" i="1" s="1"/>
  <c r="S287" i="1" s="1"/>
  <c r="S288" i="1" s="1"/>
  <c r="S289" i="1" s="1"/>
  <c r="S290" i="1" s="1"/>
  <c r="S291" i="1" s="1"/>
  <c r="S292" i="1" s="1"/>
  <c r="S293" i="1" s="1"/>
  <c r="S294" i="1" s="1"/>
  <c r="S295" i="1" s="1"/>
  <c r="S296" i="1" s="1"/>
  <c r="S297" i="1" s="1"/>
  <c r="S298" i="1" s="1"/>
  <c r="S299" i="1" s="1"/>
  <c r="S300" i="1" s="1"/>
  <c r="S301" i="1" s="1"/>
  <c r="S302" i="1" s="1"/>
  <c r="S303" i="1" s="1"/>
  <c r="S304" i="1" s="1"/>
  <c r="S305" i="1" s="1"/>
  <c r="S306" i="1" s="1"/>
  <c r="S307" i="1" s="1"/>
  <c r="S308" i="1" s="1"/>
  <c r="S309" i="1" s="1"/>
  <c r="S310" i="1" s="1"/>
  <c r="S311" i="1" s="1"/>
  <c r="S312" i="1" s="1"/>
  <c r="S313" i="1" s="1"/>
  <c r="S314" i="1" s="1"/>
  <c r="S315" i="1" s="1"/>
  <c r="S316" i="1" s="1"/>
  <c r="S317" i="1" s="1"/>
  <c r="S318" i="1" s="1"/>
  <c r="S319" i="1" s="1"/>
  <c r="S320" i="1" s="1"/>
  <c r="S321" i="1" s="1"/>
  <c r="S322" i="1" s="1"/>
  <c r="S323" i="1" s="1"/>
  <c r="S324" i="1" s="1"/>
  <c r="S325" i="1" s="1"/>
  <c r="S326" i="1" s="1"/>
  <c r="S327" i="1" s="1"/>
  <c r="S328" i="1" s="1"/>
  <c r="S329" i="1" s="1"/>
  <c r="S330" i="1" s="1"/>
  <c r="S331" i="1" s="1"/>
  <c r="S332" i="1" s="1"/>
  <c r="S333" i="1" s="1"/>
  <c r="S334" i="1" s="1"/>
  <c r="S335" i="1" s="1"/>
  <c r="S336" i="1" s="1"/>
  <c r="S337" i="1" s="1"/>
  <c r="S338" i="1" s="1"/>
  <c r="S339" i="1" s="1"/>
  <c r="S340" i="1" s="1"/>
  <c r="S341" i="1" s="1"/>
  <c r="S342" i="1" s="1"/>
  <c r="S343" i="1" s="1"/>
  <c r="S344" i="1" s="1"/>
  <c r="S345" i="1" s="1"/>
  <c r="S346" i="1" s="1"/>
  <c r="S347" i="1" s="1"/>
  <c r="S348" i="1" s="1"/>
  <c r="S349" i="1" s="1"/>
  <c r="S350" i="1" s="1"/>
  <c r="S351" i="1" s="1"/>
  <c r="S352" i="1" s="1"/>
  <c r="S353" i="1" s="1"/>
  <c r="S354" i="1" s="1"/>
  <c r="S355" i="1" s="1"/>
  <c r="S356" i="1" s="1"/>
  <c r="S357" i="1" s="1"/>
  <c r="S358" i="1" s="1"/>
  <c r="S359" i="1" s="1"/>
  <c r="S360" i="1" s="1"/>
  <c r="S361" i="1" s="1"/>
  <c r="S362" i="1" s="1"/>
  <c r="S363" i="1" s="1"/>
  <c r="S364" i="1" s="1"/>
  <c r="S365" i="1" s="1"/>
  <c r="S366" i="1" s="1"/>
  <c r="S367" i="1" s="1"/>
  <c r="S368" i="1" s="1"/>
  <c r="S369" i="1" s="1"/>
  <c r="S370" i="1" s="1"/>
  <c r="S371" i="1" s="1"/>
  <c r="S372" i="1" s="1"/>
  <c r="S373" i="1" s="1"/>
  <c r="S374" i="1" s="1"/>
  <c r="S375" i="1" s="1"/>
  <c r="S376" i="1" s="1"/>
  <c r="S377" i="1" s="1"/>
  <c r="S378" i="1" s="1"/>
  <c r="S379" i="1" s="1"/>
  <c r="S380" i="1" s="1"/>
  <c r="S381" i="1" s="1"/>
  <c r="S382" i="1" s="1"/>
  <c r="S383" i="1" s="1"/>
  <c r="S384" i="1" s="1"/>
  <c r="S385" i="1" s="1"/>
  <c r="S386" i="1" s="1"/>
  <c r="S387" i="1" s="1"/>
  <c r="S388" i="1" s="1"/>
  <c r="S389" i="1" s="1"/>
  <c r="S390" i="1" s="1"/>
  <c r="S391" i="1" s="1"/>
  <c r="S392" i="1" s="1"/>
  <c r="S393" i="1" s="1"/>
  <c r="S394" i="1" s="1"/>
  <c r="S395" i="1" s="1"/>
  <c r="S396" i="1" s="1"/>
  <c r="S397" i="1" s="1"/>
  <c r="S398" i="1" s="1"/>
  <c r="S399" i="1" s="1"/>
  <c r="S400" i="1" s="1"/>
  <c r="S401" i="1" s="1"/>
  <c r="S402" i="1" s="1"/>
  <c r="S403" i="1" s="1"/>
  <c r="S404" i="1" s="1"/>
  <c r="S405" i="1" s="1"/>
  <c r="S406" i="1" s="1"/>
  <c r="S407" i="1" s="1"/>
  <c r="S408" i="1" s="1"/>
  <c r="S409" i="1" s="1"/>
  <c r="S410" i="1" s="1"/>
  <c r="S411" i="1" s="1"/>
  <c r="S412" i="1" s="1"/>
  <c r="S413" i="1" s="1"/>
  <c r="S414" i="1" s="1"/>
  <c r="S415" i="1" s="1"/>
  <c r="S416" i="1" s="1"/>
  <c r="S417" i="1" s="1"/>
  <c r="S418" i="1" s="1"/>
  <c r="S419" i="1" s="1"/>
  <c r="S420" i="1" s="1"/>
  <c r="S421" i="1" s="1"/>
  <c r="S422" i="1" s="1"/>
  <c r="S423" i="1" s="1"/>
  <c r="S424" i="1" s="1"/>
  <c r="S425" i="1" s="1"/>
  <c r="S426" i="1" s="1"/>
  <c r="S427" i="1" s="1"/>
  <c r="S428" i="1" s="1"/>
  <c r="S429" i="1" s="1"/>
  <c r="S430" i="1" s="1"/>
  <c r="S431" i="1" s="1"/>
  <c r="S432" i="1" s="1"/>
  <c r="S433" i="1" s="1"/>
  <c r="S434" i="1" s="1"/>
  <c r="S435" i="1" s="1"/>
  <c r="S436" i="1" s="1"/>
  <c r="S437" i="1" s="1"/>
  <c r="S438" i="1" s="1"/>
  <c r="S439" i="1" s="1"/>
  <c r="S440" i="1" s="1"/>
  <c r="S441" i="1" s="1"/>
  <c r="S442" i="1" s="1"/>
  <c r="S443" i="1" s="1"/>
  <c r="S444" i="1" s="1"/>
  <c r="S445" i="1" s="1"/>
  <c r="S446" i="1" s="1"/>
  <c r="S447" i="1" s="1"/>
  <c r="S448" i="1" s="1"/>
  <c r="S449" i="1" s="1"/>
  <c r="S450" i="1" s="1"/>
  <c r="S451" i="1" s="1"/>
  <c r="S452" i="1" s="1"/>
  <c r="S453" i="1" s="1"/>
  <c r="S454" i="1" s="1"/>
  <c r="S455" i="1" s="1"/>
  <c r="S456" i="1" s="1"/>
  <c r="S457" i="1" s="1"/>
  <c r="S458" i="1" s="1"/>
  <c r="S459" i="1" s="1"/>
  <c r="S460" i="1" s="1"/>
  <c r="S461" i="1" s="1"/>
  <c r="S462" i="1" s="1"/>
  <c r="S463" i="1" s="1"/>
  <c r="S464" i="1" s="1"/>
  <c r="S465" i="1" s="1"/>
  <c r="S466" i="1" s="1"/>
  <c r="S467" i="1" s="1"/>
  <c r="S468" i="1" s="1"/>
  <c r="S469" i="1" s="1"/>
  <c r="S470" i="1" s="1"/>
  <c r="S471" i="1" s="1"/>
  <c r="S472" i="1" s="1"/>
  <c r="S473" i="1" s="1"/>
  <c r="S474" i="1" s="1"/>
  <c r="S475" i="1" s="1"/>
  <c r="S476" i="1" s="1"/>
  <c r="S477" i="1" s="1"/>
  <c r="S478" i="1" s="1"/>
  <c r="S479" i="1" s="1"/>
  <c r="S480" i="1" s="1"/>
  <c r="S481" i="1" s="1"/>
  <c r="S482" i="1" s="1"/>
  <c r="S483" i="1" s="1"/>
  <c r="S484" i="1" s="1"/>
  <c r="S485" i="1" s="1"/>
  <c r="S486" i="1" s="1"/>
  <c r="S487" i="1" s="1"/>
  <c r="S488" i="1" s="1"/>
  <c r="S489" i="1" s="1"/>
  <c r="S490" i="1" s="1"/>
  <c r="S491" i="1" s="1"/>
  <c r="S492" i="1" s="1"/>
  <c r="S493" i="1" s="1"/>
  <c r="S494" i="1" s="1"/>
  <c r="S495" i="1" s="1"/>
  <c r="S496" i="1" s="1"/>
  <c r="S497" i="1" s="1"/>
  <c r="S498" i="1" s="1"/>
  <c r="S499" i="1" s="1"/>
  <c r="S500" i="1" s="1"/>
  <c r="S501" i="1" s="1"/>
  <c r="S502" i="1" s="1"/>
  <c r="S503" i="1" s="1"/>
  <c r="S504" i="1" s="1"/>
  <c r="S505" i="1" s="1"/>
  <c r="S506" i="1" s="1"/>
  <c r="S507" i="1" s="1"/>
  <c r="S508" i="1" s="1"/>
  <c r="S509" i="1" s="1"/>
  <c r="S510" i="1" s="1"/>
  <c r="S511" i="1" s="1"/>
  <c r="S512" i="1" s="1"/>
  <c r="S513" i="1" s="1"/>
  <c r="S514" i="1" s="1"/>
  <c r="S515" i="1" s="1"/>
  <c r="S516" i="1" s="1"/>
  <c r="S517" i="1" s="1"/>
  <c r="S518" i="1" s="1"/>
  <c r="S519" i="1" s="1"/>
  <c r="S520" i="1" s="1"/>
  <c r="S521" i="1" s="1"/>
  <c r="S522" i="1" s="1"/>
  <c r="S523" i="1" s="1"/>
  <c r="S524" i="1" s="1"/>
  <c r="S525" i="1" s="1"/>
  <c r="S526" i="1" s="1"/>
  <c r="S527" i="1" s="1"/>
  <c r="S528" i="1" s="1"/>
  <c r="S529" i="1" s="1"/>
  <c r="S530" i="1" s="1"/>
  <c r="S531" i="1" s="1"/>
  <c r="S532" i="1" s="1"/>
  <c r="S533" i="1" s="1"/>
  <c r="S534" i="1" s="1"/>
  <c r="S535" i="1" s="1"/>
  <c r="S536" i="1" s="1"/>
  <c r="S537" i="1" s="1"/>
  <c r="S538" i="1" s="1"/>
  <c r="S539" i="1" s="1"/>
  <c r="S540" i="1" s="1"/>
  <c r="S541" i="1" s="1"/>
  <c r="S542" i="1" s="1"/>
  <c r="S543" i="1" s="1"/>
  <c r="S544" i="1" s="1"/>
  <c r="S545" i="1" s="1"/>
  <c r="S546" i="1" s="1"/>
  <c r="S547" i="1" s="1"/>
  <c r="S548" i="1" s="1"/>
  <c r="S549" i="1" s="1"/>
  <c r="S550" i="1" s="1"/>
  <c r="S551" i="1" s="1"/>
  <c r="S552" i="1" s="1"/>
  <c r="S553" i="1" s="1"/>
  <c r="S554" i="1" s="1"/>
  <c r="S555" i="1" s="1"/>
  <c r="S556" i="1" s="1"/>
  <c r="S557" i="1" s="1"/>
  <c r="S558" i="1" s="1"/>
  <c r="S559" i="1" s="1"/>
  <c r="S560" i="1" s="1"/>
  <c r="S561" i="1" s="1"/>
  <c r="S562" i="1" s="1"/>
  <c r="S563" i="1" s="1"/>
  <c r="S564" i="1" s="1"/>
  <c r="S565" i="1" s="1"/>
  <c r="S566" i="1" s="1"/>
  <c r="S567" i="1" s="1"/>
  <c r="S568" i="1" s="1"/>
  <c r="S569" i="1" s="1"/>
  <c r="S570" i="1" s="1"/>
  <c r="S571" i="1" s="1"/>
  <c r="S572" i="1" s="1"/>
  <c r="S573" i="1" s="1"/>
  <c r="S574" i="1" s="1"/>
  <c r="S575" i="1" s="1"/>
  <c r="S576" i="1" s="1"/>
  <c r="S577" i="1" s="1"/>
  <c r="S578" i="1" s="1"/>
  <c r="S579" i="1" s="1"/>
  <c r="S580" i="1" s="1"/>
  <c r="S581" i="1" s="1"/>
  <c r="S582" i="1" s="1"/>
  <c r="S583" i="1" s="1"/>
  <c r="S584" i="1" s="1"/>
  <c r="S585" i="1" s="1"/>
  <c r="S586" i="1" s="1"/>
  <c r="S587" i="1" s="1"/>
  <c r="S588" i="1" s="1"/>
  <c r="S589" i="1" s="1"/>
  <c r="S590" i="1" s="1"/>
  <c r="S591" i="1" s="1"/>
  <c r="S592" i="1" s="1"/>
  <c r="S593" i="1" s="1"/>
  <c r="S594" i="1" s="1"/>
  <c r="S595" i="1" s="1"/>
  <c r="S596" i="1" s="1"/>
  <c r="S597" i="1" s="1"/>
  <c r="S598" i="1" s="1"/>
  <c r="S599" i="1" s="1"/>
  <c r="S600" i="1" s="1"/>
  <c r="S601" i="1" s="1"/>
  <c r="S602" i="1" s="1"/>
  <c r="S603" i="1" s="1"/>
  <c r="S604" i="1" s="1"/>
  <c r="S605" i="1" s="1"/>
  <c r="S606" i="1" s="1"/>
  <c r="S607" i="1" s="1"/>
  <c r="S608" i="1" s="1"/>
  <c r="S609" i="1" s="1"/>
  <c r="S610" i="1" s="1"/>
  <c r="S611" i="1" s="1"/>
  <c r="S612" i="1" s="1"/>
  <c r="S613" i="1" s="1"/>
  <c r="S614" i="1" s="1"/>
  <c r="S615" i="1" s="1"/>
  <c r="S616" i="1" s="1"/>
  <c r="S617" i="1" s="1"/>
  <c r="S618" i="1" s="1"/>
  <c r="S619" i="1" s="1"/>
  <c r="S620" i="1" s="1"/>
  <c r="S621" i="1" s="1"/>
  <c r="S622" i="1" s="1"/>
  <c r="S623" i="1" s="1"/>
  <c r="S624" i="1" s="1"/>
  <c r="S625" i="1" s="1"/>
  <c r="S626" i="1" s="1"/>
  <c r="S627" i="1" s="1"/>
  <c r="S628" i="1" s="1"/>
  <c r="S629" i="1" s="1"/>
  <c r="S630" i="1" s="1"/>
  <c r="S631" i="1" s="1"/>
  <c r="S632" i="1" s="1"/>
  <c r="S633" i="1" s="1"/>
  <c r="S634" i="1" s="1"/>
  <c r="S635" i="1" s="1"/>
  <c r="S636" i="1" s="1"/>
  <c r="S637" i="1" s="1"/>
  <c r="S638" i="1" s="1"/>
  <c r="S639" i="1" s="1"/>
  <c r="S640" i="1" s="1"/>
  <c r="S641" i="1" s="1"/>
  <c r="S642" i="1" s="1"/>
  <c r="S643" i="1" s="1"/>
  <c r="S644" i="1" s="1"/>
  <c r="S645" i="1" s="1"/>
  <c r="S646" i="1" s="1"/>
  <c r="S647" i="1" s="1"/>
  <c r="S648" i="1" s="1"/>
  <c r="S649" i="1" s="1"/>
  <c r="S650" i="1" s="1"/>
  <c r="S651" i="1" s="1"/>
  <c r="S652" i="1" s="1"/>
  <c r="S653" i="1" s="1"/>
  <c r="S654" i="1" s="1"/>
  <c r="S655" i="1" s="1"/>
  <c r="S656" i="1" s="1"/>
  <c r="S657" i="1" s="1"/>
  <c r="S658" i="1" s="1"/>
  <c r="S659" i="1" s="1"/>
  <c r="S660" i="1" s="1"/>
  <c r="S661" i="1" s="1"/>
  <c r="S662" i="1" s="1"/>
  <c r="S663" i="1" s="1"/>
  <c r="S664" i="1" s="1"/>
  <c r="S665" i="1" s="1"/>
  <c r="S666" i="1" s="1"/>
  <c r="S667" i="1" s="1"/>
  <c r="S668" i="1" s="1"/>
  <c r="S669" i="1" s="1"/>
  <c r="S670" i="1" s="1"/>
  <c r="S671" i="1" s="1"/>
  <c r="S672" i="1" s="1"/>
  <c r="S673" i="1" s="1"/>
  <c r="S674" i="1" s="1"/>
  <c r="S675" i="1" s="1"/>
  <c r="S676" i="1" s="1"/>
  <c r="S677" i="1" s="1"/>
  <c r="S678" i="1" s="1"/>
  <c r="S679" i="1" s="1"/>
  <c r="S680" i="1" s="1"/>
  <c r="S681" i="1" s="1"/>
  <c r="S682" i="1" s="1"/>
  <c r="S683" i="1" s="1"/>
  <c r="S684" i="1" s="1"/>
  <c r="S685" i="1" s="1"/>
  <c r="S686" i="1" s="1"/>
  <c r="S687" i="1" s="1"/>
  <c r="S688" i="1" s="1"/>
  <c r="S689" i="1" s="1"/>
  <c r="S690" i="1" s="1"/>
  <c r="S691" i="1" s="1"/>
  <c r="S692" i="1" s="1"/>
  <c r="S693" i="1" s="1"/>
  <c r="S694" i="1" s="1"/>
  <c r="S695" i="1" s="1"/>
  <c r="S696" i="1" s="1"/>
  <c r="S697" i="1" s="1"/>
  <c r="S698" i="1" s="1"/>
  <c r="S699" i="1" s="1"/>
  <c r="S700" i="1" s="1"/>
  <c r="S701" i="1" s="1"/>
  <c r="S702" i="1" s="1"/>
  <c r="S703" i="1" s="1"/>
  <c r="S704" i="1" s="1"/>
  <c r="S705" i="1" s="1"/>
  <c r="S706" i="1" s="1"/>
  <c r="S707" i="1" s="1"/>
  <c r="S708" i="1" s="1"/>
  <c r="S709" i="1" s="1"/>
  <c r="S710" i="1" s="1"/>
  <c r="S711" i="1" s="1"/>
  <c r="S712" i="1" s="1"/>
  <c r="S713" i="1" s="1"/>
  <c r="S714" i="1" s="1"/>
  <c r="S715" i="1" s="1"/>
  <c r="S716" i="1" s="1"/>
  <c r="S717" i="1" s="1"/>
  <c r="S718" i="1" s="1"/>
  <c r="S719" i="1" s="1"/>
  <c r="S720" i="1" s="1"/>
  <c r="S721" i="1" s="1"/>
  <c r="S722" i="1" s="1"/>
  <c r="S723" i="1" s="1"/>
  <c r="S724" i="1" s="1"/>
  <c r="S725" i="1" s="1"/>
  <c r="S726" i="1" s="1"/>
  <c r="S727" i="1" s="1"/>
  <c r="S728" i="1" s="1"/>
  <c r="S729" i="1" s="1"/>
  <c r="S730" i="1" s="1"/>
  <c r="S731" i="1" s="1"/>
  <c r="S732" i="1" s="1"/>
  <c r="S733" i="1" s="1"/>
  <c r="S734" i="1" s="1"/>
  <c r="S735" i="1" s="1"/>
  <c r="S736" i="1" s="1"/>
  <c r="S737" i="1" s="1"/>
  <c r="S738" i="1" s="1"/>
  <c r="S739" i="1" s="1"/>
  <c r="S740" i="1" s="1"/>
  <c r="S741" i="1" s="1"/>
  <c r="S742" i="1" s="1"/>
  <c r="S743" i="1" s="1"/>
  <c r="S744" i="1" s="1"/>
  <c r="S745" i="1" s="1"/>
  <c r="S746" i="1" s="1"/>
  <c r="S747" i="1" s="1"/>
  <c r="S748" i="1" s="1"/>
  <c r="S749" i="1" s="1"/>
  <c r="S750" i="1" s="1"/>
  <c r="S751" i="1" s="1"/>
  <c r="S752" i="1" s="1"/>
  <c r="S753" i="1" s="1"/>
  <c r="S754" i="1" s="1"/>
  <c r="S755" i="1" s="1"/>
  <c r="S756" i="1" s="1"/>
  <c r="S757" i="1" s="1"/>
  <c r="S758" i="1" s="1"/>
  <c r="S759" i="1" s="1"/>
  <c r="S760" i="1" s="1"/>
  <c r="S761" i="1" s="1"/>
  <c r="S762" i="1" s="1"/>
  <c r="S763" i="1" s="1"/>
  <c r="S764" i="1" s="1"/>
  <c r="S765" i="1" s="1"/>
  <c r="S766" i="1" s="1"/>
  <c r="S767" i="1" s="1"/>
  <c r="S768" i="1" s="1"/>
  <c r="S769" i="1" s="1"/>
  <c r="S770" i="1" s="1"/>
  <c r="S771" i="1" s="1"/>
  <c r="S772" i="1" s="1"/>
  <c r="S773" i="1" s="1"/>
  <c r="S774" i="1" s="1"/>
  <c r="S775" i="1" s="1"/>
  <c r="S776" i="1" s="1"/>
  <c r="S777" i="1" s="1"/>
  <c r="S778" i="1" s="1"/>
  <c r="S779" i="1" s="1"/>
  <c r="S780" i="1" s="1"/>
  <c r="S781" i="1" s="1"/>
  <c r="S782" i="1" s="1"/>
  <c r="S783" i="1" s="1"/>
  <c r="S784" i="1" s="1"/>
  <c r="S785" i="1" s="1"/>
  <c r="S786" i="1" s="1"/>
  <c r="S787" i="1" s="1"/>
  <c r="S788" i="1" s="1"/>
  <c r="S789" i="1" s="1"/>
  <c r="S790" i="1" s="1"/>
  <c r="S791" i="1" s="1"/>
  <c r="S792" i="1" s="1"/>
  <c r="S793" i="1" s="1"/>
  <c r="S794" i="1" s="1"/>
  <c r="S795" i="1" s="1"/>
  <c r="S796" i="1" s="1"/>
  <c r="S797" i="1" s="1"/>
  <c r="S798" i="1" s="1"/>
  <c r="S799" i="1" s="1"/>
  <c r="S800" i="1" s="1"/>
  <c r="S801" i="1" s="1"/>
  <c r="S802" i="1" s="1"/>
  <c r="S803" i="1" s="1"/>
  <c r="S804" i="1" s="1"/>
  <c r="S805" i="1" s="1"/>
  <c r="S806" i="1" s="1"/>
  <c r="S807" i="1" s="1"/>
  <c r="S808" i="1" s="1"/>
  <c r="S809" i="1" s="1"/>
  <c r="S810" i="1" s="1"/>
  <c r="S811" i="1" s="1"/>
  <c r="S812" i="1" s="1"/>
  <c r="S813" i="1" s="1"/>
  <c r="S814" i="1" s="1"/>
  <c r="S815" i="1" s="1"/>
  <c r="S816" i="1" s="1"/>
  <c r="S817" i="1" s="1"/>
  <c r="S818" i="1" s="1"/>
  <c r="S819" i="1" s="1"/>
  <c r="S820" i="1" s="1"/>
  <c r="S821" i="1" s="1"/>
  <c r="S822" i="1" s="1"/>
  <c r="S823" i="1" s="1"/>
  <c r="S824" i="1" s="1"/>
  <c r="S825" i="1" s="1"/>
  <c r="S826" i="1" s="1"/>
  <c r="S827" i="1" s="1"/>
  <c r="S828" i="1" s="1"/>
  <c r="S829" i="1" s="1"/>
  <c r="S830" i="1" s="1"/>
  <c r="S831" i="1" s="1"/>
  <c r="S832" i="1" s="1"/>
  <c r="S833" i="1" s="1"/>
  <c r="S834" i="1" s="1"/>
  <c r="S835" i="1" s="1"/>
  <c r="S836" i="1" s="1"/>
  <c r="S837" i="1" s="1"/>
  <c r="S838" i="1" s="1"/>
  <c r="S839" i="1" s="1"/>
  <c r="S840" i="1" s="1"/>
  <c r="S841" i="1" s="1"/>
  <c r="S842" i="1" s="1"/>
  <c r="S843" i="1" s="1"/>
  <c r="S844" i="1" s="1"/>
  <c r="S845" i="1" s="1"/>
  <c r="S846" i="1" s="1"/>
  <c r="S847" i="1" s="1"/>
  <c r="S848" i="1" s="1"/>
  <c r="S849" i="1" s="1"/>
  <c r="S850" i="1" s="1"/>
  <c r="S851" i="1" s="1"/>
  <c r="S852" i="1" s="1"/>
  <c r="S853" i="1" s="1"/>
  <c r="S854" i="1" s="1"/>
  <c r="S855" i="1" s="1"/>
  <c r="S856" i="1" s="1"/>
  <c r="S857" i="1" s="1"/>
  <c r="S858" i="1" s="1"/>
  <c r="S859" i="1" s="1"/>
  <c r="S860" i="1" s="1"/>
  <c r="S861" i="1" s="1"/>
  <c r="S862" i="1" s="1"/>
  <c r="S863" i="1" s="1"/>
  <c r="S864" i="1" s="1"/>
  <c r="S865" i="1" s="1"/>
  <c r="S866" i="1" s="1"/>
  <c r="S867" i="1" s="1"/>
  <c r="S868" i="1" s="1"/>
  <c r="S869" i="1" s="1"/>
  <c r="S870" i="1" s="1"/>
  <c r="S871" i="1" s="1"/>
  <c r="S872" i="1" s="1"/>
  <c r="S873" i="1" s="1"/>
  <c r="S874" i="1" s="1"/>
  <c r="S875" i="1" s="1"/>
  <c r="S876" i="1" s="1"/>
  <c r="S877" i="1" s="1"/>
  <c r="S878" i="1" s="1"/>
  <c r="S879" i="1" s="1"/>
  <c r="S880" i="1" s="1"/>
  <c r="S881" i="1" s="1"/>
  <c r="S882" i="1" s="1"/>
  <c r="S883" i="1" s="1"/>
  <c r="S884" i="1" s="1"/>
  <c r="S885" i="1" s="1"/>
  <c r="S886" i="1" s="1"/>
  <c r="S887" i="1" s="1"/>
  <c r="S888" i="1" s="1"/>
  <c r="S889" i="1" s="1"/>
  <c r="S890" i="1" s="1"/>
  <c r="S891" i="1" s="1"/>
  <c r="S892" i="1" s="1"/>
  <c r="S893" i="1" s="1"/>
  <c r="S894" i="1" s="1"/>
  <c r="S895" i="1" s="1"/>
  <c r="S896" i="1" s="1"/>
  <c r="S897" i="1" s="1"/>
  <c r="S898" i="1" s="1"/>
  <c r="S899" i="1" s="1"/>
  <c r="S900" i="1" s="1"/>
  <c r="S901" i="1" s="1"/>
  <c r="S902" i="1" s="1"/>
  <c r="S903" i="1" s="1"/>
  <c r="S904" i="1" s="1"/>
  <c r="S905" i="1" s="1"/>
  <c r="S906" i="1" s="1"/>
  <c r="S907" i="1" s="1"/>
  <c r="S908" i="1" s="1"/>
  <c r="S909" i="1" s="1"/>
  <c r="S910" i="1" s="1"/>
  <c r="S911" i="1" s="1"/>
  <c r="S912" i="1" s="1"/>
  <c r="S913" i="1" s="1"/>
  <c r="S914" i="1" s="1"/>
  <c r="S915" i="1" s="1"/>
  <c r="S916" i="1" s="1"/>
  <c r="S917" i="1" s="1"/>
  <c r="S918" i="1" s="1"/>
  <c r="S919" i="1" s="1"/>
  <c r="S920" i="1" s="1"/>
  <c r="S921" i="1" s="1"/>
  <c r="S922" i="1" s="1"/>
  <c r="S923" i="1" s="1"/>
  <c r="S924" i="1" s="1"/>
  <c r="S925" i="1" s="1"/>
  <c r="S926" i="1" s="1"/>
  <c r="S927" i="1" s="1"/>
  <c r="S928" i="1" s="1"/>
  <c r="S929" i="1" s="1"/>
  <c r="S930" i="1" s="1"/>
  <c r="S931" i="1" s="1"/>
  <c r="S932" i="1" s="1"/>
  <c r="S933" i="1" s="1"/>
  <c r="S934" i="1" s="1"/>
  <c r="S935" i="1" s="1"/>
  <c r="S936" i="1" s="1"/>
  <c r="S937" i="1" s="1"/>
  <c r="S938" i="1" s="1"/>
  <c r="S939" i="1" s="1"/>
  <c r="S940" i="1" s="1"/>
  <c r="S941" i="1" s="1"/>
  <c r="S942" i="1" s="1"/>
  <c r="S943" i="1" s="1"/>
  <c r="S944" i="1" s="1"/>
  <c r="S945" i="1" s="1"/>
  <c r="S946" i="1" s="1"/>
  <c r="S947" i="1" s="1"/>
  <c r="S948" i="1" s="1"/>
  <c r="S949" i="1" s="1"/>
  <c r="S950" i="1" s="1"/>
  <c r="S951" i="1" s="1"/>
  <c r="S952" i="1" s="1"/>
  <c r="S953" i="1" s="1"/>
  <c r="S954" i="1" s="1"/>
  <c r="S955" i="1" s="1"/>
  <c r="S956" i="1" s="1"/>
  <c r="S957" i="1" s="1"/>
  <c r="S958" i="1" s="1"/>
  <c r="S959" i="1" s="1"/>
  <c r="S960" i="1" s="1"/>
  <c r="S961" i="1" s="1"/>
  <c r="S962" i="1" s="1"/>
  <c r="S963" i="1" s="1"/>
  <c r="S964" i="1" s="1"/>
  <c r="S965" i="1" s="1"/>
  <c r="S966" i="1" s="1"/>
  <c r="S967" i="1" s="1"/>
  <c r="S968" i="1" s="1"/>
  <c r="S969" i="1" s="1"/>
  <c r="S970" i="1" s="1"/>
  <c r="S971" i="1" s="1"/>
  <c r="S972" i="1" s="1"/>
  <c r="S973" i="1" s="1"/>
  <c r="S974" i="1" s="1"/>
  <c r="S975" i="1" s="1"/>
  <c r="S976" i="1" s="1"/>
  <c r="S977" i="1" s="1"/>
  <c r="S978" i="1" s="1"/>
  <c r="S979" i="1" s="1"/>
  <c r="S980" i="1" s="1"/>
  <c r="S981" i="1" s="1"/>
  <c r="S982" i="1" s="1"/>
  <c r="S983" i="1" s="1"/>
  <c r="S984" i="1" s="1"/>
  <c r="S985" i="1" s="1"/>
  <c r="S986" i="1" s="1"/>
  <c r="S987" i="1" s="1"/>
  <c r="S988" i="1" s="1"/>
  <c r="S989" i="1" s="1"/>
  <c r="S990" i="1" s="1"/>
  <c r="S991" i="1" s="1"/>
  <c r="S992" i="1" s="1"/>
  <c r="S993" i="1" s="1"/>
  <c r="S994" i="1" s="1"/>
  <c r="S995" i="1" s="1"/>
  <c r="S996" i="1" s="1"/>
  <c r="S997" i="1" s="1"/>
  <c r="S998" i="1" s="1"/>
  <c r="S999" i="1" s="1"/>
  <c r="S1000" i="1" s="1"/>
  <c r="S1001" i="1" s="1"/>
  <c r="S1002" i="1" s="1"/>
  <c r="S1003" i="1" s="1"/>
  <c r="S1004" i="1" s="1"/>
  <c r="S1005" i="1" s="1"/>
  <c r="S1006" i="1" s="1"/>
  <c r="S1007" i="1" s="1"/>
  <c r="S1008" i="1" s="1"/>
  <c r="S1009" i="1" s="1"/>
  <c r="S1010" i="1" s="1"/>
  <c r="S1011" i="1" s="1"/>
  <c r="S1012" i="1" s="1"/>
  <c r="S1013" i="1" s="1"/>
  <c r="S1014" i="1" s="1"/>
  <c r="S1015" i="1" s="1"/>
  <c r="S1016" i="1" s="1"/>
  <c r="S1017" i="1" s="1"/>
  <c r="S1018" i="1" s="1"/>
  <c r="S1019" i="1" s="1"/>
  <c r="S1020" i="1" s="1"/>
  <c r="S1021" i="1" s="1"/>
  <c r="S1022" i="1" s="1"/>
  <c r="S1023" i="1" s="1"/>
  <c r="S1024" i="1" s="1"/>
  <c r="S1025" i="1" s="1"/>
  <c r="T26" i="1"/>
  <c r="T27" i="1" l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T54" i="1" s="1"/>
  <c r="T55" i="1" s="1"/>
  <c r="T56" i="1" s="1"/>
  <c r="T57" i="1" s="1"/>
  <c r="T58" i="1" s="1"/>
  <c r="T59" i="1" s="1"/>
  <c r="T60" i="1" s="1"/>
  <c r="T61" i="1" s="1"/>
  <c r="T62" i="1" s="1"/>
  <c r="T63" i="1" s="1"/>
  <c r="T64" i="1" s="1"/>
  <c r="T65" i="1" s="1"/>
  <c r="T66" i="1" s="1"/>
  <c r="T67" i="1" s="1"/>
  <c r="T68" i="1" s="1"/>
  <c r="T69" i="1" s="1"/>
  <c r="T70" i="1" s="1"/>
  <c r="T71" i="1" s="1"/>
  <c r="T72" i="1" s="1"/>
  <c r="T73" i="1" s="1"/>
  <c r="T74" i="1" s="1"/>
  <c r="T75" i="1" s="1"/>
  <c r="T76" i="1" s="1"/>
  <c r="T77" i="1" s="1"/>
  <c r="T78" i="1" s="1"/>
  <c r="T79" i="1" s="1"/>
  <c r="T80" i="1" s="1"/>
  <c r="T81" i="1" s="1"/>
  <c r="T82" i="1" s="1"/>
  <c r="T83" i="1" s="1"/>
  <c r="T84" i="1" s="1"/>
  <c r="T85" i="1" s="1"/>
  <c r="T86" i="1" s="1"/>
  <c r="T87" i="1" s="1"/>
  <c r="T88" i="1" s="1"/>
  <c r="T89" i="1" s="1"/>
  <c r="T90" i="1" s="1"/>
  <c r="T91" i="1" s="1"/>
  <c r="T92" i="1" s="1"/>
  <c r="T93" i="1" s="1"/>
  <c r="T94" i="1" s="1"/>
  <c r="T95" i="1" s="1"/>
  <c r="T96" i="1" s="1"/>
  <c r="T97" i="1" s="1"/>
  <c r="T98" i="1" s="1"/>
  <c r="T99" i="1" s="1"/>
  <c r="T100" i="1" s="1"/>
  <c r="T101" i="1" s="1"/>
  <c r="T102" i="1" s="1"/>
  <c r="T103" i="1" s="1"/>
  <c r="T104" i="1" s="1"/>
  <c r="T105" i="1" s="1"/>
  <c r="T106" i="1" s="1"/>
  <c r="T107" i="1" s="1"/>
  <c r="T108" i="1" s="1"/>
  <c r="T109" i="1" s="1"/>
  <c r="T110" i="1" s="1"/>
  <c r="T111" i="1" s="1"/>
  <c r="T112" i="1" s="1"/>
  <c r="T113" i="1" s="1"/>
  <c r="T114" i="1" s="1"/>
  <c r="T115" i="1" s="1"/>
  <c r="T116" i="1" s="1"/>
  <c r="T117" i="1" s="1"/>
  <c r="T118" i="1" s="1"/>
  <c r="T119" i="1" s="1"/>
  <c r="T120" i="1" s="1"/>
  <c r="T121" i="1" s="1"/>
  <c r="T122" i="1" s="1"/>
  <c r="T123" i="1" s="1"/>
  <c r="T124" i="1" s="1"/>
  <c r="T125" i="1" s="1"/>
  <c r="T126" i="1" s="1"/>
  <c r="T127" i="1" s="1"/>
  <c r="T128" i="1" s="1"/>
  <c r="T129" i="1" s="1"/>
  <c r="T130" i="1" s="1"/>
  <c r="T131" i="1" s="1"/>
  <c r="T132" i="1" s="1"/>
  <c r="T133" i="1" s="1"/>
  <c r="T134" i="1" s="1"/>
  <c r="T135" i="1" s="1"/>
  <c r="T136" i="1" s="1"/>
  <c r="T137" i="1" s="1"/>
  <c r="T138" i="1" s="1"/>
  <c r="T139" i="1" s="1"/>
  <c r="T140" i="1" s="1"/>
  <c r="T141" i="1" s="1"/>
  <c r="T142" i="1" s="1"/>
  <c r="T143" i="1" s="1"/>
  <c r="T144" i="1" s="1"/>
  <c r="T145" i="1" s="1"/>
  <c r="T146" i="1" s="1"/>
  <c r="T147" i="1" s="1"/>
  <c r="T148" i="1" s="1"/>
  <c r="T149" i="1" s="1"/>
  <c r="T150" i="1" s="1"/>
  <c r="T151" i="1" s="1"/>
  <c r="T152" i="1" s="1"/>
  <c r="T153" i="1" s="1"/>
  <c r="T154" i="1" s="1"/>
  <c r="T155" i="1" s="1"/>
  <c r="T156" i="1" s="1"/>
  <c r="T157" i="1" s="1"/>
  <c r="T158" i="1" s="1"/>
  <c r="T159" i="1" s="1"/>
  <c r="T160" i="1" s="1"/>
  <c r="T161" i="1" s="1"/>
  <c r="T162" i="1" s="1"/>
  <c r="T163" i="1" s="1"/>
  <c r="T164" i="1" s="1"/>
  <c r="T165" i="1" s="1"/>
  <c r="T166" i="1" s="1"/>
  <c r="T167" i="1" s="1"/>
  <c r="T168" i="1" s="1"/>
  <c r="T169" i="1" s="1"/>
  <c r="T170" i="1" s="1"/>
  <c r="T171" i="1" s="1"/>
  <c r="T172" i="1" s="1"/>
  <c r="T173" i="1" s="1"/>
  <c r="T174" i="1" s="1"/>
  <c r="T175" i="1" s="1"/>
  <c r="T176" i="1" s="1"/>
  <c r="T177" i="1" s="1"/>
  <c r="T178" i="1" s="1"/>
  <c r="T179" i="1" s="1"/>
  <c r="T180" i="1" s="1"/>
  <c r="T181" i="1" s="1"/>
  <c r="T182" i="1" s="1"/>
  <c r="T183" i="1" s="1"/>
  <c r="T184" i="1" s="1"/>
  <c r="T185" i="1" s="1"/>
  <c r="T186" i="1" s="1"/>
  <c r="T187" i="1" s="1"/>
  <c r="T188" i="1" s="1"/>
  <c r="T189" i="1" s="1"/>
  <c r="T190" i="1" s="1"/>
  <c r="T191" i="1" s="1"/>
  <c r="T192" i="1" s="1"/>
  <c r="T193" i="1" s="1"/>
  <c r="T194" i="1" s="1"/>
  <c r="T195" i="1" s="1"/>
  <c r="T196" i="1" s="1"/>
  <c r="T197" i="1" s="1"/>
  <c r="T198" i="1" s="1"/>
  <c r="T199" i="1" s="1"/>
  <c r="T200" i="1" s="1"/>
  <c r="T201" i="1" s="1"/>
  <c r="T202" i="1" s="1"/>
  <c r="T203" i="1" s="1"/>
  <c r="T204" i="1" s="1"/>
  <c r="T205" i="1" s="1"/>
  <c r="T206" i="1" s="1"/>
  <c r="T207" i="1" s="1"/>
  <c r="T208" i="1" s="1"/>
  <c r="T209" i="1" s="1"/>
  <c r="T210" i="1" s="1"/>
  <c r="T211" i="1" s="1"/>
  <c r="T212" i="1" s="1"/>
  <c r="T213" i="1" s="1"/>
  <c r="T214" i="1" s="1"/>
  <c r="T215" i="1" s="1"/>
  <c r="T216" i="1" s="1"/>
  <c r="T217" i="1" s="1"/>
  <c r="T218" i="1" s="1"/>
  <c r="T219" i="1" s="1"/>
  <c r="T220" i="1" s="1"/>
  <c r="T221" i="1" s="1"/>
  <c r="T222" i="1" s="1"/>
  <c r="T223" i="1" s="1"/>
  <c r="T224" i="1" s="1"/>
  <c r="T225" i="1" s="1"/>
  <c r="T226" i="1" s="1"/>
  <c r="T227" i="1" s="1"/>
  <c r="T228" i="1" s="1"/>
  <c r="T229" i="1" s="1"/>
  <c r="T230" i="1" s="1"/>
  <c r="T231" i="1" s="1"/>
  <c r="T232" i="1" s="1"/>
  <c r="T233" i="1" s="1"/>
  <c r="T234" i="1" s="1"/>
  <c r="T235" i="1" s="1"/>
  <c r="T236" i="1" s="1"/>
  <c r="T237" i="1" s="1"/>
  <c r="T238" i="1" s="1"/>
  <c r="T239" i="1" s="1"/>
  <c r="T240" i="1" s="1"/>
  <c r="T241" i="1" s="1"/>
  <c r="T242" i="1" s="1"/>
  <c r="T243" i="1" s="1"/>
  <c r="T244" i="1" s="1"/>
  <c r="T245" i="1" s="1"/>
  <c r="T246" i="1" s="1"/>
  <c r="T247" i="1" s="1"/>
  <c r="T248" i="1" s="1"/>
  <c r="T249" i="1" s="1"/>
  <c r="T250" i="1" s="1"/>
  <c r="T251" i="1" s="1"/>
  <c r="T252" i="1" s="1"/>
  <c r="T253" i="1" s="1"/>
  <c r="T254" i="1" s="1"/>
  <c r="T255" i="1" s="1"/>
  <c r="T256" i="1" s="1"/>
  <c r="T257" i="1" s="1"/>
  <c r="T258" i="1" s="1"/>
  <c r="T259" i="1" s="1"/>
  <c r="T260" i="1" s="1"/>
  <c r="T261" i="1" s="1"/>
  <c r="T262" i="1" s="1"/>
  <c r="T263" i="1" s="1"/>
  <c r="T264" i="1" s="1"/>
  <c r="T265" i="1" s="1"/>
  <c r="T266" i="1" s="1"/>
  <c r="T267" i="1" s="1"/>
  <c r="T268" i="1" s="1"/>
  <c r="T269" i="1" s="1"/>
  <c r="T270" i="1" s="1"/>
  <c r="T271" i="1" s="1"/>
  <c r="T272" i="1" s="1"/>
  <c r="T273" i="1" s="1"/>
  <c r="T274" i="1" s="1"/>
  <c r="T275" i="1" s="1"/>
  <c r="T276" i="1" s="1"/>
  <c r="T277" i="1" s="1"/>
  <c r="T278" i="1" s="1"/>
  <c r="T279" i="1" s="1"/>
  <c r="T280" i="1" s="1"/>
  <c r="T281" i="1" s="1"/>
  <c r="T282" i="1" s="1"/>
  <c r="T283" i="1" s="1"/>
  <c r="T284" i="1" s="1"/>
  <c r="T285" i="1" s="1"/>
  <c r="T286" i="1" s="1"/>
  <c r="T287" i="1" s="1"/>
  <c r="T288" i="1" s="1"/>
  <c r="T289" i="1" s="1"/>
  <c r="T290" i="1" s="1"/>
  <c r="T291" i="1" s="1"/>
  <c r="T292" i="1" s="1"/>
  <c r="T293" i="1" s="1"/>
  <c r="T294" i="1" s="1"/>
  <c r="T295" i="1" s="1"/>
  <c r="T296" i="1" s="1"/>
  <c r="T297" i="1" s="1"/>
  <c r="T298" i="1" s="1"/>
  <c r="T299" i="1" s="1"/>
  <c r="T300" i="1" s="1"/>
  <c r="T301" i="1" s="1"/>
  <c r="T302" i="1" s="1"/>
  <c r="T303" i="1" s="1"/>
  <c r="T304" i="1" s="1"/>
  <c r="T305" i="1" s="1"/>
  <c r="T306" i="1" s="1"/>
  <c r="T307" i="1" s="1"/>
  <c r="T308" i="1" s="1"/>
  <c r="T309" i="1" s="1"/>
  <c r="T310" i="1" s="1"/>
  <c r="T311" i="1" s="1"/>
  <c r="T312" i="1" s="1"/>
  <c r="T313" i="1" s="1"/>
  <c r="T314" i="1" s="1"/>
  <c r="T315" i="1" s="1"/>
  <c r="T316" i="1" s="1"/>
  <c r="T317" i="1" s="1"/>
  <c r="T318" i="1" s="1"/>
  <c r="T319" i="1" s="1"/>
  <c r="T320" i="1" s="1"/>
  <c r="T321" i="1" s="1"/>
  <c r="T322" i="1" s="1"/>
  <c r="T323" i="1" s="1"/>
  <c r="T324" i="1" s="1"/>
  <c r="T325" i="1" s="1"/>
  <c r="T326" i="1" s="1"/>
  <c r="T327" i="1" s="1"/>
  <c r="T328" i="1" s="1"/>
  <c r="T329" i="1" s="1"/>
  <c r="T330" i="1" s="1"/>
  <c r="T331" i="1" s="1"/>
  <c r="T332" i="1" s="1"/>
  <c r="T333" i="1" s="1"/>
  <c r="T334" i="1" s="1"/>
  <c r="T335" i="1" s="1"/>
  <c r="T336" i="1" s="1"/>
  <c r="T337" i="1" s="1"/>
  <c r="T338" i="1" s="1"/>
  <c r="T339" i="1" s="1"/>
  <c r="T340" i="1" s="1"/>
  <c r="T341" i="1" s="1"/>
  <c r="T342" i="1" s="1"/>
  <c r="T343" i="1" s="1"/>
  <c r="T344" i="1" s="1"/>
  <c r="T345" i="1" s="1"/>
  <c r="T346" i="1" s="1"/>
  <c r="T347" i="1" s="1"/>
  <c r="T348" i="1" s="1"/>
  <c r="T349" i="1" s="1"/>
  <c r="T350" i="1" s="1"/>
  <c r="T351" i="1" s="1"/>
  <c r="T352" i="1" s="1"/>
  <c r="T353" i="1" s="1"/>
  <c r="T354" i="1" s="1"/>
  <c r="T355" i="1" s="1"/>
  <c r="T356" i="1" s="1"/>
  <c r="T357" i="1" s="1"/>
  <c r="T358" i="1" s="1"/>
  <c r="T359" i="1" s="1"/>
  <c r="T360" i="1" s="1"/>
  <c r="T361" i="1" s="1"/>
  <c r="T362" i="1" s="1"/>
  <c r="T363" i="1" s="1"/>
  <c r="T364" i="1" s="1"/>
  <c r="T365" i="1" s="1"/>
  <c r="T366" i="1" s="1"/>
  <c r="T367" i="1" s="1"/>
  <c r="T368" i="1" s="1"/>
  <c r="T369" i="1" s="1"/>
  <c r="T370" i="1" s="1"/>
  <c r="T371" i="1" s="1"/>
  <c r="T372" i="1" s="1"/>
  <c r="T373" i="1" s="1"/>
  <c r="T374" i="1" s="1"/>
  <c r="T375" i="1" s="1"/>
  <c r="T376" i="1" s="1"/>
  <c r="T377" i="1" s="1"/>
  <c r="T378" i="1" s="1"/>
  <c r="T379" i="1" s="1"/>
  <c r="T380" i="1" s="1"/>
  <c r="T381" i="1" s="1"/>
  <c r="T382" i="1" s="1"/>
  <c r="T383" i="1" s="1"/>
  <c r="T384" i="1" s="1"/>
  <c r="T385" i="1" s="1"/>
  <c r="T386" i="1" s="1"/>
  <c r="T387" i="1" s="1"/>
  <c r="T388" i="1" s="1"/>
  <c r="T389" i="1" s="1"/>
  <c r="T390" i="1" s="1"/>
  <c r="T391" i="1" s="1"/>
  <c r="T392" i="1" s="1"/>
  <c r="T393" i="1" s="1"/>
  <c r="T394" i="1" s="1"/>
  <c r="T395" i="1" s="1"/>
  <c r="T396" i="1" s="1"/>
  <c r="T397" i="1" s="1"/>
  <c r="T398" i="1" s="1"/>
  <c r="T399" i="1" s="1"/>
  <c r="T400" i="1" s="1"/>
  <c r="T401" i="1" s="1"/>
  <c r="T402" i="1" s="1"/>
  <c r="T403" i="1" s="1"/>
  <c r="T404" i="1" s="1"/>
  <c r="T405" i="1" s="1"/>
  <c r="T406" i="1" s="1"/>
  <c r="T407" i="1" s="1"/>
  <c r="T408" i="1" s="1"/>
  <c r="T409" i="1" s="1"/>
  <c r="T410" i="1" s="1"/>
  <c r="T411" i="1" s="1"/>
  <c r="T412" i="1" s="1"/>
  <c r="T413" i="1" s="1"/>
  <c r="T414" i="1" s="1"/>
  <c r="T415" i="1" s="1"/>
  <c r="T416" i="1" s="1"/>
  <c r="T417" i="1" s="1"/>
  <c r="T418" i="1" s="1"/>
  <c r="T419" i="1" s="1"/>
  <c r="T420" i="1" s="1"/>
  <c r="T421" i="1" s="1"/>
  <c r="T422" i="1" s="1"/>
  <c r="T423" i="1" s="1"/>
  <c r="T424" i="1" s="1"/>
  <c r="T425" i="1" s="1"/>
  <c r="T426" i="1" s="1"/>
  <c r="T427" i="1" s="1"/>
  <c r="T428" i="1" s="1"/>
  <c r="T429" i="1" s="1"/>
  <c r="T430" i="1" s="1"/>
  <c r="T431" i="1" s="1"/>
  <c r="T432" i="1" s="1"/>
  <c r="T433" i="1" s="1"/>
  <c r="T434" i="1" s="1"/>
  <c r="T435" i="1" s="1"/>
  <c r="T436" i="1" s="1"/>
  <c r="T437" i="1" s="1"/>
  <c r="T438" i="1" s="1"/>
  <c r="T439" i="1" s="1"/>
  <c r="T440" i="1" s="1"/>
  <c r="T441" i="1" s="1"/>
  <c r="T442" i="1" s="1"/>
  <c r="T443" i="1" s="1"/>
  <c r="T444" i="1" s="1"/>
  <c r="T445" i="1" s="1"/>
  <c r="T446" i="1" s="1"/>
  <c r="T447" i="1" s="1"/>
  <c r="T448" i="1" s="1"/>
  <c r="T449" i="1" s="1"/>
  <c r="T450" i="1" s="1"/>
  <c r="T451" i="1" s="1"/>
  <c r="T452" i="1" s="1"/>
  <c r="T453" i="1" s="1"/>
  <c r="T454" i="1" s="1"/>
  <c r="T455" i="1" s="1"/>
  <c r="T456" i="1" s="1"/>
  <c r="T457" i="1" s="1"/>
  <c r="T458" i="1" s="1"/>
  <c r="T459" i="1" s="1"/>
  <c r="T460" i="1" s="1"/>
  <c r="T461" i="1" s="1"/>
  <c r="T462" i="1" s="1"/>
  <c r="T463" i="1" s="1"/>
  <c r="T464" i="1" s="1"/>
  <c r="T465" i="1" s="1"/>
  <c r="T466" i="1" s="1"/>
  <c r="T467" i="1" s="1"/>
  <c r="T468" i="1" s="1"/>
  <c r="T469" i="1" s="1"/>
  <c r="T470" i="1" s="1"/>
  <c r="T471" i="1" s="1"/>
  <c r="T472" i="1" s="1"/>
  <c r="T473" i="1" s="1"/>
  <c r="T474" i="1" s="1"/>
  <c r="T475" i="1" s="1"/>
  <c r="T476" i="1" s="1"/>
  <c r="T477" i="1" s="1"/>
  <c r="T478" i="1" s="1"/>
  <c r="T479" i="1" s="1"/>
  <c r="T480" i="1" s="1"/>
  <c r="T481" i="1" s="1"/>
  <c r="T482" i="1" s="1"/>
  <c r="T483" i="1" s="1"/>
  <c r="T484" i="1" s="1"/>
  <c r="T485" i="1" s="1"/>
  <c r="T486" i="1" s="1"/>
  <c r="T487" i="1" s="1"/>
  <c r="T488" i="1" s="1"/>
  <c r="T489" i="1" s="1"/>
  <c r="T490" i="1" s="1"/>
  <c r="T491" i="1" s="1"/>
  <c r="T492" i="1" s="1"/>
  <c r="T493" i="1" s="1"/>
  <c r="T494" i="1" s="1"/>
  <c r="T495" i="1" s="1"/>
  <c r="T496" i="1" s="1"/>
  <c r="T497" i="1" s="1"/>
  <c r="T498" i="1" s="1"/>
  <c r="T499" i="1" s="1"/>
  <c r="T500" i="1" s="1"/>
  <c r="T501" i="1" s="1"/>
  <c r="T502" i="1" s="1"/>
  <c r="T503" i="1" s="1"/>
  <c r="T504" i="1" s="1"/>
  <c r="T505" i="1" s="1"/>
  <c r="T506" i="1" s="1"/>
  <c r="T507" i="1" s="1"/>
  <c r="T508" i="1" s="1"/>
  <c r="T509" i="1" s="1"/>
  <c r="T510" i="1" s="1"/>
  <c r="T511" i="1" s="1"/>
  <c r="T512" i="1" s="1"/>
  <c r="T513" i="1" s="1"/>
  <c r="T514" i="1" s="1"/>
  <c r="T515" i="1" s="1"/>
  <c r="T516" i="1" s="1"/>
  <c r="T517" i="1" s="1"/>
  <c r="T518" i="1" s="1"/>
  <c r="T519" i="1" s="1"/>
  <c r="T520" i="1" s="1"/>
  <c r="T521" i="1" s="1"/>
  <c r="T522" i="1" s="1"/>
  <c r="T523" i="1" s="1"/>
  <c r="T524" i="1" s="1"/>
  <c r="T525" i="1" s="1"/>
  <c r="T526" i="1" s="1"/>
  <c r="T527" i="1" s="1"/>
  <c r="T528" i="1" s="1"/>
  <c r="T529" i="1" s="1"/>
  <c r="T530" i="1" s="1"/>
  <c r="T531" i="1" s="1"/>
  <c r="T532" i="1" s="1"/>
  <c r="T533" i="1" s="1"/>
  <c r="T534" i="1" s="1"/>
  <c r="T535" i="1" s="1"/>
  <c r="T536" i="1" s="1"/>
  <c r="T537" i="1" s="1"/>
  <c r="T538" i="1" s="1"/>
  <c r="T539" i="1" s="1"/>
  <c r="T540" i="1" s="1"/>
  <c r="T541" i="1" s="1"/>
  <c r="T542" i="1" s="1"/>
  <c r="T543" i="1" s="1"/>
  <c r="T544" i="1" s="1"/>
  <c r="T545" i="1" s="1"/>
  <c r="T546" i="1" s="1"/>
  <c r="T547" i="1" s="1"/>
  <c r="T548" i="1" s="1"/>
  <c r="T549" i="1" s="1"/>
  <c r="T550" i="1" s="1"/>
  <c r="T551" i="1" s="1"/>
  <c r="T552" i="1" s="1"/>
  <c r="T553" i="1" s="1"/>
  <c r="T554" i="1" s="1"/>
  <c r="T555" i="1" s="1"/>
  <c r="T556" i="1" s="1"/>
  <c r="T557" i="1" s="1"/>
  <c r="T558" i="1" s="1"/>
  <c r="T559" i="1" s="1"/>
  <c r="T560" i="1" s="1"/>
  <c r="T561" i="1" s="1"/>
  <c r="T562" i="1" s="1"/>
  <c r="T563" i="1" s="1"/>
  <c r="T564" i="1" s="1"/>
  <c r="T565" i="1" s="1"/>
  <c r="T566" i="1" s="1"/>
  <c r="T567" i="1" s="1"/>
  <c r="T568" i="1" s="1"/>
  <c r="T569" i="1" s="1"/>
  <c r="T570" i="1" s="1"/>
  <c r="T571" i="1" s="1"/>
  <c r="T572" i="1" s="1"/>
  <c r="T573" i="1" s="1"/>
  <c r="T574" i="1" s="1"/>
  <c r="T575" i="1" s="1"/>
  <c r="T576" i="1" s="1"/>
  <c r="T577" i="1" s="1"/>
  <c r="T578" i="1" s="1"/>
  <c r="T579" i="1" s="1"/>
  <c r="T580" i="1" s="1"/>
  <c r="T581" i="1" s="1"/>
  <c r="T582" i="1" s="1"/>
  <c r="T583" i="1" s="1"/>
  <c r="T584" i="1" s="1"/>
  <c r="T585" i="1" s="1"/>
  <c r="T586" i="1" s="1"/>
  <c r="T587" i="1" s="1"/>
  <c r="T588" i="1" s="1"/>
  <c r="T589" i="1" s="1"/>
  <c r="T590" i="1" s="1"/>
  <c r="T591" i="1" s="1"/>
  <c r="T592" i="1" s="1"/>
  <c r="T593" i="1" s="1"/>
  <c r="T594" i="1" s="1"/>
  <c r="T595" i="1" s="1"/>
  <c r="T596" i="1" s="1"/>
  <c r="T597" i="1" s="1"/>
  <c r="T598" i="1" s="1"/>
  <c r="T599" i="1" s="1"/>
  <c r="T600" i="1" s="1"/>
  <c r="T601" i="1" s="1"/>
  <c r="T602" i="1" s="1"/>
  <c r="T603" i="1" s="1"/>
  <c r="T604" i="1" s="1"/>
  <c r="T605" i="1" s="1"/>
  <c r="T606" i="1" s="1"/>
  <c r="T607" i="1" s="1"/>
  <c r="T608" i="1" s="1"/>
  <c r="T609" i="1" s="1"/>
  <c r="T610" i="1" s="1"/>
  <c r="T611" i="1" s="1"/>
  <c r="T612" i="1" s="1"/>
  <c r="T613" i="1" s="1"/>
  <c r="T614" i="1" s="1"/>
  <c r="T615" i="1" s="1"/>
  <c r="T616" i="1" s="1"/>
  <c r="T617" i="1" s="1"/>
  <c r="T618" i="1" s="1"/>
  <c r="T619" i="1" s="1"/>
  <c r="T620" i="1" s="1"/>
  <c r="T621" i="1" s="1"/>
  <c r="T622" i="1" s="1"/>
  <c r="T623" i="1" s="1"/>
  <c r="T624" i="1" s="1"/>
  <c r="T625" i="1" s="1"/>
  <c r="T626" i="1" s="1"/>
  <c r="T627" i="1" s="1"/>
  <c r="T628" i="1" s="1"/>
  <c r="T629" i="1" s="1"/>
  <c r="T630" i="1" s="1"/>
  <c r="T631" i="1" s="1"/>
  <c r="T632" i="1" s="1"/>
  <c r="T633" i="1" s="1"/>
  <c r="T634" i="1" s="1"/>
  <c r="T635" i="1" s="1"/>
  <c r="T636" i="1" s="1"/>
  <c r="T637" i="1" s="1"/>
  <c r="T638" i="1" s="1"/>
  <c r="T639" i="1" s="1"/>
  <c r="T640" i="1" s="1"/>
  <c r="T641" i="1" s="1"/>
  <c r="T642" i="1" s="1"/>
  <c r="T643" i="1" s="1"/>
  <c r="T644" i="1" s="1"/>
  <c r="T645" i="1" s="1"/>
  <c r="T646" i="1" s="1"/>
  <c r="T647" i="1" s="1"/>
  <c r="T648" i="1" s="1"/>
  <c r="T649" i="1" s="1"/>
  <c r="T650" i="1" s="1"/>
  <c r="T651" i="1" s="1"/>
  <c r="T652" i="1" s="1"/>
  <c r="T653" i="1" s="1"/>
  <c r="T654" i="1" s="1"/>
  <c r="T655" i="1" s="1"/>
  <c r="T656" i="1" s="1"/>
  <c r="T657" i="1" s="1"/>
  <c r="T658" i="1" s="1"/>
  <c r="T659" i="1" s="1"/>
  <c r="T660" i="1" s="1"/>
  <c r="T661" i="1" s="1"/>
  <c r="T662" i="1" s="1"/>
  <c r="T663" i="1" s="1"/>
  <c r="T664" i="1" s="1"/>
  <c r="T665" i="1" s="1"/>
  <c r="T666" i="1" s="1"/>
  <c r="T667" i="1" s="1"/>
  <c r="T668" i="1" s="1"/>
  <c r="T669" i="1" s="1"/>
  <c r="T670" i="1" s="1"/>
  <c r="T671" i="1" s="1"/>
  <c r="T672" i="1" s="1"/>
  <c r="T673" i="1" s="1"/>
  <c r="T674" i="1" s="1"/>
  <c r="T675" i="1" s="1"/>
  <c r="T676" i="1" s="1"/>
  <c r="T677" i="1" s="1"/>
  <c r="T678" i="1" s="1"/>
  <c r="T679" i="1" s="1"/>
  <c r="T680" i="1" s="1"/>
  <c r="T681" i="1" s="1"/>
  <c r="T682" i="1" s="1"/>
  <c r="T683" i="1" s="1"/>
  <c r="T684" i="1" s="1"/>
  <c r="T685" i="1" s="1"/>
  <c r="T686" i="1" s="1"/>
  <c r="T687" i="1" s="1"/>
  <c r="T688" i="1" s="1"/>
  <c r="T689" i="1" s="1"/>
  <c r="T690" i="1" s="1"/>
  <c r="T691" i="1" s="1"/>
  <c r="T692" i="1" s="1"/>
  <c r="T693" i="1" s="1"/>
  <c r="T694" i="1" s="1"/>
  <c r="T695" i="1" s="1"/>
  <c r="T696" i="1" s="1"/>
  <c r="T697" i="1" s="1"/>
  <c r="T698" i="1" s="1"/>
  <c r="T699" i="1" s="1"/>
  <c r="T700" i="1" s="1"/>
  <c r="T701" i="1" s="1"/>
  <c r="T702" i="1" s="1"/>
  <c r="T703" i="1" s="1"/>
  <c r="T704" i="1" s="1"/>
  <c r="T705" i="1" s="1"/>
  <c r="T706" i="1" s="1"/>
  <c r="T707" i="1" s="1"/>
  <c r="T708" i="1" s="1"/>
  <c r="T709" i="1" s="1"/>
  <c r="T710" i="1" s="1"/>
  <c r="T711" i="1" s="1"/>
  <c r="T712" i="1" s="1"/>
  <c r="T713" i="1" s="1"/>
  <c r="T714" i="1" s="1"/>
  <c r="T715" i="1" s="1"/>
  <c r="T716" i="1" s="1"/>
  <c r="T717" i="1" s="1"/>
  <c r="T718" i="1" s="1"/>
  <c r="T719" i="1" s="1"/>
  <c r="T720" i="1" s="1"/>
  <c r="T721" i="1" s="1"/>
  <c r="T722" i="1" s="1"/>
  <c r="T723" i="1" s="1"/>
  <c r="T724" i="1" s="1"/>
  <c r="T725" i="1" s="1"/>
  <c r="T726" i="1" s="1"/>
  <c r="T727" i="1" s="1"/>
  <c r="T728" i="1" s="1"/>
  <c r="T729" i="1" s="1"/>
  <c r="T730" i="1" s="1"/>
  <c r="T731" i="1" s="1"/>
  <c r="T732" i="1" s="1"/>
  <c r="T733" i="1" s="1"/>
  <c r="T734" i="1" s="1"/>
  <c r="T735" i="1" s="1"/>
  <c r="T736" i="1" s="1"/>
  <c r="T737" i="1" s="1"/>
  <c r="T738" i="1" s="1"/>
  <c r="T739" i="1" s="1"/>
  <c r="T740" i="1" s="1"/>
  <c r="T741" i="1" s="1"/>
  <c r="T742" i="1" s="1"/>
  <c r="T743" i="1" s="1"/>
  <c r="T744" i="1" s="1"/>
  <c r="T745" i="1" s="1"/>
  <c r="T746" i="1" s="1"/>
  <c r="T747" i="1" s="1"/>
  <c r="T748" i="1" s="1"/>
  <c r="T749" i="1" s="1"/>
  <c r="T750" i="1" s="1"/>
  <c r="T751" i="1" s="1"/>
  <c r="T752" i="1" s="1"/>
  <c r="T753" i="1" s="1"/>
  <c r="T754" i="1" s="1"/>
  <c r="T755" i="1" s="1"/>
  <c r="T756" i="1" s="1"/>
  <c r="T757" i="1" s="1"/>
  <c r="T758" i="1" s="1"/>
  <c r="T759" i="1" s="1"/>
  <c r="T760" i="1" s="1"/>
  <c r="T761" i="1" s="1"/>
  <c r="T762" i="1" s="1"/>
  <c r="T763" i="1" s="1"/>
  <c r="T764" i="1" s="1"/>
  <c r="T765" i="1" s="1"/>
  <c r="T766" i="1" s="1"/>
  <c r="T767" i="1" s="1"/>
  <c r="T768" i="1" s="1"/>
  <c r="T769" i="1" s="1"/>
  <c r="T770" i="1" s="1"/>
  <c r="T771" i="1" s="1"/>
  <c r="T772" i="1" s="1"/>
  <c r="T773" i="1" s="1"/>
  <c r="T774" i="1" s="1"/>
  <c r="T775" i="1" s="1"/>
  <c r="T776" i="1" s="1"/>
  <c r="T777" i="1" s="1"/>
  <c r="T778" i="1" s="1"/>
  <c r="T779" i="1" s="1"/>
  <c r="T780" i="1" s="1"/>
  <c r="T781" i="1" s="1"/>
  <c r="T782" i="1" s="1"/>
  <c r="T783" i="1" s="1"/>
  <c r="T784" i="1" s="1"/>
  <c r="T785" i="1" s="1"/>
  <c r="T786" i="1" s="1"/>
  <c r="T787" i="1" s="1"/>
  <c r="T788" i="1" s="1"/>
  <c r="T789" i="1" s="1"/>
  <c r="T790" i="1" s="1"/>
  <c r="T791" i="1" s="1"/>
  <c r="T792" i="1" s="1"/>
  <c r="T793" i="1" s="1"/>
  <c r="T794" i="1" s="1"/>
  <c r="T795" i="1" s="1"/>
  <c r="T796" i="1" s="1"/>
  <c r="T797" i="1" s="1"/>
  <c r="T798" i="1" s="1"/>
  <c r="T799" i="1" s="1"/>
  <c r="T800" i="1" s="1"/>
  <c r="T801" i="1" s="1"/>
  <c r="T802" i="1" s="1"/>
  <c r="T803" i="1" s="1"/>
  <c r="T804" i="1" s="1"/>
  <c r="T805" i="1" s="1"/>
  <c r="T806" i="1" s="1"/>
  <c r="T807" i="1" s="1"/>
  <c r="T808" i="1" s="1"/>
  <c r="T809" i="1" s="1"/>
  <c r="T810" i="1" s="1"/>
  <c r="T811" i="1" s="1"/>
  <c r="T812" i="1" s="1"/>
  <c r="T813" i="1" s="1"/>
  <c r="T814" i="1" s="1"/>
  <c r="T815" i="1" s="1"/>
  <c r="T816" i="1" s="1"/>
  <c r="T817" i="1" s="1"/>
  <c r="T818" i="1" s="1"/>
  <c r="T819" i="1" s="1"/>
  <c r="T820" i="1" s="1"/>
  <c r="T821" i="1" s="1"/>
  <c r="T822" i="1" s="1"/>
  <c r="T823" i="1" s="1"/>
  <c r="T824" i="1" s="1"/>
  <c r="T825" i="1" s="1"/>
  <c r="T826" i="1" s="1"/>
  <c r="T827" i="1" s="1"/>
  <c r="T828" i="1" s="1"/>
  <c r="T829" i="1" s="1"/>
  <c r="T830" i="1" s="1"/>
  <c r="T831" i="1" s="1"/>
  <c r="T832" i="1" s="1"/>
  <c r="T833" i="1" s="1"/>
  <c r="T834" i="1" s="1"/>
  <c r="T835" i="1" s="1"/>
  <c r="T836" i="1" s="1"/>
  <c r="T837" i="1" s="1"/>
  <c r="T838" i="1" s="1"/>
  <c r="T839" i="1" s="1"/>
  <c r="T840" i="1" s="1"/>
  <c r="T841" i="1" s="1"/>
  <c r="T842" i="1" s="1"/>
  <c r="T843" i="1" s="1"/>
  <c r="T844" i="1" s="1"/>
  <c r="T845" i="1" s="1"/>
  <c r="T846" i="1" s="1"/>
  <c r="T847" i="1" s="1"/>
  <c r="T848" i="1" s="1"/>
  <c r="T849" i="1" s="1"/>
  <c r="T850" i="1" s="1"/>
  <c r="T851" i="1" s="1"/>
  <c r="T852" i="1" s="1"/>
  <c r="T853" i="1" s="1"/>
  <c r="T854" i="1" s="1"/>
  <c r="T855" i="1" s="1"/>
  <c r="T856" i="1" s="1"/>
  <c r="T857" i="1" s="1"/>
  <c r="T858" i="1" s="1"/>
  <c r="T859" i="1" s="1"/>
  <c r="T860" i="1" s="1"/>
  <c r="T861" i="1" s="1"/>
  <c r="T862" i="1" s="1"/>
  <c r="T863" i="1" s="1"/>
  <c r="T864" i="1" s="1"/>
  <c r="T865" i="1" s="1"/>
  <c r="T866" i="1" s="1"/>
  <c r="T867" i="1" s="1"/>
  <c r="T868" i="1" s="1"/>
  <c r="T869" i="1" s="1"/>
  <c r="T870" i="1" s="1"/>
  <c r="T871" i="1" s="1"/>
  <c r="T872" i="1" s="1"/>
  <c r="T873" i="1" s="1"/>
  <c r="T874" i="1" s="1"/>
  <c r="T875" i="1" s="1"/>
  <c r="T876" i="1" s="1"/>
  <c r="T877" i="1" s="1"/>
  <c r="T878" i="1" s="1"/>
  <c r="T879" i="1" s="1"/>
  <c r="T880" i="1" s="1"/>
  <c r="T881" i="1" s="1"/>
  <c r="T882" i="1" s="1"/>
  <c r="T883" i="1" s="1"/>
  <c r="T884" i="1" s="1"/>
  <c r="T885" i="1" s="1"/>
  <c r="T886" i="1" s="1"/>
  <c r="T887" i="1" s="1"/>
  <c r="T888" i="1" s="1"/>
  <c r="T889" i="1" s="1"/>
  <c r="T890" i="1" s="1"/>
  <c r="T891" i="1" s="1"/>
  <c r="T892" i="1" s="1"/>
  <c r="T893" i="1" s="1"/>
  <c r="T894" i="1" s="1"/>
  <c r="T895" i="1" s="1"/>
  <c r="T896" i="1" s="1"/>
  <c r="T897" i="1" s="1"/>
  <c r="T898" i="1" s="1"/>
  <c r="T899" i="1" s="1"/>
  <c r="T900" i="1" s="1"/>
  <c r="T901" i="1" s="1"/>
  <c r="T902" i="1" s="1"/>
  <c r="T903" i="1" s="1"/>
  <c r="T904" i="1" s="1"/>
  <c r="T905" i="1" s="1"/>
  <c r="T906" i="1" s="1"/>
  <c r="T907" i="1" s="1"/>
  <c r="T908" i="1" s="1"/>
  <c r="T909" i="1" s="1"/>
  <c r="T910" i="1" s="1"/>
  <c r="T911" i="1" s="1"/>
  <c r="T912" i="1" s="1"/>
  <c r="T913" i="1" s="1"/>
  <c r="T914" i="1" s="1"/>
  <c r="T915" i="1" s="1"/>
  <c r="T916" i="1" s="1"/>
  <c r="T917" i="1" s="1"/>
  <c r="T918" i="1" s="1"/>
  <c r="T919" i="1" s="1"/>
  <c r="T920" i="1" s="1"/>
  <c r="T921" i="1" s="1"/>
  <c r="T922" i="1" s="1"/>
  <c r="T923" i="1" s="1"/>
  <c r="T924" i="1" s="1"/>
  <c r="T925" i="1" s="1"/>
  <c r="T926" i="1" s="1"/>
  <c r="T927" i="1" s="1"/>
  <c r="T928" i="1" s="1"/>
  <c r="T929" i="1" s="1"/>
  <c r="T930" i="1" s="1"/>
  <c r="T931" i="1" s="1"/>
  <c r="T932" i="1" s="1"/>
  <c r="T933" i="1" s="1"/>
  <c r="T934" i="1" s="1"/>
  <c r="T935" i="1" s="1"/>
  <c r="T936" i="1" s="1"/>
  <c r="T937" i="1" s="1"/>
  <c r="T938" i="1" s="1"/>
  <c r="T939" i="1" s="1"/>
  <c r="T940" i="1" s="1"/>
  <c r="T941" i="1" s="1"/>
  <c r="T942" i="1" s="1"/>
  <c r="T943" i="1" s="1"/>
  <c r="T944" i="1" s="1"/>
  <c r="T945" i="1" s="1"/>
  <c r="T946" i="1" s="1"/>
  <c r="T947" i="1" s="1"/>
  <c r="T948" i="1" s="1"/>
  <c r="T949" i="1" s="1"/>
  <c r="T950" i="1" s="1"/>
  <c r="T951" i="1" s="1"/>
  <c r="T952" i="1" s="1"/>
  <c r="T953" i="1" s="1"/>
  <c r="T954" i="1" s="1"/>
  <c r="T955" i="1" s="1"/>
  <c r="T956" i="1" s="1"/>
  <c r="T957" i="1" s="1"/>
  <c r="T958" i="1" s="1"/>
  <c r="T959" i="1" s="1"/>
  <c r="T960" i="1" s="1"/>
  <c r="T961" i="1" s="1"/>
  <c r="T962" i="1" s="1"/>
  <c r="T963" i="1" s="1"/>
  <c r="T964" i="1" s="1"/>
  <c r="T965" i="1" s="1"/>
  <c r="T966" i="1" s="1"/>
  <c r="T967" i="1" s="1"/>
  <c r="T968" i="1" s="1"/>
  <c r="T969" i="1" s="1"/>
  <c r="T970" i="1" s="1"/>
  <c r="T971" i="1" s="1"/>
  <c r="T972" i="1" s="1"/>
  <c r="T973" i="1" s="1"/>
  <c r="T974" i="1" s="1"/>
  <c r="T975" i="1" s="1"/>
  <c r="T976" i="1" s="1"/>
  <c r="T977" i="1" s="1"/>
  <c r="T978" i="1" s="1"/>
  <c r="T979" i="1" s="1"/>
  <c r="T980" i="1" s="1"/>
  <c r="T981" i="1" s="1"/>
  <c r="T982" i="1" s="1"/>
  <c r="T983" i="1" s="1"/>
  <c r="T984" i="1" s="1"/>
  <c r="T985" i="1" s="1"/>
  <c r="T986" i="1" s="1"/>
  <c r="T987" i="1" s="1"/>
  <c r="T988" i="1" s="1"/>
  <c r="T989" i="1" s="1"/>
  <c r="T990" i="1" s="1"/>
  <c r="T991" i="1" s="1"/>
  <c r="T992" i="1" s="1"/>
  <c r="T993" i="1" s="1"/>
  <c r="T994" i="1" s="1"/>
  <c r="T995" i="1" s="1"/>
  <c r="T996" i="1" s="1"/>
  <c r="T997" i="1" s="1"/>
  <c r="T998" i="1" s="1"/>
  <c r="T999" i="1" s="1"/>
  <c r="T1000" i="1" s="1"/>
  <c r="T1001" i="1" s="1"/>
  <c r="T1002" i="1" s="1"/>
  <c r="T1003" i="1" s="1"/>
  <c r="T1004" i="1" s="1"/>
  <c r="T1005" i="1" s="1"/>
  <c r="T1006" i="1" s="1"/>
  <c r="T1007" i="1" s="1"/>
  <c r="T1008" i="1" s="1"/>
  <c r="T1009" i="1" s="1"/>
  <c r="T1010" i="1" s="1"/>
  <c r="T1011" i="1" s="1"/>
  <c r="T1012" i="1" s="1"/>
  <c r="T1013" i="1" s="1"/>
  <c r="T1014" i="1" s="1"/>
  <c r="T1015" i="1" s="1"/>
  <c r="T1016" i="1" s="1"/>
  <c r="T1017" i="1" s="1"/>
  <c r="T1018" i="1" s="1"/>
  <c r="T1019" i="1" s="1"/>
  <c r="T1020" i="1" s="1"/>
  <c r="T1021" i="1" s="1"/>
  <c r="T1022" i="1" s="1"/>
  <c r="T1023" i="1" s="1"/>
  <c r="T1024" i="1" s="1"/>
  <c r="T1025" i="1" s="1"/>
  <c r="U26" i="1"/>
  <c r="L19" i="1"/>
  <c r="U27" i="1" l="1"/>
  <c r="U28" i="1" s="1"/>
  <c r="U29" i="1" s="1"/>
  <c r="U30" i="1" s="1"/>
  <c r="U31" i="1" s="1"/>
  <c r="U32" i="1" s="1"/>
  <c r="U33" i="1" s="1"/>
  <c r="U34" i="1" s="1"/>
  <c r="U35" i="1" s="1"/>
  <c r="U36" i="1" s="1"/>
  <c r="U37" i="1" s="1"/>
  <c r="U38" i="1" s="1"/>
  <c r="U39" i="1" s="1"/>
  <c r="U40" i="1" s="1"/>
  <c r="U41" i="1" s="1"/>
  <c r="U42" i="1" s="1"/>
  <c r="U43" i="1" s="1"/>
  <c r="U44" i="1" s="1"/>
  <c r="U45" i="1" s="1"/>
  <c r="U46" i="1" s="1"/>
  <c r="U47" i="1" s="1"/>
  <c r="U48" i="1" s="1"/>
  <c r="U49" i="1" s="1"/>
  <c r="U50" i="1" s="1"/>
  <c r="U51" i="1" s="1"/>
  <c r="U52" i="1" s="1"/>
  <c r="U53" i="1" s="1"/>
  <c r="U54" i="1" s="1"/>
  <c r="U55" i="1" s="1"/>
  <c r="U56" i="1" s="1"/>
  <c r="U57" i="1" s="1"/>
  <c r="U58" i="1" s="1"/>
  <c r="U59" i="1" s="1"/>
  <c r="U60" i="1" s="1"/>
  <c r="U61" i="1" s="1"/>
  <c r="U62" i="1" s="1"/>
  <c r="U63" i="1" s="1"/>
  <c r="U64" i="1" s="1"/>
  <c r="U65" i="1" s="1"/>
  <c r="U66" i="1" s="1"/>
  <c r="U67" i="1" s="1"/>
  <c r="U68" i="1" s="1"/>
  <c r="U69" i="1" s="1"/>
  <c r="U70" i="1" s="1"/>
  <c r="U71" i="1" s="1"/>
  <c r="U72" i="1" s="1"/>
  <c r="U73" i="1" s="1"/>
  <c r="U74" i="1" s="1"/>
  <c r="U75" i="1" s="1"/>
  <c r="U76" i="1" s="1"/>
  <c r="U77" i="1" s="1"/>
  <c r="U78" i="1" s="1"/>
  <c r="U79" i="1" s="1"/>
  <c r="U80" i="1" s="1"/>
  <c r="U81" i="1" s="1"/>
  <c r="U82" i="1" s="1"/>
  <c r="U83" i="1" s="1"/>
  <c r="U84" i="1" s="1"/>
  <c r="U85" i="1" s="1"/>
  <c r="U86" i="1" s="1"/>
  <c r="U87" i="1" s="1"/>
  <c r="U88" i="1" s="1"/>
  <c r="U89" i="1" s="1"/>
  <c r="U90" i="1" s="1"/>
  <c r="U91" i="1" s="1"/>
  <c r="U92" i="1" s="1"/>
  <c r="U93" i="1" s="1"/>
  <c r="U94" i="1" s="1"/>
  <c r="U95" i="1" s="1"/>
  <c r="U96" i="1" s="1"/>
  <c r="U97" i="1" s="1"/>
  <c r="U98" i="1" s="1"/>
  <c r="U99" i="1" s="1"/>
  <c r="U100" i="1" s="1"/>
  <c r="U101" i="1" s="1"/>
  <c r="U102" i="1" s="1"/>
  <c r="U103" i="1" s="1"/>
  <c r="U104" i="1" s="1"/>
  <c r="U105" i="1" s="1"/>
  <c r="U106" i="1" s="1"/>
  <c r="U107" i="1" s="1"/>
  <c r="U108" i="1" s="1"/>
  <c r="U109" i="1" s="1"/>
  <c r="U110" i="1" s="1"/>
  <c r="U111" i="1" s="1"/>
  <c r="U112" i="1" s="1"/>
  <c r="U113" i="1" s="1"/>
  <c r="U114" i="1" s="1"/>
  <c r="U115" i="1" s="1"/>
  <c r="U116" i="1" s="1"/>
  <c r="U117" i="1" s="1"/>
  <c r="U118" i="1" s="1"/>
  <c r="U119" i="1" s="1"/>
  <c r="U120" i="1" s="1"/>
  <c r="U121" i="1" s="1"/>
  <c r="U122" i="1" s="1"/>
  <c r="U123" i="1" s="1"/>
  <c r="U124" i="1" s="1"/>
  <c r="U125" i="1" s="1"/>
  <c r="U126" i="1" s="1"/>
  <c r="U127" i="1" s="1"/>
  <c r="U128" i="1" s="1"/>
  <c r="U129" i="1" s="1"/>
  <c r="U130" i="1" s="1"/>
  <c r="U131" i="1" s="1"/>
  <c r="U132" i="1" s="1"/>
  <c r="U133" i="1" s="1"/>
  <c r="U134" i="1" s="1"/>
  <c r="U135" i="1" s="1"/>
  <c r="U136" i="1" s="1"/>
  <c r="U137" i="1" s="1"/>
  <c r="U138" i="1" s="1"/>
  <c r="U139" i="1" s="1"/>
  <c r="U140" i="1" s="1"/>
  <c r="U141" i="1" s="1"/>
  <c r="U142" i="1" s="1"/>
  <c r="U143" i="1" s="1"/>
  <c r="U144" i="1" s="1"/>
  <c r="U145" i="1" s="1"/>
  <c r="U146" i="1" s="1"/>
  <c r="U147" i="1" s="1"/>
  <c r="U148" i="1" s="1"/>
  <c r="U149" i="1" s="1"/>
  <c r="U150" i="1" s="1"/>
  <c r="U151" i="1" s="1"/>
  <c r="U152" i="1" s="1"/>
  <c r="U153" i="1" s="1"/>
  <c r="U154" i="1" s="1"/>
  <c r="U155" i="1" s="1"/>
  <c r="U156" i="1" s="1"/>
  <c r="U157" i="1" s="1"/>
  <c r="U158" i="1" s="1"/>
  <c r="U159" i="1" s="1"/>
  <c r="U160" i="1" s="1"/>
  <c r="U161" i="1" s="1"/>
  <c r="U162" i="1" s="1"/>
  <c r="U163" i="1" s="1"/>
  <c r="U164" i="1" s="1"/>
  <c r="U165" i="1" s="1"/>
  <c r="U166" i="1" s="1"/>
  <c r="U167" i="1" s="1"/>
  <c r="U168" i="1" s="1"/>
  <c r="U169" i="1" s="1"/>
  <c r="U170" i="1" s="1"/>
  <c r="U171" i="1" s="1"/>
  <c r="U172" i="1" s="1"/>
  <c r="U173" i="1" s="1"/>
  <c r="U174" i="1" s="1"/>
  <c r="U175" i="1" s="1"/>
  <c r="U176" i="1" s="1"/>
  <c r="U177" i="1" s="1"/>
  <c r="U178" i="1" s="1"/>
  <c r="U179" i="1" s="1"/>
  <c r="U180" i="1" s="1"/>
  <c r="U181" i="1" s="1"/>
  <c r="U182" i="1" s="1"/>
  <c r="U183" i="1" s="1"/>
  <c r="U184" i="1" s="1"/>
  <c r="U185" i="1" s="1"/>
  <c r="U186" i="1" s="1"/>
  <c r="U187" i="1" s="1"/>
  <c r="U188" i="1" s="1"/>
  <c r="U189" i="1" s="1"/>
  <c r="U190" i="1" s="1"/>
  <c r="U191" i="1" s="1"/>
  <c r="U192" i="1" s="1"/>
  <c r="U193" i="1" s="1"/>
  <c r="U194" i="1" s="1"/>
  <c r="U195" i="1" s="1"/>
  <c r="U196" i="1" s="1"/>
  <c r="U197" i="1" s="1"/>
  <c r="U198" i="1" s="1"/>
  <c r="U199" i="1" s="1"/>
  <c r="U200" i="1" s="1"/>
  <c r="U201" i="1" s="1"/>
  <c r="U202" i="1" s="1"/>
  <c r="U203" i="1" s="1"/>
  <c r="U204" i="1" s="1"/>
  <c r="U205" i="1" s="1"/>
  <c r="U206" i="1" s="1"/>
  <c r="U207" i="1" s="1"/>
  <c r="U208" i="1" s="1"/>
  <c r="U209" i="1" s="1"/>
  <c r="U210" i="1" s="1"/>
  <c r="U211" i="1" s="1"/>
  <c r="U212" i="1" s="1"/>
  <c r="U213" i="1" s="1"/>
  <c r="U214" i="1" s="1"/>
  <c r="U215" i="1" s="1"/>
  <c r="U216" i="1" s="1"/>
  <c r="U217" i="1" s="1"/>
  <c r="U218" i="1" s="1"/>
  <c r="U219" i="1" s="1"/>
  <c r="U220" i="1" s="1"/>
  <c r="U221" i="1" s="1"/>
  <c r="U222" i="1" s="1"/>
  <c r="U223" i="1" s="1"/>
  <c r="U224" i="1" s="1"/>
  <c r="U225" i="1" s="1"/>
  <c r="U226" i="1" s="1"/>
  <c r="U227" i="1" s="1"/>
  <c r="U228" i="1" s="1"/>
  <c r="U229" i="1" s="1"/>
  <c r="U230" i="1" s="1"/>
  <c r="U231" i="1" s="1"/>
  <c r="U232" i="1" s="1"/>
  <c r="U233" i="1" s="1"/>
  <c r="U234" i="1" s="1"/>
  <c r="U235" i="1" s="1"/>
  <c r="U236" i="1" s="1"/>
  <c r="U237" i="1" s="1"/>
  <c r="U238" i="1" s="1"/>
  <c r="U239" i="1" s="1"/>
  <c r="U240" i="1" s="1"/>
  <c r="U241" i="1" s="1"/>
  <c r="U242" i="1" s="1"/>
  <c r="U243" i="1" s="1"/>
  <c r="U244" i="1" s="1"/>
  <c r="U245" i="1" s="1"/>
  <c r="U246" i="1" s="1"/>
  <c r="U247" i="1" s="1"/>
  <c r="U248" i="1" s="1"/>
  <c r="U249" i="1" s="1"/>
  <c r="U250" i="1" s="1"/>
  <c r="U251" i="1" s="1"/>
  <c r="U252" i="1" s="1"/>
  <c r="U253" i="1" s="1"/>
  <c r="U254" i="1" s="1"/>
  <c r="U255" i="1" s="1"/>
  <c r="U256" i="1" s="1"/>
  <c r="U257" i="1" s="1"/>
  <c r="U258" i="1" s="1"/>
  <c r="U259" i="1" s="1"/>
  <c r="U260" i="1" s="1"/>
  <c r="U261" i="1" s="1"/>
  <c r="U262" i="1" s="1"/>
  <c r="U263" i="1" s="1"/>
  <c r="U264" i="1" s="1"/>
  <c r="U265" i="1" s="1"/>
  <c r="U266" i="1" s="1"/>
  <c r="U267" i="1" s="1"/>
  <c r="U268" i="1" s="1"/>
  <c r="U269" i="1" s="1"/>
  <c r="U270" i="1" s="1"/>
  <c r="U271" i="1" s="1"/>
  <c r="U272" i="1" s="1"/>
  <c r="U273" i="1" s="1"/>
  <c r="U274" i="1" s="1"/>
  <c r="U275" i="1" s="1"/>
  <c r="U276" i="1" s="1"/>
  <c r="U277" i="1" s="1"/>
  <c r="U278" i="1" s="1"/>
  <c r="U279" i="1" s="1"/>
  <c r="U280" i="1" s="1"/>
  <c r="U281" i="1" s="1"/>
  <c r="U282" i="1" s="1"/>
  <c r="U283" i="1" s="1"/>
  <c r="U284" i="1" s="1"/>
  <c r="U285" i="1" s="1"/>
  <c r="U286" i="1" s="1"/>
  <c r="U287" i="1" s="1"/>
  <c r="U288" i="1" s="1"/>
  <c r="U289" i="1" s="1"/>
  <c r="U290" i="1" s="1"/>
  <c r="U291" i="1" s="1"/>
  <c r="U292" i="1" s="1"/>
  <c r="U293" i="1" s="1"/>
  <c r="U294" i="1" s="1"/>
  <c r="U295" i="1" s="1"/>
  <c r="U296" i="1" s="1"/>
  <c r="U297" i="1" s="1"/>
  <c r="U298" i="1" s="1"/>
  <c r="U299" i="1" s="1"/>
  <c r="U300" i="1" s="1"/>
  <c r="U301" i="1" s="1"/>
  <c r="U302" i="1" s="1"/>
  <c r="U303" i="1" s="1"/>
  <c r="U304" i="1" s="1"/>
  <c r="U305" i="1" s="1"/>
  <c r="U306" i="1" s="1"/>
  <c r="U307" i="1" s="1"/>
  <c r="U308" i="1" s="1"/>
  <c r="U309" i="1" s="1"/>
  <c r="U310" i="1" s="1"/>
  <c r="U311" i="1" s="1"/>
  <c r="U312" i="1" s="1"/>
  <c r="U313" i="1" s="1"/>
  <c r="U314" i="1" s="1"/>
  <c r="U315" i="1" s="1"/>
  <c r="U316" i="1" s="1"/>
  <c r="U317" i="1" s="1"/>
  <c r="U318" i="1" s="1"/>
  <c r="U319" i="1" s="1"/>
  <c r="U320" i="1" s="1"/>
  <c r="U321" i="1" s="1"/>
  <c r="U322" i="1" s="1"/>
  <c r="U323" i="1" s="1"/>
  <c r="U324" i="1" s="1"/>
  <c r="U325" i="1" s="1"/>
  <c r="U326" i="1" s="1"/>
  <c r="U327" i="1" s="1"/>
  <c r="U328" i="1" s="1"/>
  <c r="U329" i="1" s="1"/>
  <c r="U330" i="1" s="1"/>
  <c r="U331" i="1" s="1"/>
  <c r="U332" i="1" s="1"/>
  <c r="U333" i="1" s="1"/>
  <c r="U334" i="1" s="1"/>
  <c r="U335" i="1" s="1"/>
  <c r="U336" i="1" s="1"/>
  <c r="U337" i="1" s="1"/>
  <c r="U338" i="1" s="1"/>
  <c r="U339" i="1" s="1"/>
  <c r="U340" i="1" s="1"/>
  <c r="U341" i="1" s="1"/>
  <c r="U342" i="1" s="1"/>
  <c r="U343" i="1" s="1"/>
  <c r="U344" i="1" s="1"/>
  <c r="U345" i="1" s="1"/>
  <c r="U346" i="1" s="1"/>
  <c r="U347" i="1" s="1"/>
  <c r="U348" i="1" s="1"/>
  <c r="U349" i="1" s="1"/>
  <c r="U350" i="1" s="1"/>
  <c r="U351" i="1" s="1"/>
  <c r="U352" i="1" s="1"/>
  <c r="U353" i="1" s="1"/>
  <c r="U354" i="1" s="1"/>
  <c r="U355" i="1" s="1"/>
  <c r="U356" i="1" s="1"/>
  <c r="U357" i="1" s="1"/>
  <c r="U358" i="1" s="1"/>
  <c r="U359" i="1" s="1"/>
  <c r="U360" i="1" s="1"/>
  <c r="U361" i="1" s="1"/>
  <c r="U362" i="1" s="1"/>
  <c r="U363" i="1" s="1"/>
  <c r="U364" i="1" s="1"/>
  <c r="U365" i="1" s="1"/>
  <c r="U366" i="1" s="1"/>
  <c r="U367" i="1" s="1"/>
  <c r="U368" i="1" s="1"/>
  <c r="U369" i="1" s="1"/>
  <c r="U370" i="1" s="1"/>
  <c r="U371" i="1" s="1"/>
  <c r="U372" i="1" s="1"/>
  <c r="U373" i="1" s="1"/>
  <c r="U374" i="1" s="1"/>
  <c r="U375" i="1" s="1"/>
  <c r="U376" i="1" s="1"/>
  <c r="U377" i="1" s="1"/>
  <c r="U378" i="1" s="1"/>
  <c r="U379" i="1" s="1"/>
  <c r="U380" i="1" s="1"/>
  <c r="U381" i="1" s="1"/>
  <c r="U382" i="1" s="1"/>
  <c r="U383" i="1" s="1"/>
  <c r="U384" i="1" s="1"/>
  <c r="U385" i="1" s="1"/>
  <c r="U386" i="1" s="1"/>
  <c r="U387" i="1" s="1"/>
  <c r="U388" i="1" s="1"/>
  <c r="U389" i="1" s="1"/>
  <c r="U390" i="1" s="1"/>
  <c r="U391" i="1" s="1"/>
  <c r="U392" i="1" s="1"/>
  <c r="U393" i="1" s="1"/>
  <c r="U394" i="1" s="1"/>
  <c r="U395" i="1" s="1"/>
  <c r="U396" i="1" s="1"/>
  <c r="U397" i="1" s="1"/>
  <c r="U398" i="1" s="1"/>
  <c r="U399" i="1" s="1"/>
  <c r="U400" i="1" s="1"/>
  <c r="U401" i="1" s="1"/>
  <c r="U402" i="1" s="1"/>
  <c r="U403" i="1" s="1"/>
  <c r="U404" i="1" s="1"/>
  <c r="U405" i="1" s="1"/>
  <c r="U406" i="1" s="1"/>
  <c r="U407" i="1" s="1"/>
  <c r="U408" i="1" s="1"/>
  <c r="U409" i="1" s="1"/>
  <c r="U410" i="1" s="1"/>
  <c r="U411" i="1" s="1"/>
  <c r="U412" i="1" s="1"/>
  <c r="U413" i="1" s="1"/>
  <c r="U414" i="1" s="1"/>
  <c r="U415" i="1" s="1"/>
  <c r="U416" i="1" s="1"/>
  <c r="U417" i="1" s="1"/>
  <c r="U418" i="1" s="1"/>
  <c r="U419" i="1" s="1"/>
  <c r="U420" i="1" s="1"/>
  <c r="U421" i="1" s="1"/>
  <c r="U422" i="1" s="1"/>
  <c r="U423" i="1" s="1"/>
  <c r="U424" i="1" s="1"/>
  <c r="U425" i="1" s="1"/>
  <c r="U426" i="1" s="1"/>
  <c r="U427" i="1" s="1"/>
  <c r="U428" i="1" s="1"/>
  <c r="U429" i="1" s="1"/>
  <c r="U430" i="1" s="1"/>
  <c r="U431" i="1" s="1"/>
  <c r="U432" i="1" s="1"/>
  <c r="U433" i="1" s="1"/>
  <c r="U434" i="1" s="1"/>
  <c r="U435" i="1" s="1"/>
  <c r="U436" i="1" s="1"/>
  <c r="U437" i="1" s="1"/>
  <c r="U438" i="1" s="1"/>
  <c r="U439" i="1" s="1"/>
  <c r="U440" i="1" s="1"/>
  <c r="U441" i="1" s="1"/>
  <c r="U442" i="1" s="1"/>
  <c r="U443" i="1" s="1"/>
  <c r="U444" i="1" s="1"/>
  <c r="U445" i="1" s="1"/>
  <c r="U446" i="1" s="1"/>
  <c r="U447" i="1" s="1"/>
  <c r="U448" i="1" s="1"/>
  <c r="U449" i="1" s="1"/>
  <c r="U450" i="1" s="1"/>
  <c r="U451" i="1" s="1"/>
  <c r="U452" i="1" s="1"/>
  <c r="U453" i="1" s="1"/>
  <c r="U454" i="1" s="1"/>
  <c r="U455" i="1" s="1"/>
  <c r="U456" i="1" s="1"/>
  <c r="U457" i="1" s="1"/>
  <c r="U458" i="1" s="1"/>
  <c r="U459" i="1" s="1"/>
  <c r="U460" i="1" s="1"/>
  <c r="U461" i="1" s="1"/>
  <c r="U462" i="1" s="1"/>
  <c r="U463" i="1" s="1"/>
  <c r="U464" i="1" s="1"/>
  <c r="U465" i="1" s="1"/>
  <c r="U466" i="1" s="1"/>
  <c r="U467" i="1" s="1"/>
  <c r="U468" i="1" s="1"/>
  <c r="U469" i="1" s="1"/>
  <c r="U470" i="1" s="1"/>
  <c r="U471" i="1" s="1"/>
  <c r="U472" i="1" s="1"/>
  <c r="U473" i="1" s="1"/>
  <c r="U474" i="1" s="1"/>
  <c r="U475" i="1" s="1"/>
  <c r="U476" i="1" s="1"/>
  <c r="U477" i="1" s="1"/>
  <c r="U478" i="1" s="1"/>
  <c r="U479" i="1" s="1"/>
  <c r="U480" i="1" s="1"/>
  <c r="U481" i="1" s="1"/>
  <c r="U482" i="1" s="1"/>
  <c r="U483" i="1" s="1"/>
  <c r="U484" i="1" s="1"/>
  <c r="U485" i="1" s="1"/>
  <c r="U486" i="1" s="1"/>
  <c r="U487" i="1" s="1"/>
  <c r="U488" i="1" s="1"/>
  <c r="U489" i="1" s="1"/>
  <c r="U490" i="1" s="1"/>
  <c r="U491" i="1" s="1"/>
  <c r="U492" i="1" s="1"/>
  <c r="U493" i="1" s="1"/>
  <c r="U494" i="1" s="1"/>
  <c r="U495" i="1" s="1"/>
  <c r="U496" i="1" s="1"/>
  <c r="U497" i="1" s="1"/>
  <c r="U498" i="1" s="1"/>
  <c r="U499" i="1" s="1"/>
  <c r="U500" i="1" s="1"/>
  <c r="U501" i="1" s="1"/>
  <c r="U502" i="1" s="1"/>
  <c r="U503" i="1" s="1"/>
  <c r="U504" i="1" s="1"/>
  <c r="U505" i="1" s="1"/>
  <c r="U506" i="1" s="1"/>
  <c r="U507" i="1" s="1"/>
  <c r="U508" i="1" s="1"/>
  <c r="U509" i="1" s="1"/>
  <c r="U510" i="1" s="1"/>
  <c r="U511" i="1" s="1"/>
  <c r="U512" i="1" s="1"/>
  <c r="U513" i="1" s="1"/>
  <c r="U514" i="1" s="1"/>
  <c r="U515" i="1" s="1"/>
  <c r="U516" i="1" s="1"/>
  <c r="U517" i="1" s="1"/>
  <c r="U518" i="1" s="1"/>
  <c r="U519" i="1" s="1"/>
  <c r="U520" i="1" s="1"/>
  <c r="U521" i="1" s="1"/>
  <c r="U522" i="1" s="1"/>
  <c r="U523" i="1" s="1"/>
  <c r="U524" i="1" s="1"/>
  <c r="U525" i="1" s="1"/>
  <c r="U526" i="1" s="1"/>
  <c r="U527" i="1" s="1"/>
  <c r="U528" i="1" s="1"/>
  <c r="U529" i="1" s="1"/>
  <c r="U530" i="1" s="1"/>
  <c r="U531" i="1" s="1"/>
  <c r="U532" i="1" s="1"/>
  <c r="U533" i="1" s="1"/>
  <c r="U534" i="1" s="1"/>
  <c r="U535" i="1" s="1"/>
  <c r="U536" i="1" s="1"/>
  <c r="U537" i="1" s="1"/>
  <c r="U538" i="1" s="1"/>
  <c r="U539" i="1" s="1"/>
  <c r="U540" i="1" s="1"/>
  <c r="U541" i="1" s="1"/>
  <c r="U542" i="1" s="1"/>
  <c r="U543" i="1" s="1"/>
  <c r="U544" i="1" s="1"/>
  <c r="U545" i="1" s="1"/>
  <c r="U546" i="1" s="1"/>
  <c r="U547" i="1" s="1"/>
  <c r="U548" i="1" s="1"/>
  <c r="U549" i="1" s="1"/>
  <c r="U550" i="1" s="1"/>
  <c r="U551" i="1" s="1"/>
  <c r="U552" i="1" s="1"/>
  <c r="U553" i="1" s="1"/>
  <c r="U554" i="1" s="1"/>
  <c r="U555" i="1" s="1"/>
  <c r="U556" i="1" s="1"/>
  <c r="U557" i="1" s="1"/>
  <c r="U558" i="1" s="1"/>
  <c r="U559" i="1" s="1"/>
  <c r="U560" i="1" s="1"/>
  <c r="U561" i="1" s="1"/>
  <c r="U562" i="1" s="1"/>
  <c r="U563" i="1" s="1"/>
  <c r="U564" i="1" s="1"/>
  <c r="U565" i="1" s="1"/>
  <c r="U566" i="1" s="1"/>
  <c r="U567" i="1" s="1"/>
  <c r="U568" i="1" s="1"/>
  <c r="U569" i="1" s="1"/>
  <c r="U570" i="1" s="1"/>
  <c r="U571" i="1" s="1"/>
  <c r="U572" i="1" s="1"/>
  <c r="U573" i="1" s="1"/>
  <c r="U574" i="1" s="1"/>
  <c r="U575" i="1" s="1"/>
  <c r="U576" i="1" s="1"/>
  <c r="U577" i="1" s="1"/>
  <c r="U578" i="1" s="1"/>
  <c r="U579" i="1" s="1"/>
  <c r="U580" i="1" s="1"/>
  <c r="U581" i="1" s="1"/>
  <c r="U582" i="1" s="1"/>
  <c r="U583" i="1" s="1"/>
  <c r="U584" i="1" s="1"/>
  <c r="U585" i="1" s="1"/>
  <c r="U586" i="1" s="1"/>
  <c r="U587" i="1" s="1"/>
  <c r="U588" i="1" s="1"/>
  <c r="U589" i="1" s="1"/>
  <c r="U590" i="1" s="1"/>
  <c r="U591" i="1" s="1"/>
  <c r="U592" i="1" s="1"/>
  <c r="U593" i="1" s="1"/>
  <c r="U594" i="1" s="1"/>
  <c r="U595" i="1" s="1"/>
  <c r="U596" i="1" s="1"/>
  <c r="U597" i="1" s="1"/>
  <c r="U598" i="1" s="1"/>
  <c r="U599" i="1" s="1"/>
  <c r="U600" i="1" s="1"/>
  <c r="U601" i="1" s="1"/>
  <c r="U602" i="1" s="1"/>
  <c r="U603" i="1" s="1"/>
  <c r="U604" i="1" s="1"/>
  <c r="U605" i="1" s="1"/>
  <c r="U606" i="1" s="1"/>
  <c r="U607" i="1" s="1"/>
  <c r="U608" i="1" s="1"/>
  <c r="U609" i="1" s="1"/>
  <c r="U610" i="1" s="1"/>
  <c r="U611" i="1" s="1"/>
  <c r="U612" i="1" s="1"/>
  <c r="U613" i="1" s="1"/>
  <c r="U614" i="1" s="1"/>
  <c r="U615" i="1" s="1"/>
  <c r="U616" i="1" s="1"/>
  <c r="U617" i="1" s="1"/>
  <c r="U618" i="1" s="1"/>
  <c r="U619" i="1" s="1"/>
  <c r="U620" i="1" s="1"/>
  <c r="U621" i="1" s="1"/>
  <c r="U622" i="1" s="1"/>
  <c r="U623" i="1" s="1"/>
  <c r="U624" i="1" s="1"/>
  <c r="U625" i="1" s="1"/>
  <c r="U626" i="1" s="1"/>
  <c r="U627" i="1" s="1"/>
  <c r="U628" i="1" s="1"/>
  <c r="U629" i="1" s="1"/>
  <c r="U630" i="1" s="1"/>
  <c r="U631" i="1" s="1"/>
  <c r="U632" i="1" s="1"/>
  <c r="U633" i="1" s="1"/>
  <c r="U634" i="1" s="1"/>
  <c r="U635" i="1" s="1"/>
  <c r="U636" i="1" s="1"/>
  <c r="U637" i="1" s="1"/>
  <c r="U638" i="1" s="1"/>
  <c r="U639" i="1" s="1"/>
  <c r="U640" i="1" s="1"/>
  <c r="U641" i="1" s="1"/>
  <c r="U642" i="1" s="1"/>
  <c r="U643" i="1" s="1"/>
  <c r="U644" i="1" s="1"/>
  <c r="U645" i="1" s="1"/>
  <c r="U646" i="1" s="1"/>
  <c r="U647" i="1" s="1"/>
  <c r="U648" i="1" s="1"/>
  <c r="U649" i="1" s="1"/>
  <c r="U650" i="1" s="1"/>
  <c r="U651" i="1" s="1"/>
  <c r="U652" i="1" s="1"/>
  <c r="U653" i="1" s="1"/>
  <c r="U654" i="1" s="1"/>
  <c r="U655" i="1" s="1"/>
  <c r="U656" i="1" s="1"/>
  <c r="U657" i="1" s="1"/>
  <c r="U658" i="1" s="1"/>
  <c r="U659" i="1" s="1"/>
  <c r="U660" i="1" s="1"/>
  <c r="U661" i="1" s="1"/>
  <c r="U662" i="1" s="1"/>
  <c r="U663" i="1" s="1"/>
  <c r="U664" i="1" s="1"/>
  <c r="U665" i="1" s="1"/>
  <c r="U666" i="1" s="1"/>
  <c r="U667" i="1" s="1"/>
  <c r="U668" i="1" s="1"/>
  <c r="U669" i="1" s="1"/>
  <c r="U670" i="1" s="1"/>
  <c r="U671" i="1" s="1"/>
  <c r="U672" i="1" s="1"/>
  <c r="U673" i="1" s="1"/>
  <c r="U674" i="1" s="1"/>
  <c r="U675" i="1" s="1"/>
  <c r="U676" i="1" s="1"/>
  <c r="U677" i="1" s="1"/>
  <c r="U678" i="1" s="1"/>
  <c r="U679" i="1" s="1"/>
  <c r="U680" i="1" s="1"/>
  <c r="U681" i="1" s="1"/>
  <c r="U682" i="1" s="1"/>
  <c r="U683" i="1" s="1"/>
  <c r="U684" i="1" s="1"/>
  <c r="U685" i="1" s="1"/>
  <c r="U686" i="1" s="1"/>
  <c r="U687" i="1" s="1"/>
  <c r="U688" i="1" s="1"/>
  <c r="U689" i="1" s="1"/>
  <c r="U690" i="1" s="1"/>
  <c r="U691" i="1" s="1"/>
  <c r="U692" i="1" s="1"/>
  <c r="U693" i="1" s="1"/>
  <c r="U694" i="1" s="1"/>
  <c r="U695" i="1" s="1"/>
  <c r="U696" i="1" s="1"/>
  <c r="U697" i="1" s="1"/>
  <c r="U698" i="1" s="1"/>
  <c r="U699" i="1" s="1"/>
  <c r="U700" i="1" s="1"/>
  <c r="U701" i="1" s="1"/>
  <c r="U702" i="1" s="1"/>
  <c r="U703" i="1" s="1"/>
  <c r="U704" i="1" s="1"/>
  <c r="U705" i="1" s="1"/>
  <c r="U706" i="1" s="1"/>
  <c r="U707" i="1" s="1"/>
  <c r="U708" i="1" s="1"/>
  <c r="U709" i="1" s="1"/>
  <c r="U710" i="1" s="1"/>
  <c r="U711" i="1" s="1"/>
  <c r="U712" i="1" s="1"/>
  <c r="U713" i="1" s="1"/>
  <c r="U714" i="1" s="1"/>
  <c r="U715" i="1" s="1"/>
  <c r="U716" i="1" s="1"/>
  <c r="U717" i="1" s="1"/>
  <c r="U718" i="1" s="1"/>
  <c r="U719" i="1" s="1"/>
  <c r="U720" i="1" s="1"/>
  <c r="U721" i="1" s="1"/>
  <c r="U722" i="1" s="1"/>
  <c r="U723" i="1" s="1"/>
  <c r="U724" i="1" s="1"/>
  <c r="U725" i="1" s="1"/>
  <c r="U726" i="1" s="1"/>
  <c r="U727" i="1" s="1"/>
  <c r="U728" i="1" s="1"/>
  <c r="U729" i="1" s="1"/>
  <c r="U730" i="1" s="1"/>
  <c r="U731" i="1" s="1"/>
  <c r="U732" i="1" s="1"/>
  <c r="U733" i="1" s="1"/>
  <c r="U734" i="1" s="1"/>
  <c r="U735" i="1" s="1"/>
  <c r="U736" i="1" s="1"/>
  <c r="U737" i="1" s="1"/>
  <c r="U738" i="1" s="1"/>
  <c r="U739" i="1" s="1"/>
  <c r="U740" i="1" s="1"/>
  <c r="U741" i="1" s="1"/>
  <c r="U742" i="1" s="1"/>
  <c r="U743" i="1" s="1"/>
  <c r="U744" i="1" s="1"/>
  <c r="U745" i="1" s="1"/>
  <c r="U746" i="1" s="1"/>
  <c r="U747" i="1" s="1"/>
  <c r="U748" i="1" s="1"/>
  <c r="U749" i="1" s="1"/>
  <c r="U750" i="1" s="1"/>
  <c r="U751" i="1" s="1"/>
  <c r="U752" i="1" s="1"/>
  <c r="U753" i="1" s="1"/>
  <c r="U754" i="1" s="1"/>
  <c r="U755" i="1" s="1"/>
  <c r="U756" i="1" s="1"/>
  <c r="U757" i="1" s="1"/>
  <c r="U758" i="1" s="1"/>
  <c r="U759" i="1" s="1"/>
  <c r="U760" i="1" s="1"/>
  <c r="U761" i="1" s="1"/>
  <c r="U762" i="1" s="1"/>
  <c r="U763" i="1" s="1"/>
  <c r="U764" i="1" s="1"/>
  <c r="U765" i="1" s="1"/>
  <c r="U766" i="1" s="1"/>
  <c r="U767" i="1" s="1"/>
  <c r="U768" i="1" s="1"/>
  <c r="U769" i="1" s="1"/>
  <c r="U770" i="1" s="1"/>
  <c r="U771" i="1" s="1"/>
  <c r="U772" i="1" s="1"/>
  <c r="U773" i="1" s="1"/>
  <c r="U774" i="1" s="1"/>
  <c r="U775" i="1" s="1"/>
  <c r="U776" i="1" s="1"/>
  <c r="U777" i="1" s="1"/>
  <c r="U778" i="1" s="1"/>
  <c r="U779" i="1" s="1"/>
  <c r="U780" i="1" s="1"/>
  <c r="U781" i="1" s="1"/>
  <c r="U782" i="1" s="1"/>
  <c r="U783" i="1" s="1"/>
  <c r="U784" i="1" s="1"/>
  <c r="U785" i="1" s="1"/>
  <c r="U786" i="1" s="1"/>
  <c r="U787" i="1" s="1"/>
  <c r="U788" i="1" s="1"/>
  <c r="U789" i="1" s="1"/>
  <c r="U790" i="1" s="1"/>
  <c r="U791" i="1" s="1"/>
  <c r="U792" i="1" s="1"/>
  <c r="U793" i="1" s="1"/>
  <c r="U794" i="1" s="1"/>
  <c r="U795" i="1" s="1"/>
  <c r="U796" i="1" s="1"/>
  <c r="U797" i="1" s="1"/>
  <c r="U798" i="1" s="1"/>
  <c r="U799" i="1" s="1"/>
  <c r="U800" i="1" s="1"/>
  <c r="U801" i="1" s="1"/>
  <c r="U802" i="1" s="1"/>
  <c r="U803" i="1" s="1"/>
  <c r="U804" i="1" s="1"/>
  <c r="U805" i="1" s="1"/>
  <c r="U806" i="1" s="1"/>
  <c r="U807" i="1" s="1"/>
  <c r="U808" i="1" s="1"/>
  <c r="U809" i="1" s="1"/>
  <c r="U810" i="1" s="1"/>
  <c r="U811" i="1" s="1"/>
  <c r="U812" i="1" s="1"/>
  <c r="U813" i="1" s="1"/>
  <c r="U814" i="1" s="1"/>
  <c r="U815" i="1" s="1"/>
  <c r="U816" i="1" s="1"/>
  <c r="U817" i="1" s="1"/>
  <c r="U818" i="1" s="1"/>
  <c r="U819" i="1" s="1"/>
  <c r="U820" i="1" s="1"/>
  <c r="U821" i="1" s="1"/>
  <c r="U822" i="1" s="1"/>
  <c r="U823" i="1" s="1"/>
  <c r="U824" i="1" s="1"/>
  <c r="U825" i="1" s="1"/>
  <c r="U826" i="1" s="1"/>
  <c r="U827" i="1" s="1"/>
  <c r="U828" i="1" s="1"/>
  <c r="U829" i="1" s="1"/>
  <c r="U830" i="1" s="1"/>
  <c r="U831" i="1" s="1"/>
  <c r="U832" i="1" s="1"/>
  <c r="U833" i="1" s="1"/>
  <c r="U834" i="1" s="1"/>
  <c r="U835" i="1" s="1"/>
  <c r="U836" i="1" s="1"/>
  <c r="U837" i="1" s="1"/>
  <c r="U838" i="1" s="1"/>
  <c r="U839" i="1" s="1"/>
  <c r="U840" i="1" s="1"/>
  <c r="U841" i="1" s="1"/>
  <c r="U842" i="1" s="1"/>
  <c r="U843" i="1" s="1"/>
  <c r="U844" i="1" s="1"/>
  <c r="U845" i="1" s="1"/>
  <c r="U846" i="1" s="1"/>
  <c r="U847" i="1" s="1"/>
  <c r="U848" i="1" s="1"/>
  <c r="U849" i="1" s="1"/>
  <c r="U850" i="1" s="1"/>
  <c r="U851" i="1" s="1"/>
  <c r="U852" i="1" s="1"/>
  <c r="U853" i="1" s="1"/>
  <c r="U854" i="1" s="1"/>
  <c r="U855" i="1" s="1"/>
  <c r="U856" i="1" s="1"/>
  <c r="U857" i="1" s="1"/>
  <c r="U858" i="1" s="1"/>
  <c r="U859" i="1" s="1"/>
  <c r="U860" i="1" s="1"/>
  <c r="U861" i="1" s="1"/>
  <c r="U862" i="1" s="1"/>
  <c r="U863" i="1" s="1"/>
  <c r="U864" i="1" s="1"/>
  <c r="U865" i="1" s="1"/>
  <c r="U866" i="1" s="1"/>
  <c r="U867" i="1" s="1"/>
  <c r="U868" i="1" s="1"/>
  <c r="U869" i="1" s="1"/>
  <c r="U870" i="1" s="1"/>
  <c r="U871" i="1" s="1"/>
  <c r="U872" i="1" s="1"/>
  <c r="U873" i="1" s="1"/>
  <c r="U874" i="1" s="1"/>
  <c r="U875" i="1" s="1"/>
  <c r="U876" i="1" s="1"/>
  <c r="U877" i="1" s="1"/>
  <c r="U878" i="1" s="1"/>
  <c r="U879" i="1" s="1"/>
  <c r="U880" i="1" s="1"/>
  <c r="U881" i="1" s="1"/>
  <c r="U882" i="1" s="1"/>
  <c r="U883" i="1" s="1"/>
  <c r="U884" i="1" s="1"/>
  <c r="U885" i="1" s="1"/>
  <c r="U886" i="1" s="1"/>
  <c r="U887" i="1" s="1"/>
  <c r="U888" i="1" s="1"/>
  <c r="U889" i="1" s="1"/>
  <c r="U890" i="1" s="1"/>
  <c r="U891" i="1" s="1"/>
  <c r="U892" i="1" s="1"/>
  <c r="U893" i="1" s="1"/>
  <c r="U894" i="1" s="1"/>
  <c r="U895" i="1" s="1"/>
  <c r="U896" i="1" s="1"/>
  <c r="U897" i="1" s="1"/>
  <c r="U898" i="1" s="1"/>
  <c r="U899" i="1" s="1"/>
  <c r="U900" i="1" s="1"/>
  <c r="U901" i="1" s="1"/>
  <c r="U902" i="1" s="1"/>
  <c r="U903" i="1" s="1"/>
  <c r="U904" i="1" s="1"/>
  <c r="U905" i="1" s="1"/>
  <c r="U906" i="1" s="1"/>
  <c r="U907" i="1" s="1"/>
  <c r="U908" i="1" s="1"/>
  <c r="U909" i="1" s="1"/>
  <c r="U910" i="1" s="1"/>
  <c r="U911" i="1" s="1"/>
  <c r="U912" i="1" s="1"/>
  <c r="U913" i="1" s="1"/>
  <c r="U914" i="1" s="1"/>
  <c r="U915" i="1" s="1"/>
  <c r="U916" i="1" s="1"/>
  <c r="U917" i="1" s="1"/>
  <c r="U918" i="1" s="1"/>
  <c r="U919" i="1" s="1"/>
  <c r="U920" i="1" s="1"/>
  <c r="U921" i="1" s="1"/>
  <c r="U922" i="1" s="1"/>
  <c r="U923" i="1" s="1"/>
  <c r="U924" i="1" s="1"/>
  <c r="U925" i="1" s="1"/>
  <c r="U926" i="1" s="1"/>
  <c r="U927" i="1" s="1"/>
  <c r="U928" i="1" s="1"/>
  <c r="U929" i="1" s="1"/>
  <c r="U930" i="1" s="1"/>
  <c r="U931" i="1" s="1"/>
  <c r="U932" i="1" s="1"/>
  <c r="U933" i="1" s="1"/>
  <c r="U934" i="1" s="1"/>
  <c r="U935" i="1" s="1"/>
  <c r="U936" i="1" s="1"/>
  <c r="U937" i="1" s="1"/>
  <c r="U938" i="1" s="1"/>
  <c r="U939" i="1" s="1"/>
  <c r="U940" i="1" s="1"/>
  <c r="U941" i="1" s="1"/>
  <c r="U942" i="1" s="1"/>
  <c r="U943" i="1" s="1"/>
  <c r="U944" i="1" s="1"/>
  <c r="U945" i="1" s="1"/>
  <c r="U946" i="1" s="1"/>
  <c r="U947" i="1" s="1"/>
  <c r="U948" i="1" s="1"/>
  <c r="U949" i="1" s="1"/>
  <c r="U950" i="1" s="1"/>
  <c r="U951" i="1" s="1"/>
  <c r="U952" i="1" s="1"/>
  <c r="U953" i="1" s="1"/>
  <c r="U954" i="1" s="1"/>
  <c r="U955" i="1" s="1"/>
  <c r="U956" i="1" s="1"/>
  <c r="U957" i="1" s="1"/>
  <c r="U958" i="1" s="1"/>
  <c r="U959" i="1" s="1"/>
  <c r="U960" i="1" s="1"/>
  <c r="U961" i="1" s="1"/>
  <c r="U962" i="1" s="1"/>
  <c r="U963" i="1" s="1"/>
  <c r="U964" i="1" s="1"/>
  <c r="U965" i="1" s="1"/>
  <c r="U966" i="1" s="1"/>
  <c r="U967" i="1" s="1"/>
  <c r="U968" i="1" s="1"/>
  <c r="U969" i="1" s="1"/>
  <c r="U970" i="1" s="1"/>
  <c r="U971" i="1" s="1"/>
  <c r="U972" i="1" s="1"/>
  <c r="U973" i="1" s="1"/>
  <c r="U974" i="1" s="1"/>
  <c r="U975" i="1" s="1"/>
  <c r="U976" i="1" s="1"/>
  <c r="U977" i="1" s="1"/>
  <c r="U978" i="1" s="1"/>
  <c r="U979" i="1" s="1"/>
  <c r="U980" i="1" s="1"/>
  <c r="U981" i="1" s="1"/>
  <c r="U982" i="1" s="1"/>
  <c r="U983" i="1" s="1"/>
  <c r="U984" i="1" s="1"/>
  <c r="U985" i="1" s="1"/>
  <c r="U986" i="1" s="1"/>
  <c r="U987" i="1" s="1"/>
  <c r="U988" i="1" s="1"/>
  <c r="U989" i="1" s="1"/>
  <c r="U990" i="1" s="1"/>
  <c r="U991" i="1" s="1"/>
  <c r="U992" i="1" s="1"/>
  <c r="U993" i="1" s="1"/>
  <c r="U994" i="1" s="1"/>
  <c r="U995" i="1" s="1"/>
  <c r="U996" i="1" s="1"/>
  <c r="U997" i="1" s="1"/>
  <c r="U998" i="1" s="1"/>
  <c r="U999" i="1" s="1"/>
  <c r="U1000" i="1" s="1"/>
  <c r="U1001" i="1" s="1"/>
  <c r="U1002" i="1" s="1"/>
  <c r="U1003" i="1" s="1"/>
  <c r="U1004" i="1" s="1"/>
  <c r="U1005" i="1" s="1"/>
  <c r="U1006" i="1" s="1"/>
  <c r="U1007" i="1" s="1"/>
  <c r="U1008" i="1" s="1"/>
  <c r="U1009" i="1" s="1"/>
  <c r="U1010" i="1" s="1"/>
  <c r="U1011" i="1" s="1"/>
  <c r="U1012" i="1" s="1"/>
  <c r="U1013" i="1" s="1"/>
  <c r="U1014" i="1" s="1"/>
  <c r="U1015" i="1" s="1"/>
  <c r="U1016" i="1" s="1"/>
  <c r="U1017" i="1" s="1"/>
  <c r="U1018" i="1" s="1"/>
  <c r="U1019" i="1" s="1"/>
  <c r="U1020" i="1" s="1"/>
  <c r="U1021" i="1" s="1"/>
  <c r="U1022" i="1" s="1"/>
  <c r="U1023" i="1" s="1"/>
  <c r="U1024" i="1" s="1"/>
  <c r="U1025" i="1" s="1"/>
  <c r="V26" i="1"/>
  <c r="M19" i="1"/>
  <c r="V27" i="1" l="1"/>
  <c r="V28" i="1" s="1"/>
  <c r="V29" i="1" s="1"/>
  <c r="V30" i="1" s="1"/>
  <c r="V31" i="1" s="1"/>
  <c r="V32" i="1" s="1"/>
  <c r="V33" i="1" s="1"/>
  <c r="V34" i="1" s="1"/>
  <c r="V35" i="1" s="1"/>
  <c r="V36" i="1" s="1"/>
  <c r="V37" i="1" s="1"/>
  <c r="V38" i="1" s="1"/>
  <c r="V39" i="1" s="1"/>
  <c r="V40" i="1" s="1"/>
  <c r="V41" i="1" s="1"/>
  <c r="V42" i="1" s="1"/>
  <c r="V43" i="1" s="1"/>
  <c r="V44" i="1" s="1"/>
  <c r="V45" i="1" s="1"/>
  <c r="V46" i="1" s="1"/>
  <c r="V47" i="1" s="1"/>
  <c r="V48" i="1" s="1"/>
  <c r="V49" i="1" s="1"/>
  <c r="V50" i="1" s="1"/>
  <c r="V51" i="1" s="1"/>
  <c r="V52" i="1" s="1"/>
  <c r="V53" i="1" s="1"/>
  <c r="V54" i="1" s="1"/>
  <c r="V55" i="1" s="1"/>
  <c r="V56" i="1" s="1"/>
  <c r="V57" i="1" s="1"/>
  <c r="V58" i="1" s="1"/>
  <c r="V59" i="1" s="1"/>
  <c r="V60" i="1" s="1"/>
  <c r="V61" i="1" s="1"/>
  <c r="V62" i="1" s="1"/>
  <c r="V63" i="1" s="1"/>
  <c r="V64" i="1" s="1"/>
  <c r="V65" i="1" s="1"/>
  <c r="V66" i="1" s="1"/>
  <c r="V67" i="1" s="1"/>
  <c r="V68" i="1" s="1"/>
  <c r="V69" i="1" s="1"/>
  <c r="V70" i="1" s="1"/>
  <c r="V71" i="1" s="1"/>
  <c r="V72" i="1" s="1"/>
  <c r="V73" i="1" s="1"/>
  <c r="V74" i="1" s="1"/>
  <c r="V75" i="1" s="1"/>
  <c r="V76" i="1" s="1"/>
  <c r="V77" i="1" s="1"/>
  <c r="V78" i="1" s="1"/>
  <c r="V79" i="1" s="1"/>
  <c r="V80" i="1" s="1"/>
  <c r="V81" i="1" s="1"/>
  <c r="V82" i="1" s="1"/>
  <c r="V83" i="1" s="1"/>
  <c r="V84" i="1" s="1"/>
  <c r="V85" i="1" s="1"/>
  <c r="V86" i="1" s="1"/>
  <c r="V87" i="1" s="1"/>
  <c r="V88" i="1" s="1"/>
  <c r="V89" i="1" s="1"/>
  <c r="V90" i="1" s="1"/>
  <c r="V91" i="1" s="1"/>
  <c r="V92" i="1" s="1"/>
  <c r="V93" i="1" s="1"/>
  <c r="V94" i="1" s="1"/>
  <c r="V95" i="1" s="1"/>
  <c r="V96" i="1" s="1"/>
  <c r="V97" i="1" s="1"/>
  <c r="V98" i="1" s="1"/>
  <c r="V99" i="1" s="1"/>
  <c r="V100" i="1" s="1"/>
  <c r="V101" i="1" s="1"/>
  <c r="V102" i="1" s="1"/>
  <c r="V103" i="1" s="1"/>
  <c r="V104" i="1" s="1"/>
  <c r="V105" i="1" s="1"/>
  <c r="V106" i="1" s="1"/>
  <c r="V107" i="1" s="1"/>
  <c r="V108" i="1" s="1"/>
  <c r="V109" i="1" s="1"/>
  <c r="V110" i="1" s="1"/>
  <c r="V111" i="1" s="1"/>
  <c r="V112" i="1" s="1"/>
  <c r="V113" i="1" s="1"/>
  <c r="V114" i="1" s="1"/>
  <c r="V115" i="1" s="1"/>
  <c r="V116" i="1" s="1"/>
  <c r="V117" i="1" s="1"/>
  <c r="V118" i="1" s="1"/>
  <c r="V119" i="1" s="1"/>
  <c r="V120" i="1" s="1"/>
  <c r="V121" i="1" s="1"/>
  <c r="V122" i="1" s="1"/>
  <c r="V123" i="1" s="1"/>
  <c r="V124" i="1" s="1"/>
  <c r="V125" i="1" s="1"/>
  <c r="V126" i="1" s="1"/>
  <c r="V127" i="1" s="1"/>
  <c r="V128" i="1" s="1"/>
  <c r="V129" i="1" s="1"/>
  <c r="V130" i="1" s="1"/>
  <c r="V131" i="1" s="1"/>
  <c r="V132" i="1" s="1"/>
  <c r="V133" i="1" s="1"/>
  <c r="V134" i="1" s="1"/>
  <c r="V135" i="1" s="1"/>
  <c r="V136" i="1" s="1"/>
  <c r="V137" i="1" s="1"/>
  <c r="V138" i="1" s="1"/>
  <c r="V139" i="1" s="1"/>
  <c r="V140" i="1" s="1"/>
  <c r="V141" i="1" s="1"/>
  <c r="V142" i="1" s="1"/>
  <c r="V143" i="1" s="1"/>
  <c r="V144" i="1" s="1"/>
  <c r="V145" i="1" s="1"/>
  <c r="V146" i="1" s="1"/>
  <c r="V147" i="1" s="1"/>
  <c r="V148" i="1" s="1"/>
  <c r="V149" i="1" s="1"/>
  <c r="V150" i="1" s="1"/>
  <c r="V151" i="1" s="1"/>
  <c r="V152" i="1" s="1"/>
  <c r="V153" i="1" s="1"/>
  <c r="V154" i="1" s="1"/>
  <c r="V155" i="1" s="1"/>
  <c r="V156" i="1" s="1"/>
  <c r="V157" i="1" s="1"/>
  <c r="V158" i="1" s="1"/>
  <c r="V159" i="1" s="1"/>
  <c r="V160" i="1" s="1"/>
  <c r="V161" i="1" s="1"/>
  <c r="V162" i="1" s="1"/>
  <c r="V163" i="1" s="1"/>
  <c r="V164" i="1" s="1"/>
  <c r="V165" i="1" s="1"/>
  <c r="V166" i="1" s="1"/>
  <c r="V167" i="1" s="1"/>
  <c r="V168" i="1" s="1"/>
  <c r="V169" i="1" s="1"/>
  <c r="V170" i="1" s="1"/>
  <c r="V171" i="1" s="1"/>
  <c r="V172" i="1" s="1"/>
  <c r="V173" i="1" s="1"/>
  <c r="V174" i="1" s="1"/>
  <c r="V175" i="1" s="1"/>
  <c r="V176" i="1" s="1"/>
  <c r="V177" i="1" s="1"/>
  <c r="V178" i="1" s="1"/>
  <c r="V179" i="1" s="1"/>
  <c r="V180" i="1" s="1"/>
  <c r="V181" i="1" s="1"/>
  <c r="V182" i="1" s="1"/>
  <c r="V183" i="1" s="1"/>
  <c r="V184" i="1" s="1"/>
  <c r="V185" i="1" s="1"/>
  <c r="V186" i="1" s="1"/>
  <c r="V187" i="1" s="1"/>
  <c r="V188" i="1" s="1"/>
  <c r="V189" i="1" s="1"/>
  <c r="V190" i="1" s="1"/>
  <c r="V191" i="1" s="1"/>
  <c r="V192" i="1" s="1"/>
  <c r="V193" i="1" s="1"/>
  <c r="V194" i="1" s="1"/>
  <c r="V195" i="1" s="1"/>
  <c r="V196" i="1" s="1"/>
  <c r="V197" i="1" s="1"/>
  <c r="V198" i="1" s="1"/>
  <c r="V199" i="1" s="1"/>
  <c r="V200" i="1" s="1"/>
  <c r="V201" i="1" s="1"/>
  <c r="V202" i="1" s="1"/>
  <c r="V203" i="1" s="1"/>
  <c r="V204" i="1" s="1"/>
  <c r="V205" i="1" s="1"/>
  <c r="V206" i="1" s="1"/>
  <c r="V207" i="1" s="1"/>
  <c r="V208" i="1" s="1"/>
  <c r="V209" i="1" s="1"/>
  <c r="V210" i="1" s="1"/>
  <c r="V211" i="1" s="1"/>
  <c r="V212" i="1" s="1"/>
  <c r="V213" i="1" s="1"/>
  <c r="V214" i="1" s="1"/>
  <c r="V215" i="1" s="1"/>
  <c r="V216" i="1" s="1"/>
  <c r="V217" i="1" s="1"/>
  <c r="V218" i="1" s="1"/>
  <c r="V219" i="1" s="1"/>
  <c r="V220" i="1" s="1"/>
  <c r="V221" i="1" s="1"/>
  <c r="V222" i="1" s="1"/>
  <c r="V223" i="1" s="1"/>
  <c r="V224" i="1" s="1"/>
  <c r="V225" i="1" s="1"/>
  <c r="V226" i="1" s="1"/>
  <c r="V227" i="1" s="1"/>
  <c r="V228" i="1" s="1"/>
  <c r="V229" i="1" s="1"/>
  <c r="V230" i="1" s="1"/>
  <c r="V231" i="1" s="1"/>
  <c r="V232" i="1" s="1"/>
  <c r="V233" i="1" s="1"/>
  <c r="V234" i="1" s="1"/>
  <c r="V235" i="1" s="1"/>
  <c r="V236" i="1" s="1"/>
  <c r="V237" i="1" s="1"/>
  <c r="V238" i="1" s="1"/>
  <c r="V239" i="1" s="1"/>
  <c r="V240" i="1" s="1"/>
  <c r="V241" i="1" s="1"/>
  <c r="V242" i="1" s="1"/>
  <c r="V243" i="1" s="1"/>
  <c r="V244" i="1" s="1"/>
  <c r="V245" i="1" s="1"/>
  <c r="V246" i="1" s="1"/>
  <c r="V247" i="1" s="1"/>
  <c r="V248" i="1" s="1"/>
  <c r="V249" i="1" s="1"/>
  <c r="V250" i="1" s="1"/>
  <c r="V251" i="1" s="1"/>
  <c r="V252" i="1" s="1"/>
  <c r="V253" i="1" s="1"/>
  <c r="V254" i="1" s="1"/>
  <c r="V255" i="1" s="1"/>
  <c r="V256" i="1" s="1"/>
  <c r="V257" i="1" s="1"/>
  <c r="V258" i="1" s="1"/>
  <c r="V259" i="1" s="1"/>
  <c r="V260" i="1" s="1"/>
  <c r="V261" i="1" s="1"/>
  <c r="V262" i="1" s="1"/>
  <c r="V263" i="1" s="1"/>
  <c r="V264" i="1" s="1"/>
  <c r="V265" i="1" s="1"/>
  <c r="V266" i="1" s="1"/>
  <c r="V267" i="1" s="1"/>
  <c r="V268" i="1" s="1"/>
  <c r="V269" i="1" s="1"/>
  <c r="V270" i="1" s="1"/>
  <c r="V271" i="1" s="1"/>
  <c r="V272" i="1" s="1"/>
  <c r="V273" i="1" s="1"/>
  <c r="V274" i="1" s="1"/>
  <c r="V275" i="1" s="1"/>
  <c r="V276" i="1" s="1"/>
  <c r="V277" i="1" s="1"/>
  <c r="V278" i="1" s="1"/>
  <c r="V279" i="1" s="1"/>
  <c r="V280" i="1" s="1"/>
  <c r="V281" i="1" s="1"/>
  <c r="V282" i="1" s="1"/>
  <c r="V283" i="1" s="1"/>
  <c r="V284" i="1" s="1"/>
  <c r="V285" i="1" s="1"/>
  <c r="V286" i="1" s="1"/>
  <c r="V287" i="1" s="1"/>
  <c r="V288" i="1" s="1"/>
  <c r="V289" i="1" s="1"/>
  <c r="V290" i="1" s="1"/>
  <c r="V291" i="1" s="1"/>
  <c r="V292" i="1" s="1"/>
  <c r="V293" i="1" s="1"/>
  <c r="V294" i="1" s="1"/>
  <c r="V295" i="1" s="1"/>
  <c r="V296" i="1" s="1"/>
  <c r="V297" i="1" s="1"/>
  <c r="V298" i="1" s="1"/>
  <c r="V299" i="1" s="1"/>
  <c r="V300" i="1" s="1"/>
  <c r="V301" i="1" s="1"/>
  <c r="V302" i="1" s="1"/>
  <c r="V303" i="1" s="1"/>
  <c r="V304" i="1" s="1"/>
  <c r="V305" i="1" s="1"/>
  <c r="V306" i="1" s="1"/>
  <c r="V307" i="1" s="1"/>
  <c r="V308" i="1" s="1"/>
  <c r="V309" i="1" s="1"/>
  <c r="V310" i="1" s="1"/>
  <c r="V311" i="1" s="1"/>
  <c r="V312" i="1" s="1"/>
  <c r="V313" i="1" s="1"/>
  <c r="V314" i="1" s="1"/>
  <c r="V315" i="1" s="1"/>
  <c r="V316" i="1" s="1"/>
  <c r="V317" i="1" s="1"/>
  <c r="V318" i="1" s="1"/>
  <c r="V319" i="1" s="1"/>
  <c r="V320" i="1" s="1"/>
  <c r="V321" i="1" s="1"/>
  <c r="V322" i="1" s="1"/>
  <c r="V323" i="1" s="1"/>
  <c r="V324" i="1" s="1"/>
  <c r="V325" i="1" s="1"/>
  <c r="V326" i="1" s="1"/>
  <c r="V327" i="1" s="1"/>
  <c r="V328" i="1" s="1"/>
  <c r="V329" i="1" s="1"/>
  <c r="V330" i="1" s="1"/>
  <c r="V331" i="1" s="1"/>
  <c r="V332" i="1" s="1"/>
  <c r="V333" i="1" s="1"/>
  <c r="V334" i="1" s="1"/>
  <c r="V335" i="1" s="1"/>
  <c r="V336" i="1" s="1"/>
  <c r="V337" i="1" s="1"/>
  <c r="V338" i="1" s="1"/>
  <c r="V339" i="1" s="1"/>
  <c r="V340" i="1" s="1"/>
  <c r="V341" i="1" s="1"/>
  <c r="V342" i="1" s="1"/>
  <c r="V343" i="1" s="1"/>
  <c r="V344" i="1" s="1"/>
  <c r="V345" i="1" s="1"/>
  <c r="V346" i="1" s="1"/>
  <c r="V347" i="1" s="1"/>
  <c r="V348" i="1" s="1"/>
  <c r="V349" i="1" s="1"/>
  <c r="V350" i="1" s="1"/>
  <c r="V351" i="1" s="1"/>
  <c r="V352" i="1" s="1"/>
  <c r="V353" i="1" s="1"/>
  <c r="V354" i="1" s="1"/>
  <c r="V355" i="1" s="1"/>
  <c r="V356" i="1" s="1"/>
  <c r="V357" i="1" s="1"/>
  <c r="V358" i="1" s="1"/>
  <c r="V359" i="1" s="1"/>
  <c r="V360" i="1" s="1"/>
  <c r="V361" i="1" s="1"/>
  <c r="V362" i="1" s="1"/>
  <c r="V363" i="1" s="1"/>
  <c r="V364" i="1" s="1"/>
  <c r="V365" i="1" s="1"/>
  <c r="V366" i="1" s="1"/>
  <c r="V367" i="1" s="1"/>
  <c r="V368" i="1" s="1"/>
  <c r="V369" i="1" s="1"/>
  <c r="V370" i="1" s="1"/>
  <c r="V371" i="1" s="1"/>
  <c r="V372" i="1" s="1"/>
  <c r="V373" i="1" s="1"/>
  <c r="V374" i="1" s="1"/>
  <c r="V375" i="1" s="1"/>
  <c r="V376" i="1" s="1"/>
  <c r="V377" i="1" s="1"/>
  <c r="V378" i="1" s="1"/>
  <c r="V379" i="1" s="1"/>
  <c r="V380" i="1" s="1"/>
  <c r="V381" i="1" s="1"/>
  <c r="V382" i="1" s="1"/>
  <c r="V383" i="1" s="1"/>
  <c r="V384" i="1" s="1"/>
  <c r="V385" i="1" s="1"/>
  <c r="V386" i="1" s="1"/>
  <c r="V387" i="1" s="1"/>
  <c r="V388" i="1" s="1"/>
  <c r="V389" i="1" s="1"/>
  <c r="V390" i="1" s="1"/>
  <c r="V391" i="1" s="1"/>
  <c r="V392" i="1" s="1"/>
  <c r="V393" i="1" s="1"/>
  <c r="V394" i="1" s="1"/>
  <c r="V395" i="1" s="1"/>
  <c r="V396" i="1" s="1"/>
  <c r="V397" i="1" s="1"/>
  <c r="V398" i="1" s="1"/>
  <c r="V399" i="1" s="1"/>
  <c r="V400" i="1" s="1"/>
  <c r="V401" i="1" s="1"/>
  <c r="V402" i="1" s="1"/>
  <c r="V403" i="1" s="1"/>
  <c r="V404" i="1" s="1"/>
  <c r="V405" i="1" s="1"/>
  <c r="V406" i="1" s="1"/>
  <c r="V407" i="1" s="1"/>
  <c r="V408" i="1" s="1"/>
  <c r="V409" i="1" s="1"/>
  <c r="V410" i="1" s="1"/>
  <c r="V411" i="1" s="1"/>
  <c r="V412" i="1" s="1"/>
  <c r="V413" i="1" s="1"/>
  <c r="V414" i="1" s="1"/>
  <c r="V415" i="1" s="1"/>
  <c r="V416" i="1" s="1"/>
  <c r="V417" i="1" s="1"/>
  <c r="V418" i="1" s="1"/>
  <c r="V419" i="1" s="1"/>
  <c r="V420" i="1" s="1"/>
  <c r="V421" i="1" s="1"/>
  <c r="V422" i="1" s="1"/>
  <c r="V423" i="1" s="1"/>
  <c r="V424" i="1" s="1"/>
  <c r="V425" i="1" s="1"/>
  <c r="V426" i="1" s="1"/>
  <c r="V427" i="1" s="1"/>
  <c r="V428" i="1" s="1"/>
  <c r="V429" i="1" s="1"/>
  <c r="V430" i="1" s="1"/>
  <c r="V431" i="1" s="1"/>
  <c r="V432" i="1" s="1"/>
  <c r="V433" i="1" s="1"/>
  <c r="V434" i="1" s="1"/>
  <c r="V435" i="1" s="1"/>
  <c r="V436" i="1" s="1"/>
  <c r="V437" i="1" s="1"/>
  <c r="V438" i="1" s="1"/>
  <c r="V439" i="1" s="1"/>
  <c r="V440" i="1" s="1"/>
  <c r="V441" i="1" s="1"/>
  <c r="V442" i="1" s="1"/>
  <c r="V443" i="1" s="1"/>
  <c r="V444" i="1" s="1"/>
  <c r="V445" i="1" s="1"/>
  <c r="V446" i="1" s="1"/>
  <c r="V447" i="1" s="1"/>
  <c r="V448" i="1" s="1"/>
  <c r="V449" i="1" s="1"/>
  <c r="V450" i="1" s="1"/>
  <c r="V451" i="1" s="1"/>
  <c r="V452" i="1" s="1"/>
  <c r="V453" i="1" s="1"/>
  <c r="V454" i="1" s="1"/>
  <c r="V455" i="1" s="1"/>
  <c r="V456" i="1" s="1"/>
  <c r="V457" i="1" s="1"/>
  <c r="V458" i="1" s="1"/>
  <c r="V459" i="1" s="1"/>
  <c r="V460" i="1" s="1"/>
  <c r="V461" i="1" s="1"/>
  <c r="V462" i="1" s="1"/>
  <c r="V463" i="1" s="1"/>
  <c r="V464" i="1" s="1"/>
  <c r="V465" i="1" s="1"/>
  <c r="V466" i="1" s="1"/>
  <c r="V467" i="1" s="1"/>
  <c r="V468" i="1" s="1"/>
  <c r="V469" i="1" s="1"/>
  <c r="V470" i="1" s="1"/>
  <c r="V471" i="1" s="1"/>
  <c r="V472" i="1" s="1"/>
  <c r="V473" i="1" s="1"/>
  <c r="V474" i="1" s="1"/>
  <c r="V475" i="1" s="1"/>
  <c r="V476" i="1" s="1"/>
  <c r="V477" i="1" s="1"/>
  <c r="V478" i="1" s="1"/>
  <c r="V479" i="1" s="1"/>
  <c r="V480" i="1" s="1"/>
  <c r="V481" i="1" s="1"/>
  <c r="V482" i="1" s="1"/>
  <c r="V483" i="1" s="1"/>
  <c r="V484" i="1" s="1"/>
  <c r="V485" i="1" s="1"/>
  <c r="V486" i="1" s="1"/>
  <c r="V487" i="1" s="1"/>
  <c r="V488" i="1" s="1"/>
  <c r="V489" i="1" s="1"/>
  <c r="V490" i="1" s="1"/>
  <c r="V491" i="1" s="1"/>
  <c r="V492" i="1" s="1"/>
  <c r="V493" i="1" s="1"/>
  <c r="V494" i="1" s="1"/>
  <c r="V495" i="1" s="1"/>
  <c r="V496" i="1" s="1"/>
  <c r="V497" i="1" s="1"/>
  <c r="V498" i="1" s="1"/>
  <c r="V499" i="1" s="1"/>
  <c r="V500" i="1" s="1"/>
  <c r="V501" i="1" s="1"/>
  <c r="V502" i="1" s="1"/>
  <c r="V503" i="1" s="1"/>
  <c r="V504" i="1" s="1"/>
  <c r="V505" i="1" s="1"/>
  <c r="V506" i="1" s="1"/>
  <c r="V507" i="1" s="1"/>
  <c r="V508" i="1" s="1"/>
  <c r="V509" i="1" s="1"/>
  <c r="V510" i="1" s="1"/>
  <c r="V511" i="1" s="1"/>
  <c r="V512" i="1" s="1"/>
  <c r="V513" i="1" s="1"/>
  <c r="V514" i="1" s="1"/>
  <c r="V515" i="1" s="1"/>
  <c r="V516" i="1" s="1"/>
  <c r="V517" i="1" s="1"/>
  <c r="V518" i="1" s="1"/>
  <c r="V519" i="1" s="1"/>
  <c r="V520" i="1" s="1"/>
  <c r="V521" i="1" s="1"/>
  <c r="V522" i="1" s="1"/>
  <c r="V523" i="1" s="1"/>
  <c r="V524" i="1" s="1"/>
  <c r="V525" i="1" s="1"/>
  <c r="V526" i="1" s="1"/>
  <c r="V527" i="1" s="1"/>
  <c r="V528" i="1" s="1"/>
  <c r="V529" i="1" s="1"/>
  <c r="V530" i="1" s="1"/>
  <c r="V531" i="1" s="1"/>
  <c r="V532" i="1" s="1"/>
  <c r="V533" i="1" s="1"/>
  <c r="V534" i="1" s="1"/>
  <c r="V535" i="1" s="1"/>
  <c r="V536" i="1" s="1"/>
  <c r="V537" i="1" s="1"/>
  <c r="V538" i="1" s="1"/>
  <c r="V539" i="1" s="1"/>
  <c r="V540" i="1" s="1"/>
  <c r="V541" i="1" s="1"/>
  <c r="V542" i="1" s="1"/>
  <c r="V543" i="1" s="1"/>
  <c r="V544" i="1" s="1"/>
  <c r="V545" i="1" s="1"/>
  <c r="V546" i="1" s="1"/>
  <c r="V547" i="1" s="1"/>
  <c r="V548" i="1" s="1"/>
  <c r="V549" i="1" s="1"/>
  <c r="V550" i="1" s="1"/>
  <c r="V551" i="1" s="1"/>
  <c r="V552" i="1" s="1"/>
  <c r="V553" i="1" s="1"/>
  <c r="V554" i="1" s="1"/>
  <c r="V555" i="1" s="1"/>
  <c r="V556" i="1" s="1"/>
  <c r="V557" i="1" s="1"/>
  <c r="V558" i="1" s="1"/>
  <c r="V559" i="1" s="1"/>
  <c r="V560" i="1" s="1"/>
  <c r="V561" i="1" s="1"/>
  <c r="V562" i="1" s="1"/>
  <c r="V563" i="1" s="1"/>
  <c r="V564" i="1" s="1"/>
  <c r="V565" i="1" s="1"/>
  <c r="V566" i="1" s="1"/>
  <c r="V567" i="1" s="1"/>
  <c r="V568" i="1" s="1"/>
  <c r="V569" i="1" s="1"/>
  <c r="V570" i="1" s="1"/>
  <c r="V571" i="1" s="1"/>
  <c r="V572" i="1" s="1"/>
  <c r="V573" i="1" s="1"/>
  <c r="V574" i="1" s="1"/>
  <c r="V575" i="1" s="1"/>
  <c r="V576" i="1" s="1"/>
  <c r="V577" i="1" s="1"/>
  <c r="V578" i="1" s="1"/>
  <c r="V579" i="1" s="1"/>
  <c r="V580" i="1" s="1"/>
  <c r="V581" i="1" s="1"/>
  <c r="V582" i="1" s="1"/>
  <c r="V583" i="1" s="1"/>
  <c r="V584" i="1" s="1"/>
  <c r="V585" i="1" s="1"/>
  <c r="V586" i="1" s="1"/>
  <c r="V587" i="1" s="1"/>
  <c r="V588" i="1" s="1"/>
  <c r="V589" i="1" s="1"/>
  <c r="V590" i="1" s="1"/>
  <c r="V591" i="1" s="1"/>
  <c r="V592" i="1" s="1"/>
  <c r="V593" i="1" s="1"/>
  <c r="V594" i="1" s="1"/>
  <c r="V595" i="1" s="1"/>
  <c r="V596" i="1" s="1"/>
  <c r="V597" i="1" s="1"/>
  <c r="V598" i="1" s="1"/>
  <c r="V599" i="1" s="1"/>
  <c r="V600" i="1" s="1"/>
  <c r="V601" i="1" s="1"/>
  <c r="V602" i="1" s="1"/>
  <c r="V603" i="1" s="1"/>
  <c r="V604" i="1" s="1"/>
  <c r="V605" i="1" s="1"/>
  <c r="V606" i="1" s="1"/>
  <c r="V607" i="1" s="1"/>
  <c r="V608" i="1" s="1"/>
  <c r="V609" i="1" s="1"/>
  <c r="V610" i="1" s="1"/>
  <c r="V611" i="1" s="1"/>
  <c r="V612" i="1" s="1"/>
  <c r="V613" i="1" s="1"/>
  <c r="V614" i="1" s="1"/>
  <c r="V615" i="1" s="1"/>
  <c r="V616" i="1" s="1"/>
  <c r="V617" i="1" s="1"/>
  <c r="V618" i="1" s="1"/>
  <c r="V619" i="1" s="1"/>
  <c r="V620" i="1" s="1"/>
  <c r="V621" i="1" s="1"/>
  <c r="V622" i="1" s="1"/>
  <c r="V623" i="1" s="1"/>
  <c r="V624" i="1" s="1"/>
  <c r="V625" i="1" s="1"/>
  <c r="V626" i="1" s="1"/>
  <c r="V627" i="1" s="1"/>
  <c r="V628" i="1" s="1"/>
  <c r="V629" i="1" s="1"/>
  <c r="V630" i="1" s="1"/>
  <c r="V631" i="1" s="1"/>
  <c r="V632" i="1" s="1"/>
  <c r="V633" i="1" s="1"/>
  <c r="V634" i="1" s="1"/>
  <c r="V635" i="1" s="1"/>
  <c r="V636" i="1" s="1"/>
  <c r="V637" i="1" s="1"/>
  <c r="V638" i="1" s="1"/>
  <c r="V639" i="1" s="1"/>
  <c r="V640" i="1" s="1"/>
  <c r="V641" i="1" s="1"/>
  <c r="V642" i="1" s="1"/>
  <c r="V643" i="1" s="1"/>
  <c r="V644" i="1" s="1"/>
  <c r="V645" i="1" s="1"/>
  <c r="V646" i="1" s="1"/>
  <c r="V647" i="1" s="1"/>
  <c r="V648" i="1" s="1"/>
  <c r="V649" i="1" s="1"/>
  <c r="V650" i="1" s="1"/>
  <c r="V651" i="1" s="1"/>
  <c r="V652" i="1" s="1"/>
  <c r="V653" i="1" s="1"/>
  <c r="V654" i="1" s="1"/>
  <c r="V655" i="1" s="1"/>
  <c r="V656" i="1" s="1"/>
  <c r="V657" i="1" s="1"/>
  <c r="V658" i="1" s="1"/>
  <c r="V659" i="1" s="1"/>
  <c r="V660" i="1" s="1"/>
  <c r="V661" i="1" s="1"/>
  <c r="V662" i="1" s="1"/>
  <c r="V663" i="1" s="1"/>
  <c r="V664" i="1" s="1"/>
  <c r="V665" i="1" s="1"/>
  <c r="V666" i="1" s="1"/>
  <c r="V667" i="1" s="1"/>
  <c r="V668" i="1" s="1"/>
  <c r="V669" i="1" s="1"/>
  <c r="V670" i="1" s="1"/>
  <c r="V671" i="1" s="1"/>
  <c r="V672" i="1" s="1"/>
  <c r="V673" i="1" s="1"/>
  <c r="V674" i="1" s="1"/>
  <c r="V675" i="1" s="1"/>
  <c r="V676" i="1" s="1"/>
  <c r="V677" i="1" s="1"/>
  <c r="V678" i="1" s="1"/>
  <c r="V679" i="1" s="1"/>
  <c r="V680" i="1" s="1"/>
  <c r="V681" i="1" s="1"/>
  <c r="V682" i="1" s="1"/>
  <c r="V683" i="1" s="1"/>
  <c r="V684" i="1" s="1"/>
  <c r="V685" i="1" s="1"/>
  <c r="V686" i="1" s="1"/>
  <c r="V687" i="1" s="1"/>
  <c r="V688" i="1" s="1"/>
  <c r="V689" i="1" s="1"/>
  <c r="V690" i="1" s="1"/>
  <c r="V691" i="1" s="1"/>
  <c r="V692" i="1" s="1"/>
  <c r="V693" i="1" s="1"/>
  <c r="V694" i="1" s="1"/>
  <c r="V695" i="1" s="1"/>
  <c r="V696" i="1" s="1"/>
  <c r="V697" i="1" s="1"/>
  <c r="V698" i="1" s="1"/>
  <c r="V699" i="1" s="1"/>
  <c r="V700" i="1" s="1"/>
  <c r="V701" i="1" s="1"/>
  <c r="V702" i="1" s="1"/>
  <c r="V703" i="1" s="1"/>
  <c r="V704" i="1" s="1"/>
  <c r="V705" i="1" s="1"/>
  <c r="V706" i="1" s="1"/>
  <c r="V707" i="1" s="1"/>
  <c r="V708" i="1" s="1"/>
  <c r="V709" i="1" s="1"/>
  <c r="V710" i="1" s="1"/>
  <c r="V711" i="1" s="1"/>
  <c r="V712" i="1" s="1"/>
  <c r="V713" i="1" s="1"/>
  <c r="V714" i="1" s="1"/>
  <c r="V715" i="1" s="1"/>
  <c r="V716" i="1" s="1"/>
  <c r="V717" i="1" s="1"/>
  <c r="V718" i="1" s="1"/>
  <c r="V719" i="1" s="1"/>
  <c r="V720" i="1" s="1"/>
  <c r="V721" i="1" s="1"/>
  <c r="V722" i="1" s="1"/>
  <c r="V723" i="1" s="1"/>
  <c r="V724" i="1" s="1"/>
  <c r="V725" i="1" s="1"/>
  <c r="V726" i="1" s="1"/>
  <c r="V727" i="1" s="1"/>
  <c r="V728" i="1" s="1"/>
  <c r="V729" i="1" s="1"/>
  <c r="V730" i="1" s="1"/>
  <c r="V731" i="1" s="1"/>
  <c r="V732" i="1" s="1"/>
  <c r="V733" i="1" s="1"/>
  <c r="V734" i="1" s="1"/>
  <c r="V735" i="1" s="1"/>
  <c r="V736" i="1" s="1"/>
  <c r="V737" i="1" s="1"/>
  <c r="V738" i="1" s="1"/>
  <c r="V739" i="1" s="1"/>
  <c r="V740" i="1" s="1"/>
  <c r="V741" i="1" s="1"/>
  <c r="V742" i="1" s="1"/>
  <c r="V743" i="1" s="1"/>
  <c r="V744" i="1" s="1"/>
  <c r="V745" i="1" s="1"/>
  <c r="V746" i="1" s="1"/>
  <c r="V747" i="1" s="1"/>
  <c r="V748" i="1" s="1"/>
  <c r="V749" i="1" s="1"/>
  <c r="V750" i="1" s="1"/>
  <c r="V751" i="1" s="1"/>
  <c r="V752" i="1" s="1"/>
  <c r="V753" i="1" s="1"/>
  <c r="V754" i="1" s="1"/>
  <c r="V755" i="1" s="1"/>
  <c r="V756" i="1" s="1"/>
  <c r="V757" i="1" s="1"/>
  <c r="V758" i="1" s="1"/>
  <c r="V759" i="1" s="1"/>
  <c r="V760" i="1" s="1"/>
  <c r="V761" i="1" s="1"/>
  <c r="V762" i="1" s="1"/>
  <c r="V763" i="1" s="1"/>
  <c r="V764" i="1" s="1"/>
  <c r="V765" i="1" s="1"/>
  <c r="V766" i="1" s="1"/>
  <c r="V767" i="1" s="1"/>
  <c r="V768" i="1" s="1"/>
  <c r="V769" i="1" s="1"/>
  <c r="V770" i="1" s="1"/>
  <c r="V771" i="1" s="1"/>
  <c r="V772" i="1" s="1"/>
  <c r="V773" i="1" s="1"/>
  <c r="V774" i="1" s="1"/>
  <c r="V775" i="1" s="1"/>
  <c r="V776" i="1" s="1"/>
  <c r="V777" i="1" s="1"/>
  <c r="V778" i="1" s="1"/>
  <c r="V779" i="1" s="1"/>
  <c r="V780" i="1" s="1"/>
  <c r="V781" i="1" s="1"/>
  <c r="V782" i="1" s="1"/>
  <c r="V783" i="1" s="1"/>
  <c r="V784" i="1" s="1"/>
  <c r="V785" i="1" s="1"/>
  <c r="V786" i="1" s="1"/>
  <c r="V787" i="1" s="1"/>
  <c r="V788" i="1" s="1"/>
  <c r="V789" i="1" s="1"/>
  <c r="V790" i="1" s="1"/>
  <c r="V791" i="1" s="1"/>
  <c r="V792" i="1" s="1"/>
  <c r="V793" i="1" s="1"/>
  <c r="V794" i="1" s="1"/>
  <c r="V795" i="1" s="1"/>
  <c r="V796" i="1" s="1"/>
  <c r="V797" i="1" s="1"/>
  <c r="V798" i="1" s="1"/>
  <c r="V799" i="1" s="1"/>
  <c r="V800" i="1" s="1"/>
  <c r="V801" i="1" s="1"/>
  <c r="V802" i="1" s="1"/>
  <c r="V803" i="1" s="1"/>
  <c r="V804" i="1" s="1"/>
  <c r="V805" i="1" s="1"/>
  <c r="V806" i="1" s="1"/>
  <c r="V807" i="1" s="1"/>
  <c r="V808" i="1" s="1"/>
  <c r="V809" i="1" s="1"/>
  <c r="V810" i="1" s="1"/>
  <c r="V811" i="1" s="1"/>
  <c r="V812" i="1" s="1"/>
  <c r="V813" i="1" s="1"/>
  <c r="V814" i="1" s="1"/>
  <c r="V815" i="1" s="1"/>
  <c r="V816" i="1" s="1"/>
  <c r="V817" i="1" s="1"/>
  <c r="V818" i="1" s="1"/>
  <c r="V819" i="1" s="1"/>
  <c r="V820" i="1" s="1"/>
  <c r="V821" i="1" s="1"/>
  <c r="V822" i="1" s="1"/>
  <c r="V823" i="1" s="1"/>
  <c r="V824" i="1" s="1"/>
  <c r="V825" i="1" s="1"/>
  <c r="V826" i="1" s="1"/>
  <c r="V827" i="1" s="1"/>
  <c r="V828" i="1" s="1"/>
  <c r="V829" i="1" s="1"/>
  <c r="V830" i="1" s="1"/>
  <c r="V831" i="1" s="1"/>
  <c r="V832" i="1" s="1"/>
  <c r="V833" i="1" s="1"/>
  <c r="V834" i="1" s="1"/>
  <c r="V835" i="1" s="1"/>
  <c r="V836" i="1" s="1"/>
  <c r="V837" i="1" s="1"/>
  <c r="V838" i="1" s="1"/>
  <c r="V839" i="1" s="1"/>
  <c r="V840" i="1" s="1"/>
  <c r="V841" i="1" s="1"/>
  <c r="V842" i="1" s="1"/>
  <c r="V843" i="1" s="1"/>
  <c r="V844" i="1" s="1"/>
  <c r="V845" i="1" s="1"/>
  <c r="V846" i="1" s="1"/>
  <c r="V847" i="1" s="1"/>
  <c r="V848" i="1" s="1"/>
  <c r="V849" i="1" s="1"/>
  <c r="V850" i="1" s="1"/>
  <c r="V851" i="1" s="1"/>
  <c r="V852" i="1" s="1"/>
  <c r="V853" i="1" s="1"/>
  <c r="V854" i="1" s="1"/>
  <c r="V855" i="1" s="1"/>
  <c r="V856" i="1" s="1"/>
  <c r="V857" i="1" s="1"/>
  <c r="V858" i="1" s="1"/>
  <c r="V859" i="1" s="1"/>
  <c r="V860" i="1" s="1"/>
  <c r="V861" i="1" s="1"/>
  <c r="V862" i="1" s="1"/>
  <c r="V863" i="1" s="1"/>
  <c r="V864" i="1" s="1"/>
  <c r="V865" i="1" s="1"/>
  <c r="V866" i="1" s="1"/>
  <c r="V867" i="1" s="1"/>
  <c r="V868" i="1" s="1"/>
  <c r="V869" i="1" s="1"/>
  <c r="V870" i="1" s="1"/>
  <c r="V871" i="1" s="1"/>
  <c r="V872" i="1" s="1"/>
  <c r="V873" i="1" s="1"/>
  <c r="V874" i="1" s="1"/>
  <c r="V875" i="1" s="1"/>
  <c r="V876" i="1" s="1"/>
  <c r="V877" i="1" s="1"/>
  <c r="V878" i="1" s="1"/>
  <c r="V879" i="1" s="1"/>
  <c r="V880" i="1" s="1"/>
  <c r="V881" i="1" s="1"/>
  <c r="V882" i="1" s="1"/>
  <c r="V883" i="1" s="1"/>
  <c r="V884" i="1" s="1"/>
  <c r="V885" i="1" s="1"/>
  <c r="V886" i="1" s="1"/>
  <c r="V887" i="1" s="1"/>
  <c r="V888" i="1" s="1"/>
  <c r="V889" i="1" s="1"/>
  <c r="V890" i="1" s="1"/>
  <c r="V891" i="1" s="1"/>
  <c r="V892" i="1" s="1"/>
  <c r="V893" i="1" s="1"/>
  <c r="V894" i="1" s="1"/>
  <c r="V895" i="1" s="1"/>
  <c r="V896" i="1" s="1"/>
  <c r="V897" i="1" s="1"/>
  <c r="V898" i="1" s="1"/>
  <c r="V899" i="1" s="1"/>
  <c r="V900" i="1" s="1"/>
  <c r="V901" i="1" s="1"/>
  <c r="V902" i="1" s="1"/>
  <c r="V903" i="1" s="1"/>
  <c r="V904" i="1" s="1"/>
  <c r="V905" i="1" s="1"/>
  <c r="V906" i="1" s="1"/>
  <c r="V907" i="1" s="1"/>
  <c r="V908" i="1" s="1"/>
  <c r="V909" i="1" s="1"/>
  <c r="V910" i="1" s="1"/>
  <c r="V911" i="1" s="1"/>
  <c r="V912" i="1" s="1"/>
  <c r="V913" i="1" s="1"/>
  <c r="V914" i="1" s="1"/>
  <c r="V915" i="1" s="1"/>
  <c r="V916" i="1" s="1"/>
  <c r="V917" i="1" s="1"/>
  <c r="V918" i="1" s="1"/>
  <c r="V919" i="1" s="1"/>
  <c r="V920" i="1" s="1"/>
  <c r="V921" i="1" s="1"/>
  <c r="V922" i="1" s="1"/>
  <c r="V923" i="1" s="1"/>
  <c r="V924" i="1" s="1"/>
  <c r="V925" i="1" s="1"/>
  <c r="V926" i="1" s="1"/>
  <c r="V927" i="1" s="1"/>
  <c r="V928" i="1" s="1"/>
  <c r="V929" i="1" s="1"/>
  <c r="V930" i="1" s="1"/>
  <c r="V931" i="1" s="1"/>
  <c r="V932" i="1" s="1"/>
  <c r="V933" i="1" s="1"/>
  <c r="V934" i="1" s="1"/>
  <c r="V935" i="1" s="1"/>
  <c r="V936" i="1" s="1"/>
  <c r="V937" i="1" s="1"/>
  <c r="V938" i="1" s="1"/>
  <c r="V939" i="1" s="1"/>
  <c r="V940" i="1" s="1"/>
  <c r="V941" i="1" s="1"/>
  <c r="V942" i="1" s="1"/>
  <c r="V943" i="1" s="1"/>
  <c r="V944" i="1" s="1"/>
  <c r="V945" i="1" s="1"/>
  <c r="V946" i="1" s="1"/>
  <c r="V947" i="1" s="1"/>
  <c r="V948" i="1" s="1"/>
  <c r="V949" i="1" s="1"/>
  <c r="V950" i="1" s="1"/>
  <c r="V951" i="1" s="1"/>
  <c r="V952" i="1" s="1"/>
  <c r="V953" i="1" s="1"/>
  <c r="V954" i="1" s="1"/>
  <c r="V955" i="1" s="1"/>
  <c r="V956" i="1" s="1"/>
  <c r="V957" i="1" s="1"/>
  <c r="V958" i="1" s="1"/>
  <c r="V959" i="1" s="1"/>
  <c r="V960" i="1" s="1"/>
  <c r="V961" i="1" s="1"/>
  <c r="V962" i="1" s="1"/>
  <c r="V963" i="1" s="1"/>
  <c r="V964" i="1" s="1"/>
  <c r="V965" i="1" s="1"/>
  <c r="V966" i="1" s="1"/>
  <c r="V967" i="1" s="1"/>
  <c r="V968" i="1" s="1"/>
  <c r="V969" i="1" s="1"/>
  <c r="V970" i="1" s="1"/>
  <c r="V971" i="1" s="1"/>
  <c r="V972" i="1" s="1"/>
  <c r="V973" i="1" s="1"/>
  <c r="V974" i="1" s="1"/>
  <c r="V975" i="1" s="1"/>
  <c r="V976" i="1" s="1"/>
  <c r="V977" i="1" s="1"/>
  <c r="V978" i="1" s="1"/>
  <c r="V979" i="1" s="1"/>
  <c r="V980" i="1" s="1"/>
  <c r="V981" i="1" s="1"/>
  <c r="V982" i="1" s="1"/>
  <c r="V983" i="1" s="1"/>
  <c r="V984" i="1" s="1"/>
  <c r="V985" i="1" s="1"/>
  <c r="V986" i="1" s="1"/>
  <c r="V987" i="1" s="1"/>
  <c r="V988" i="1" s="1"/>
  <c r="V989" i="1" s="1"/>
  <c r="V990" i="1" s="1"/>
  <c r="V991" i="1" s="1"/>
  <c r="V992" i="1" s="1"/>
  <c r="V993" i="1" s="1"/>
  <c r="V994" i="1" s="1"/>
  <c r="V995" i="1" s="1"/>
  <c r="V996" i="1" s="1"/>
  <c r="V997" i="1" s="1"/>
  <c r="V998" i="1" s="1"/>
  <c r="V999" i="1" s="1"/>
  <c r="V1000" i="1" s="1"/>
  <c r="V1001" i="1" s="1"/>
  <c r="V1002" i="1" s="1"/>
  <c r="V1003" i="1" s="1"/>
  <c r="V1004" i="1" s="1"/>
  <c r="V1005" i="1" s="1"/>
  <c r="V1006" i="1" s="1"/>
  <c r="V1007" i="1" s="1"/>
  <c r="V1008" i="1" s="1"/>
  <c r="V1009" i="1" s="1"/>
  <c r="V1010" i="1" s="1"/>
  <c r="V1011" i="1" s="1"/>
  <c r="V1012" i="1" s="1"/>
  <c r="V1013" i="1" s="1"/>
  <c r="V1014" i="1" s="1"/>
  <c r="V1015" i="1" s="1"/>
  <c r="V1016" i="1" s="1"/>
  <c r="V1017" i="1" s="1"/>
  <c r="V1018" i="1" s="1"/>
  <c r="V1019" i="1" s="1"/>
  <c r="V1020" i="1" s="1"/>
  <c r="V1021" i="1" s="1"/>
  <c r="V1022" i="1" s="1"/>
  <c r="V1023" i="1" s="1"/>
  <c r="V1024" i="1" s="1"/>
  <c r="V1025" i="1" s="1"/>
  <c r="N19" i="1"/>
  <c r="O19" i="1" l="1"/>
</calcChain>
</file>

<file path=xl/sharedStrings.xml><?xml version="1.0" encoding="utf-8"?>
<sst xmlns="http://schemas.openxmlformats.org/spreadsheetml/2006/main" count="1257" uniqueCount="563">
  <si>
    <t>Secondary Poisoning Model</t>
  </si>
  <si>
    <t>How to use</t>
  </si>
  <si>
    <t>Cell key</t>
  </si>
  <si>
    <t>1.  Chemical: choose Lookup and pick a pharmaceutical from the list, or choose Manual Input and fill in column E.</t>
  </si>
  <si>
    <t>Input – yellow cells can be edited</t>
  </si>
  <si>
    <t>2.  Environment: enter the water and/or soil concentration and conditions.</t>
  </si>
  <si>
    <t>Calculated – do not overwrite</t>
  </si>
  <si>
    <t>3.  Food chain: set class, environment, diet, blood type, body mass and internal pH for up to four trophic levels (None = level not modelled).</t>
  </si>
  <si>
    <t>Main result</t>
  </si>
  <si>
    <t>4.  Results (top right) update automatically. Intermediate calculations are below row 60 and do not need input.</t>
  </si>
  <si>
    <t>'–' = not applicable / not available</t>
  </si>
  <si>
    <t>1   CHEMICAL</t>
  </si>
  <si>
    <t>RESULTS</t>
  </si>
  <si>
    <t>TIME-COURSE  (for the chart)</t>
  </si>
  <si>
    <t>Chemical input</t>
  </si>
  <si>
    <t>Lookup = 'Chemical Data' sheet;  Manual Input = your own values in column E</t>
  </si>
  <si>
    <t>Output</t>
  </si>
  <si>
    <t>Unit</t>
  </si>
  <si>
    <t>TL 1</t>
  </si>
  <si>
    <t>TL 2</t>
  </si>
  <si>
    <t>TL 3</t>
  </si>
  <si>
    <t>TL 4</t>
  </si>
  <si>
    <t>Quantity</t>
  </si>
  <si>
    <t>Pharmaceutical (Lookup)</t>
  </si>
  <si>
    <t>Diclofenac</t>
  </si>
  <si>
    <t>Drop-down list of 61 pharmaceuticals</t>
  </si>
  <si>
    <t>Organism</t>
  </si>
  <si>
    <t>–</t>
  </si>
  <si>
    <t>Level modelled</t>
  </si>
  <si>
    <t>Property</t>
  </si>
  <si>
    <t>Database</t>
  </si>
  <si>
    <t>Manual input</t>
  </si>
  <si>
    <t>Value used</t>
  </si>
  <si>
    <t>Source</t>
  </si>
  <si>
    <t>Notes</t>
  </si>
  <si>
    <t>Steady-state concentration</t>
  </si>
  <si>
    <t>µg/kg ww</t>
  </si>
  <si>
    <t>Uptake from water/air/pore water (µg/kg/d)</t>
  </si>
  <si>
    <t>Name</t>
  </si>
  <si>
    <t>My compound</t>
  </si>
  <si>
    <t>Manual example values = diclofenac</t>
  </si>
  <si>
    <t>BAF relative to water</t>
  </si>
  <si>
    <t>L/kg</t>
  </si>
  <si>
    <t>k1,in (d⁻¹)</t>
  </si>
  <si>
    <t>log Kow, neutral species</t>
  </si>
  <si>
    <t>BAF relative to soil</t>
  </si>
  <si>
    <t>kg/kg</t>
  </si>
  <si>
    <t>Σk_out (d⁻¹)</t>
  </si>
  <si>
    <t>log Kow, ionised species</t>
  </si>
  <si>
    <t>Ionised structure</t>
  </si>
  <si>
    <t>BMF relative to the level below</t>
  </si>
  <si>
    <t>Feeds on soil (detritus)</t>
  </si>
  <si>
    <t>log Koa</t>
  </si>
  <si>
    <t>TMF of the food chain</t>
  </si>
  <si>
    <t>exp(−Σk_out·Δt)</t>
  </si>
  <si>
    <t>log Kaw</t>
  </si>
  <si>
    <t>(calculated)</t>
  </si>
  <si>
    <t>log Kow − log Koa</t>
  </si>
  <si>
    <t>Time to 95 % of steady state</t>
  </si>
  <si>
    <t>d</t>
  </si>
  <si>
    <t>(1 − exp(−Σk_out·Δt))/Σk_out</t>
  </si>
  <si>
    <t>pKa (most relevant)</t>
  </si>
  <si>
    <t>pKa matching the ionisation type</t>
  </si>
  <si>
    <t>Status</t>
  </si>
  <si>
    <t>Length used (d)</t>
  </si>
  <si>
    <t>Ionisation type</t>
  </si>
  <si>
    <t>Acidic</t>
  </si>
  <si>
    <t>Acidic, Basic or Neutral</t>
  </si>
  <si>
    <t>Status: Invalid class = terrestrial organisms must be Birds, Mammals or Insects;  No food level = level below not modelled.</t>
  </si>
  <si>
    <t>Auto length (d)</t>
  </si>
  <si>
    <t>rounded up from 4 × Σ(1/Σk_out)</t>
  </si>
  <si>
    <t>Ionising functional group</t>
  </si>
  <si>
    <t>Carboxylic Acid</t>
  </si>
  <si>
    <t>Selects the ionised-species descriptors</t>
  </si>
  <si>
    <t>RATE CONSTANTS  (Equation 1)</t>
  </si>
  <si>
    <t>Time step Δt (d)</t>
  </si>
  <si>
    <t>Biotransformation half-life (10 g fish)</t>
  </si>
  <si>
    <t>Only used when biotransformation is On</t>
  </si>
  <si>
    <t>Process</t>
  </si>
  <si>
    <t>Symbol (unit)</t>
  </si>
  <si>
    <t>1/Σk_out (d)</t>
  </si>
  <si>
    <t>Abraham solute descriptors (neutral species)</t>
  </si>
  <si>
    <t>Uptake from water</t>
  </si>
  <si>
    <t>k0,in-aq (L/kg/d)</t>
  </si>
  <si>
    <t>t (d)</t>
  </si>
  <si>
    <t>E – excess molar refraction</t>
  </si>
  <si>
    <t>Used by the pp-LFERs, K_BA and the kidney block</t>
  </si>
  <si>
    <t>Uptake from air</t>
  </si>
  <si>
    <t>k0,in-air (L/kg/d)</t>
  </si>
  <si>
    <t>S – dipolarity / polarisability</t>
  </si>
  <si>
    <t>Uptake from pore water</t>
  </si>
  <si>
    <t>k0,in-pw (L/kg/d)</t>
  </si>
  <si>
    <t>A – H-bond acidity</t>
  </si>
  <si>
    <t>Assimilation from food</t>
  </si>
  <si>
    <t>B – H-bond basicity</t>
  </si>
  <si>
    <t>Excretion to water</t>
  </si>
  <si>
    <t>k0,out-aq (d⁻¹)</t>
  </si>
  <si>
    <t>V – McGowan volume</t>
  </si>
  <si>
    <t>Exhalation to air</t>
  </si>
  <si>
    <t>k0,out-air (d⁻¹)</t>
  </si>
  <si>
    <t>L – log hexadecane–air partition coefficient</t>
  </si>
  <si>
    <t>Manual input: leave blank if unknown</t>
  </si>
  <si>
    <t>Excretion to pore water</t>
  </si>
  <si>
    <t>k0,out-pw (d⁻¹)</t>
  </si>
  <si>
    <t>Input check</t>
  </si>
  <si>
    <t>Excretion with urine</t>
  </si>
  <si>
    <t>k1,out-urine (d⁻¹)</t>
  </si>
  <si>
    <t>Egestion with faeces</t>
  </si>
  <si>
    <t>k1,out-fae (d⁻¹)</t>
  </si>
  <si>
    <t>2   ENVIRONMENT</t>
  </si>
  <si>
    <t>Growth dilution</t>
  </si>
  <si>
    <t>k2,out (d⁻¹)</t>
  </si>
  <si>
    <t>Parameter</t>
  </si>
  <si>
    <t>Value</t>
  </si>
  <si>
    <t>Biotransformation</t>
  </si>
  <si>
    <t>k3,out (d⁻¹)</t>
  </si>
  <si>
    <t>Water concentration (dissolved)</t>
  </si>
  <si>
    <t>µg/L</t>
  </si>
  <si>
    <t>Uptake by aquatic organisms; reference for BAF (water)</t>
  </si>
  <si>
    <t>Total elimination</t>
  </si>
  <si>
    <t>Water temperature</t>
  </si>
  <si>
    <t>K</t>
  </si>
  <si>
    <t>Default 288 K</t>
  </si>
  <si>
    <t>Water pH</t>
  </si>
  <si>
    <t>Default 7</t>
  </si>
  <si>
    <t>Soil concentration</t>
  </si>
  <si>
    <t>Detritus diet, pore-water and air uptake; reference for BAF (soil)</t>
  </si>
  <si>
    <t>Soil pH</t>
  </si>
  <si>
    <t>Pore-water speciation</t>
  </si>
  <si>
    <t>Soil organic carbon fraction</t>
  </si>
  <si>
    <t>Soil partitioning (Armitage &amp; Gobas, 2007)</t>
  </si>
  <si>
    <t>Soil bulk density</t>
  </si>
  <si>
    <t>kg/L</t>
  </si>
  <si>
    <t>Soil moisture content</t>
  </si>
  <si>
    <t>Fraction</t>
  </si>
  <si>
    <t>3   FOOD CHAIN</t>
  </si>
  <si>
    <t>Options</t>
  </si>
  <si>
    <t>Organism class</t>
  </si>
  <si>
    <t>Algae</t>
  </si>
  <si>
    <t>Crustaceans</t>
  </si>
  <si>
    <t>Fish</t>
  </si>
  <si>
    <t>Birds</t>
  </si>
  <si>
    <t>None = level not modelled (classes: table in J64)</t>
  </si>
  <si>
    <t>Environment</t>
  </si>
  <si>
    <t>Aquatic</t>
  </si>
  <si>
    <t>Terrestrial</t>
  </si>
  <si>
    <t>Aquatic, Terrestrial or Subterranean</t>
  </si>
  <si>
    <t>Diet</t>
  </si>
  <si>
    <t>Photosynthesis</t>
  </si>
  <si>
    <t>Herbivore</t>
  </si>
  <si>
    <t>Carnivore</t>
  </si>
  <si>
    <t>Detritus = feeds on soil (uses the soil concentration)</t>
  </si>
  <si>
    <t>Blood type</t>
  </si>
  <si>
    <t>Cold Blooded</t>
  </si>
  <si>
    <t>Warm Blooded</t>
  </si>
  <si>
    <t>Warm blooded: q_T = 10</t>
  </si>
  <si>
    <t>Body mass</t>
  </si>
  <si>
    <t>kg</t>
  </si>
  <si>
    <t>Wet weight</t>
  </si>
  <si>
    <t>Internal pH</t>
  </si>
  <si>
    <t>Default 7.4</t>
  </si>
  <si>
    <t>4   MODEL OPTIONS</t>
  </si>
  <si>
    <t>Organism–water partitioning (K_iW)</t>
  </si>
  <si>
    <t>I</t>
  </si>
  <si>
    <t>I = D_OW-based (Eq. 2, base model);  II = pp-LFER sub-model (Eq. 6)</t>
  </si>
  <si>
    <t>Use QSBR descriptors if no measured values</t>
  </si>
  <si>
    <t>Yes</t>
  </si>
  <si>
    <t>Yes = base model setting</t>
  </si>
  <si>
    <t>Biotransformation (k3,out)</t>
  </si>
  <si>
    <t>Off</t>
  </si>
  <si>
    <t>Off = base model;  On = EPI Suite fish half-life, scaled as ln2·(m/0.01)^-0.25/HL (fish, birds, mammals)</t>
  </si>
  <si>
    <t>Time-course length (chart only)</t>
  </si>
  <si>
    <t>Auto</t>
  </si>
  <si>
    <t>Auto, or a number of days</t>
  </si>
  <si>
    <t>CALCULATIONS  –  intermediate values (no input needed)</t>
  </si>
  <si>
    <t>5   Speciation, soil partitioning and pp-LFERs</t>
  </si>
  <si>
    <t>REFERENCE TABLES  (model parameters; editable)</t>
  </si>
  <si>
    <t>Symbol</t>
  </si>
  <si>
    <t>Equation / source</t>
  </si>
  <si>
    <t>Organism composition (Table 1) and production efficiency</t>
  </si>
  <si>
    <t>Database row of the selected pharmaceutical</t>
  </si>
  <si>
    <t>Row within 'Chemical Data' (MATCH)</t>
  </si>
  <si>
    <t>Class</t>
  </si>
  <si>
    <t>f_nl</t>
  </si>
  <si>
    <t>f_pl</t>
  </si>
  <si>
    <t>f_pro</t>
  </si>
  <si>
    <t>f_w</t>
  </si>
  <si>
    <t>p_p (cold)</t>
  </si>
  <si>
    <t>p_p (warm)</t>
  </si>
  <si>
    <t>Neutral fraction in water</t>
  </si>
  <si>
    <t>fn,w</t>
  </si>
  <si>
    <t>Henderson–Hasselbalch</t>
  </si>
  <si>
    <t>D_OW at water pH</t>
  </si>
  <si>
    <t>D_OW,w</t>
  </si>
  <si>
    <t>fn,w·Kow + (1 − fn,w)·Kow,ion</t>
  </si>
  <si>
    <t>Plants</t>
  </si>
  <si>
    <t>Neutral fraction in soil pore water</t>
  </si>
  <si>
    <t>fn,pw</t>
  </si>
  <si>
    <t>Henderson–Hasselbalch (soil pH)</t>
  </si>
  <si>
    <t>Worms</t>
  </si>
  <si>
    <t>D_OW at soil pH</t>
  </si>
  <si>
    <t>D_OW,pw</t>
  </si>
  <si>
    <t>Molluscs</t>
  </si>
  <si>
    <t>Air–soil partition coefficient</t>
  </si>
  <si>
    <t>K_AS</t>
  </si>
  <si>
    <t>1/(ρs·f_OC·2·Koa)  (Eq. S10; Armitage &amp; Gobas, 2007)</t>
  </si>
  <si>
    <t>Arthropods</t>
  </si>
  <si>
    <t>Soil–water partition coefficient</t>
  </si>
  <si>
    <t>K_SW</t>
  </si>
  <si>
    <t>ρs·f_OC·2·D_OW,pw  (Eq. S11)</t>
  </si>
  <si>
    <t>Soil concentration (volumetric)</t>
  </si>
  <si>
    <t>C_S  (µg/L)</t>
  </si>
  <si>
    <t>Soil concentration × bulk density</t>
  </si>
  <si>
    <t>Insects</t>
  </si>
  <si>
    <t>Air concentration</t>
  </si>
  <si>
    <t>C_A  (µg/L)</t>
  </si>
  <si>
    <t>C_S·K_AS</t>
  </si>
  <si>
    <t>Cnidaria</t>
  </si>
  <si>
    <t>Pore-water concentration</t>
  </si>
  <si>
    <t>C_pw  (µg/L)</t>
  </si>
  <si>
    <t>C_S/(K_SW + moisture content)</t>
  </si>
  <si>
    <t>Abraham descriptors available?</t>
  </si>
  <si>
    <t>All six descriptors numeric</t>
  </si>
  <si>
    <t>Amphibians</t>
  </si>
  <si>
    <t>Blood–air partition coefficient</t>
  </si>
  <si>
    <t>K_BA</t>
  </si>
  <si>
    <t>Abraham et al. (2005) LFER; 1/Kaw if descriptors unavailable</t>
  </si>
  <si>
    <t>log membrane–water (pp-LFER)</t>
  </si>
  <si>
    <t>log D_MW</t>
  </si>
  <si>
    <t>Eq. 3 (ionised-species descriptors)</t>
  </si>
  <si>
    <t>Mammals</t>
  </si>
  <si>
    <t>log BSA–water (pp-LFER)</t>
  </si>
  <si>
    <t>log D_BSAW</t>
  </si>
  <si>
    <t>Eq. 4</t>
  </si>
  <si>
    <t>None</t>
  </si>
  <si>
    <t>log muscle protein–water (pp-LFER)</t>
  </si>
  <si>
    <t>log D_MPW</t>
  </si>
  <si>
    <t>Eq. 5</t>
  </si>
  <si>
    <t>f_nl, f_pl, f_pro, f_w: neutral lipid, polar lipid, protein and water fractions; p_p: production efficiency.</t>
  </si>
  <si>
    <t>Membrane–water (pp-LFER)</t>
  </si>
  <si>
    <t>D_MW</t>
  </si>
  <si>
    <t>Hendriks et al. (2005, 2007); worms: Li et al. (2024b); Cnidaria: Hubot et al. (2022), Kariotoglou &amp; Mastronicolis (2001).</t>
  </si>
  <si>
    <t>BSA–water (pp-LFER)</t>
  </si>
  <si>
    <t>D_BSAW</t>
  </si>
  <si>
    <t>Air exchange and kidney (terrestrial / subterranean organisms)</t>
  </si>
  <si>
    <t>Muscle protein–water (pp-LFER)</t>
  </si>
  <si>
    <t>D_MPW</t>
  </si>
  <si>
    <t>Ve coef.</t>
  </si>
  <si>
    <t>Q_pul coef.</t>
  </si>
  <si>
    <t>GFR coef.</t>
  </si>
  <si>
    <t>Urine pH</t>
  </si>
  <si>
    <t>6   Organism parameters and partitioning</t>
  </si>
  <si>
    <t>Level modelled?</t>
  </si>
  <si>
    <t>FALSE when class = None</t>
  </si>
  <si>
    <t>Temperature correction factor</t>
  </si>
  <si>
    <t>q_T</t>
  </si>
  <si>
    <t>Cold 1, warm 10 (Hendriks et al., 2001)</t>
  </si>
  <si>
    <t>Production efficiency</t>
  </si>
  <si>
    <t>p_p</t>
  </si>
  <si>
    <t>Class table (Hendriks, 2007)</t>
  </si>
  <si>
    <t>Fraction of ingested food assimilated</t>
  </si>
  <si>
    <t>p1</t>
  </si>
  <si>
    <t>Diet table</t>
  </si>
  <si>
    <t>Lipid fraction of food</t>
  </si>
  <si>
    <t>f_CH2</t>
  </si>
  <si>
    <t>Food ingestion coefficient</t>
  </si>
  <si>
    <t>k_n</t>
  </si>
  <si>
    <t>q_T·γp/(p_p·p1)</t>
  </si>
  <si>
    <t>Neutral lipid fraction</t>
  </si>
  <si>
    <t>Table 1</t>
  </si>
  <si>
    <t>Polar lipid fraction</t>
  </si>
  <si>
    <t>Protein fraction</t>
  </si>
  <si>
    <t>Water fraction</t>
  </si>
  <si>
    <t>Neutral fraction in organism</t>
  </si>
  <si>
    <t>fn,int</t>
  </si>
  <si>
    <t>Henderson–Hasselbalch (internal pH)</t>
  </si>
  <si>
    <t>Ve (L/d) and Q_pul = coefficient × m^0.75;  GFR = coefficient × m^-0.25;  '–' = not used for that class.</t>
  </si>
  <si>
    <t>D_OW at internal pH</t>
  </si>
  <si>
    <t>D_OW,int</t>
  </si>
  <si>
    <t>Ve: Frappell et al. (2001); Q_pul: Grubb (1983), Dawson (2014), Choma (2011); GFR: Scanes et al. (2022); urine pH: assumed.</t>
  </si>
  <si>
    <t>Lipid–water distribution</t>
  </si>
  <si>
    <t>D_lipW</t>
  </si>
  <si>
    <t>Equal to D_OW,int</t>
  </si>
  <si>
    <t>Diet (Hendriks et al., 2001; lipid fraction of food: this study)</t>
  </si>
  <si>
    <t>Membrane–water distribution (Est. I)</t>
  </si>
  <si>
    <t>Kow^0.94 (neutral) or 2.0·D_OW,int^0.94</t>
  </si>
  <si>
    <t>p1: fraction of food assimilated;  f_CH2: lipid fraction of food</t>
  </si>
  <si>
    <t>Protein–water distribution (Est. I)</t>
  </si>
  <si>
    <t>D_protW</t>
  </si>
  <si>
    <t>Kow^0.63 (neutral) or 2.9·D_OW,int^0.63</t>
  </si>
  <si>
    <t>Organism–water partitioning, Est. I</t>
  </si>
  <si>
    <t>K_iW I</t>
  </si>
  <si>
    <t>Eq. 2 (Hendriks et al., 2005)</t>
  </si>
  <si>
    <t>Detritus</t>
  </si>
  <si>
    <t>Organism–water partitioning, Est. II</t>
  </si>
  <si>
    <t>K_iW II</t>
  </si>
  <si>
    <t>Eq. 6 (= Est. I if neutral or no descriptors)</t>
  </si>
  <si>
    <t>Organism–water partitioning used</t>
  </si>
  <si>
    <t>K_iW</t>
  </si>
  <si>
    <t>Model option K_iW</t>
  </si>
  <si>
    <t>Lipid layer permeation resistance</t>
  </si>
  <si>
    <t>ρCH2</t>
  </si>
  <si>
    <t>4600 at TL 1, 68 at TL ≥ 2</t>
  </si>
  <si>
    <t>Oxygen consumption rate</t>
  </si>
  <si>
    <t>VO2</t>
  </si>
  <si>
    <t>e^19.1·e^(−5040/T)·m^0.75 (Wang et al., 2022)</t>
  </si>
  <si>
    <t>Constants</t>
  </si>
  <si>
    <t>Dissolved oxygen concentration</t>
  </si>
  <si>
    <t>C_ox</t>
  </si>
  <si>
    <t>e^−10.6·e^(1743.3/T)</t>
  </si>
  <si>
    <t>Constant</t>
  </si>
  <si>
    <t>Water absorption–excretion coefficient</t>
  </si>
  <si>
    <t>γ0</t>
  </si>
  <si>
    <t>VO2/(0.71·C_ox)·m^−0.75</t>
  </si>
  <si>
    <t>Water layer resistance (water)</t>
  </si>
  <si>
    <t>ρH2O,0</t>
  </si>
  <si>
    <t>d·kg^-0.25</t>
  </si>
  <si>
    <t>Hendriks et al. (2001)</t>
  </si>
  <si>
    <t>Food exchange term (Eqs. S3, S5)</t>
  </si>
  <si>
    <t>Shared term of Eqs. S3 and S5</t>
  </si>
  <si>
    <t>Water layer resistance (food)</t>
  </si>
  <si>
    <t>ρH2O,1</t>
  </si>
  <si>
    <t>Lipid layer resistance, TL 1</t>
  </si>
  <si>
    <t>7   Air exchange (lungs) – used for terrestrial organisms</t>
  </si>
  <si>
    <t>Lipid layer resistance, TL ≥ 2</t>
  </si>
  <si>
    <t>Scaling coefficient for production</t>
  </si>
  <si>
    <t>γp</t>
  </si>
  <si>
    <t>kg^0.25·d^-1</t>
  </si>
  <si>
    <t>Hendriks (2007)</t>
  </si>
  <si>
    <t>Ventilation</t>
  </si>
  <si>
    <t>Ve  (L/d)</t>
  </si>
  <si>
    <t>Coefficient × m^0.75 (Birds, Mammals, Insects)</t>
  </si>
  <si>
    <t>Biomass (re)production coefficient</t>
  </si>
  <si>
    <t>γ2</t>
  </si>
  <si>
    <t>Alveolar ventilation</t>
  </si>
  <si>
    <t>Va  (L/d)</t>
  </si>
  <si>
    <t>0.7·Ve</t>
  </si>
  <si>
    <t>Lung resistance</t>
  </si>
  <si>
    <t>ρlung</t>
  </si>
  <si>
    <t>Assumed negligible</t>
  </si>
  <si>
    <t>Ventilation resistance</t>
  </si>
  <si>
    <t>ρair</t>
  </si>
  <si>
    <t>1/Va</t>
  </si>
  <si>
    <t>Alveolar fraction of ventilation</t>
  </si>
  <si>
    <t>30 % dead space</t>
  </si>
  <si>
    <t>Cardiac output</t>
  </si>
  <si>
    <t>Q_pul</t>
  </si>
  <si>
    <t>Coefficient × m^0.75</t>
  </si>
  <si>
    <t>Blood fraction of body</t>
  </si>
  <si>
    <t>Assumed</t>
  </si>
  <si>
    <t>Inhalation uptake efficiency</t>
  </si>
  <si>
    <t>E_inh</t>
  </si>
  <si>
    <t>1/(1 + (Q_pul/Va)·(1/K_BA))</t>
  </si>
  <si>
    <t>Albumin-type fraction of blood protein</t>
  </si>
  <si>
    <t>doi:10.1021/es503369t</t>
  </si>
  <si>
    <t>Ventilation–perfusion coefficient</t>
  </si>
  <si>
    <t>γair</t>
  </si>
  <si>
    <t>1/(E_inh·Va)</t>
  </si>
  <si>
    <t>BSA fraction of protein (K_iW II)</t>
  </si>
  <si>
    <t>Goss et al. (2018)</t>
  </si>
  <si>
    <t>Fish mass of the QSAR half-life</t>
  </si>
  <si>
    <t>m_fish</t>
  </si>
  <si>
    <t>EPI Suite (10 g fish)</t>
  </si>
  <si>
    <t>8   Urinary excretion (kidney) – terrestrial and subterranean organisms</t>
  </si>
  <si>
    <t>Ionised-species descriptors (Abraham, 2011; SI Section S2)</t>
  </si>
  <si>
    <t>Glomerular filtration rate</t>
  </si>
  <si>
    <t>GFR_m</t>
  </si>
  <si>
    <t>Coefficient × m^−0.25 (Birds, Mammals, Worms)</t>
  </si>
  <si>
    <t>Descriptor</t>
  </si>
  <si>
    <t>Selected</t>
  </si>
  <si>
    <t>Phenoxide</t>
  </si>
  <si>
    <t>1° Amine</t>
  </si>
  <si>
    <t>2° Amine</t>
  </si>
  <si>
    <t>3° Amine</t>
  </si>
  <si>
    <t>Neutral lipid fraction of blood</t>
  </si>
  <si>
    <t>f_nl,b</t>
  </si>
  <si>
    <t>Blood = 10 % of body</t>
  </si>
  <si>
    <t>Ei</t>
  </si>
  <si>
    <t>Polar lipid fraction of blood</t>
  </si>
  <si>
    <t>f_pl,b</t>
  </si>
  <si>
    <t>Si</t>
  </si>
  <si>
    <t>Protein fraction of blood</t>
  </si>
  <si>
    <t>f_pro,b</t>
  </si>
  <si>
    <t>Ai</t>
  </si>
  <si>
    <t>Water fraction of blood</t>
  </si>
  <si>
    <t>f_w,b</t>
  </si>
  <si>
    <t>Bi</t>
  </si>
  <si>
    <t>Unbound fraction</t>
  </si>
  <si>
    <t>UF</t>
  </si>
  <si>
    <t>Needs descriptors; 70 % albumin-type protein</t>
  </si>
  <si>
    <t>Vi</t>
  </si>
  <si>
    <t>Body–blood partition coefficient</t>
  </si>
  <si>
    <t>K_bb</t>
  </si>
  <si>
    <t>K_iW II/(blood sorption capacity)</t>
  </si>
  <si>
    <t>J+</t>
  </si>
  <si>
    <t>pH_u</t>
  </si>
  <si>
    <t>Class table</t>
  </si>
  <si>
    <t>J−</t>
  </si>
  <si>
    <t>Neutral fraction in urine</t>
  </si>
  <si>
    <t>f_urine</t>
  </si>
  <si>
    <t>Henderson–Hasselbalch (urine pH)</t>
  </si>
  <si>
    <t>Functional group 'None' uses the neutral-species descriptors with J+ = J− = 0.</t>
  </si>
  <si>
    <t>D_OW in urine</t>
  </si>
  <si>
    <t>D_OW,u</t>
  </si>
  <si>
    <t>Passive reabsorption</t>
  </si>
  <si>
    <t>F_reabs</t>
  </si>
  <si>
    <t>f_urine/(1 + 10^−(log D_OW,u − 1))</t>
  </si>
  <si>
    <t>9   Trophic magnification factor (helper)</t>
  </si>
  <si>
    <t>Included in the regression</t>
  </si>
  <si>
    <t>w</t>
  </si>
  <si>
    <t>Levels with a positive concentration</t>
  </si>
  <si>
    <t>Trophic level</t>
  </si>
  <si>
    <t>x</t>
  </si>
  <si>
    <t>log10 steady-state concentration</t>
  </si>
  <si>
    <t>y</t>
  </si>
  <si>
    <t>TMF = 10^slope (least squares, y on x)</t>
  </si>
  <si>
    <t>Chemical Data – pharmaceuticals available in the Model drop-down</t>
  </si>
  <si>
    <t>Sorted A–Z. '-' = descriptor not available. To add a compound, fill in a new row directly below the last one: it then appears in the Model drop-down (the list reads column A down to the first empty row).</t>
  </si>
  <si>
    <t>Identifiers (PubChem)</t>
  </si>
  <si>
    <t>Ionisation and log Kow (RDKit)</t>
  </si>
  <si>
    <t>log Koa and pKa (CompTox)</t>
  </si>
  <si>
    <t>EPI Suite</t>
  </si>
  <si>
    <t>Abraham descriptors – measured (UFZ-LSERD; averaged)</t>
  </si>
  <si>
    <t>Abraham descriptors – QSBR estimates</t>
  </si>
  <si>
    <t>SMILES</t>
  </si>
  <si>
    <t>log Kow (neutral)</t>
  </si>
  <si>
    <t>log Kow (ionised)</t>
  </si>
  <si>
    <t>pKa (acidic)</t>
  </si>
  <si>
    <t>pKa (basic)</t>
  </si>
  <si>
    <t>pKa (relevant)</t>
  </si>
  <si>
    <t>Fish half-life (d)</t>
  </si>
  <si>
    <t>E</t>
  </si>
  <si>
    <t>S</t>
  </si>
  <si>
    <t>A</t>
  </si>
  <si>
    <t>B</t>
  </si>
  <si>
    <t>V</t>
  </si>
  <si>
    <t>L</t>
  </si>
  <si>
    <t>Acetaminophen</t>
  </si>
  <si>
    <t>CC(=O)NC1=CC=C(C=C1)O</t>
  </si>
  <si>
    <t>-</t>
  </si>
  <si>
    <t>Amitriptyline</t>
  </si>
  <si>
    <t>CN(C)CCC=C1C2=CC=CC=C2CCC3=CC=CC=C31</t>
  </si>
  <si>
    <t>Basic</t>
  </si>
  <si>
    <t>Aripiprazole</t>
  </si>
  <si>
    <t>C1CC(=O)NC2=C1C=CC(=C2)OCCCCN3CCN(CC3)C4=C(C(=CC=C4)Cl)Cl</t>
  </si>
  <si>
    <t>Atenolol</t>
  </si>
  <si>
    <t>CC(C)NCC(COC1=CC=C(C=C1)CC(=O)N)O</t>
  </si>
  <si>
    <t>Azithromycin</t>
  </si>
  <si>
    <t>CC[C@@H]1[C@@]([C@@H]([C@H](N(C[C@@H](C[C@@]([C@@H]([C@H]([C@@H]([C@H](C(=O)O1)C)O[C@H]2C[C@@]([C@H]([C@@H](O2)C)O)(C)OC)C)O[C@H]3[C@@H]([C@H](C[C@H](O3)C)N(C)C)O)(C)O)C)C)C)O)(C)O</t>
  </si>
  <si>
    <t>Bezafibrate</t>
  </si>
  <si>
    <t>CC(C)(C(=O)O)OC1=CC=C(C=C1)CCNC(=O)C2=CC=C(C=C2)Cl</t>
  </si>
  <si>
    <t>Caffeine</t>
  </si>
  <si>
    <t>CN1C=NC2=C1C(=O)N(C(=O)N2C)C</t>
  </si>
  <si>
    <t>Carbamazepine</t>
  </si>
  <si>
    <t>NC(=O)N1C2=CC=CC=C2C=CC2=CC=CC=C12</t>
  </si>
  <si>
    <t>Neutral</t>
  </si>
  <si>
    <t>Celecoxib</t>
  </si>
  <si>
    <t>CC1=CC=C(C=C1)C2=CC(=NN2C3=CC=C(C=C3)S(=O)(=O)N)C(F)(F)F</t>
  </si>
  <si>
    <t>Chloramphenicol</t>
  </si>
  <si>
    <t>C1=CC(=CC=C1[C@H]([C@@H](CO)NC(=O)C(Cl)Cl)O)[N+](=O)[O-]</t>
  </si>
  <si>
    <t>Ciprofloxacin</t>
  </si>
  <si>
    <t>C1CC1N2C=C(C(=O)C3=CC(=C(C=C32)N4CCNCC4)F)C(=O)O</t>
  </si>
  <si>
    <t>Citalopram</t>
  </si>
  <si>
    <t>CN(C)CCCC1(C2=C(CO1)C=C(C=C2)C#N)C3=CC=C(C=C3)F</t>
  </si>
  <si>
    <t>Clarithromycin</t>
  </si>
  <si>
    <t>CC[C@@H]1[C@@]([C@@H]([C@H](C(=O)[C@@H](C[C@@]([C@@H]([C@H]([C@@H]([C@H](C(=O)O1)C)O[C@H]2C[C@@]([C@H]([C@@H](O2)C)O)(C)OC)C)O[C@H]3[C@@H]([C@H](C[C@H](O3)C)N(C)C)O)(C)OC)C)C)O)(C)O</t>
  </si>
  <si>
    <t>Clozapine</t>
  </si>
  <si>
    <t>CN1CCN(CC1)C2=NC3=C(C=CC(=C3)Cl)NC4=CC=CC=C42</t>
  </si>
  <si>
    <t>C1=CC=C(C(=C1)CC(=O)O)NC2=C(C=CC=C2Cl)Cl</t>
  </si>
  <si>
    <t>Diltiazem</t>
  </si>
  <si>
    <t>CC(=O)O[C@@H]1[C@@H](SC2=CC=CC=C2N(C1=O)CCN(C)C)C3=CC=C(C=C3)OC</t>
  </si>
  <si>
    <t>Diphenhydramine</t>
  </si>
  <si>
    <t>CN(C)CCOC(C1=CC=CC=C1)C2=CC=CC=C2</t>
  </si>
  <si>
    <t>Doxycycline</t>
  </si>
  <si>
    <t>C[C@@H]1[C@H]2[C@@H]([C@H]3[C@@H](C(=O)C(=C([C@]3(C(=O)C2=C(C4=C1C=CC=C4O)O)O)O)C(=O)N)N(C)C)O</t>
  </si>
  <si>
    <t>Duloxetine</t>
  </si>
  <si>
    <t>CNCC[C@@H](C1=CC=CS1)OC2=CC=CC3=CC=CC=C32</t>
  </si>
  <si>
    <t>Enoxacin</t>
  </si>
  <si>
    <t>CCN1C=C(C(=O)C2=CC(=C(N=C21)N3CCNCC3)F)C(=O)O</t>
  </si>
  <si>
    <t>Enrofloxacin</t>
  </si>
  <si>
    <t>CCN1CCN(CC1)C2=C(C=C3C(=C2)N(C=C(C3=O)C(=O)O)C4CC4)F</t>
  </si>
  <si>
    <t>Erythromycin</t>
  </si>
  <si>
    <t>CC[C@@H]1[C@@]([C@@H]([C@H](C(=O)[C@@H](C[C@@]([C@@H]([C@H]([C@@H]([C@H](C(=O)O1)C)O[C@H]2C[C@@]([C@H]([C@@H](O2)C)O)(C)OC)C)O[C@H]3[C@@H]([C@H](C[C@H](O3)C)N(C)C)O)(C)O)C)C)O)(C)O</t>
  </si>
  <si>
    <t>Estradiol</t>
  </si>
  <si>
    <t>C[C@]12CC[C@H]3[C@H]([C@@H]1CC[C@@H]2O)CCC4=C3C=CC(=C4)O</t>
  </si>
  <si>
    <t>Flumequine</t>
  </si>
  <si>
    <t>CC1CCC2=C3N1C=C(C(=O)C3=CC(=C2)F)C(=O)O</t>
  </si>
  <si>
    <t>Fluoxetine</t>
  </si>
  <si>
    <t>CNCCC(OC1=CC=C(C=C1)C(F)(F)F)C1=CC=CC=C1</t>
  </si>
  <si>
    <t>Fluvoxamine</t>
  </si>
  <si>
    <t>COCCCC/C(=N\OCCN)/C1=CC=C(C=C1)C(F)(F)F</t>
  </si>
  <si>
    <t>Hydroxyzine</t>
  </si>
  <si>
    <t>C1CN(CCN1CCOCCO)C(C2=CC=CC=C2)C3=CC=C(C=C3)Cl</t>
  </si>
  <si>
    <t>Ibuprofen</t>
  </si>
  <si>
    <t>CC(C)CC1=CC=C(C=C1)C(C)C(=O)O</t>
  </si>
  <si>
    <t>Ketoconazole</t>
  </si>
  <si>
    <t>CC(=O)N1CCN(CC1)C2=CC=C(C=C2)OC[C@@H]3CO[C@@](O3)(CN4C=CN=C4)C5=C(C=C(C=C5)Cl)Cl</t>
  </si>
  <si>
    <t>Ketoprofen</t>
  </si>
  <si>
    <t>CC(C1=CC(=CC=C1)C(=O)C2=CC=CC=C2)C(=O)O</t>
  </si>
  <si>
    <t>Lomefloxacin</t>
  </si>
  <si>
    <t>CCN1C=C(C(=O)C2=CC(=C(C(=C21)F)N3CCNC(C3)C)F)C(=O)O</t>
  </si>
  <si>
    <t>Metoprolol</t>
  </si>
  <si>
    <t>CC(C)NCC(COC1=CC=C(C=C1)CCOC)O</t>
  </si>
  <si>
    <t>Naproxen</t>
  </si>
  <si>
    <t>C[C@@H](C1=CC2=C(C=C1)C=C(C=C2)OC)C(=O)O</t>
  </si>
  <si>
    <t>Norfloxacin</t>
  </si>
  <si>
    <t>CCN1C=C(C(=O)C2=CC(=C(C=C21)N3CCNCC3)F)C(=O)O</t>
  </si>
  <si>
    <t>Ofloxacin</t>
  </si>
  <si>
    <t>CC1COC2=C3N1C=C(C(=O)C3=CC(=C2N4CCN(CC4)C)F)C(=O)O</t>
  </si>
  <si>
    <t>Orlistat</t>
  </si>
  <si>
    <t>CCCCCCCCCCC[C@@H](C[C@H]1[C@@H](C(=O)O1)CCCCCC)OC(=O)[C@H](CC(C)C)NC=O</t>
  </si>
  <si>
    <t>Oxazepam</t>
  </si>
  <si>
    <t>C1=CC=C(C=C1)C2=NC(C(=O)NC3=C2C=C(C=C3)Cl)O</t>
  </si>
  <si>
    <t>Oxytetracycline</t>
  </si>
  <si>
    <t>C[C@@]1([C@H]2[C@@H]([C@H]3[C@@H](C(=O)C(=C([C@]3(C(=O)C2=C(C4=C1C=CC=C4O)O)O)O)C(=O)N)N(C)C)O)O</t>
  </si>
  <si>
    <t>Propranolol</t>
  </si>
  <si>
    <t>CC(C)NCC(COC1=CC=CC2=CC=CC=C21)O</t>
  </si>
  <si>
    <t>Quetiapine</t>
  </si>
  <si>
    <t>C1CN(CCN1CCOCCO)C2=NC3=CC=CC=C3SC4=CC=CC=C42</t>
  </si>
  <si>
    <t>Roxithromycin</t>
  </si>
  <si>
    <t>CC[C@@H]1[C@@]([C@@H]([C@H](/C(=N/OCOCCOC)/[C@@H](C[C@@]([C@@H]([C@H]([C@@H]([C@H](C(=O)O1)C)O[C@H]2C[C@@]([C@H]([C@@H](O2)C)O)(C)OC)C)O[C@H]3[C@@H]([C@H](C[C@H](O3)C)N(C)C)O)(C)O)C)C)O)(C)O</t>
  </si>
  <si>
    <t>Salicylic acid</t>
  </si>
  <si>
    <t>C1=CC=C(C(=C1)C(=O)O)O</t>
  </si>
  <si>
    <t>Sarafloxacin</t>
  </si>
  <si>
    <t>C1CN(CCN1)C2=C(C=C3C(=C2)N(C=C(C3=O)C(=O)O)C4=CC=C(C=C4)F)F</t>
  </si>
  <si>
    <t>Sertraline</t>
  </si>
  <si>
    <t>CN[C@H]1CC[C@H](C2=CC=CC=C12)C3=CC(=C(C=C3)Cl)Cl</t>
  </si>
  <si>
    <t>Sulfacetamide</t>
  </si>
  <si>
    <t>CC(=O)NS(=O)(=O)C1=CC=C(C=C1)N</t>
  </si>
  <si>
    <t>Sulfadiazine</t>
  </si>
  <si>
    <t>C1=CN=C(N=C1)NS(=O)(=O)C2=CC=C(C=C2)N</t>
  </si>
  <si>
    <t>Sulfadimidine</t>
  </si>
  <si>
    <t>CC1=CC(=NC(=N1)NS(=O)(=O)C2=CC=C(C=C2)N)C</t>
  </si>
  <si>
    <t>Sulfamerazine</t>
  </si>
  <si>
    <t>CC1=NC(=NC=C1)NS(=O)(=O)C2=CC=C(C=C2)N</t>
  </si>
  <si>
    <t>Sulfamethazine</t>
  </si>
  <si>
    <t>Sulfamethoxazole</t>
  </si>
  <si>
    <t>CC1=CC(=NO1)NS(=O)(=O)C2=CC=C(C=C2)N</t>
  </si>
  <si>
    <t>Sulfamonomethoxine</t>
  </si>
  <si>
    <t>COC1=NC=NC(=C1)NS(=O)(=O)C2=CC=C(C=C2)N</t>
  </si>
  <si>
    <t>Sulfapyridine</t>
  </si>
  <si>
    <t>C1=CC=NC(=C1)NS(=O)(=O)C2=CC=C(C=C2)N</t>
  </si>
  <si>
    <t>Sulfaquinoxaline</t>
  </si>
  <si>
    <t>C1=CC=C2C(=C1)N=CC(=N2)NS(=O)(=O)C3=CC=C(C=C3)N</t>
  </si>
  <si>
    <t>Sulfathiazole</t>
  </si>
  <si>
    <t>C1=CC(=CC=C1N)S(=O)(=O)NC2=NC=CS2</t>
  </si>
  <si>
    <t>Tetracycline</t>
  </si>
  <si>
    <t>C[C@@]1([C@H]2C[C@H]3[C@@H](C(=O)C(=C([C@]3(C(=O)C2=C(C4=C1C=CC=C4O)O)O)O)C(=O)N)N(C)C)O</t>
  </si>
  <si>
    <t>Thiabendazole</t>
  </si>
  <si>
    <t>C1=CC=C2C(=C1)NC(=N2)C3=CSC=N3</t>
  </si>
  <si>
    <t>Tilmicosin</t>
  </si>
  <si>
    <t>CC[C@@H]1[C@H](/C=C(/C=C/C(=O)[C@@H](C[C@@H]([C@@H]([C@H]([C@@H](CC(=O)O1)O)C)O[C@H]2[C@@H]([C@H]([C@@H]([C@H](O2)C)O)N(C)C)O)CCN3C[C@@H](C[C@@H](C3)C)C)C)\C)CO[C@H]4[C@@H]([C@@H]([C@@H]([C@H](O4)C)O)OC)OC</t>
  </si>
  <si>
    <t>Triclosan</t>
  </si>
  <si>
    <t>C1=CC(=C(C=C1Cl)O)OC2=C(C=C(C=C2)Cl)Cl</t>
  </si>
  <si>
    <t>Trimethoprim</t>
  </si>
  <si>
    <t>COC1=CC(=CC(=C1OC)OC)CC2=CN=C(N=C2N)N</t>
  </si>
  <si>
    <t>Tylosin</t>
  </si>
  <si>
    <t>CC[C@@H]1[C@H](/C=C(/C=C/C(=O)[C@@H](C[C@@H]([C@@H]([C@H]([C@@H](CC(=O)O1)O)C)O[C@H]2[C@@H]([C@H]([C@@H]([C@H](O2)C)O[C@H]3C[C@@]([C@H]([C@@H](O3)C)O)(C)O)N(C)C)O)CC=O)C)\C)CO[C@H]4[C@@H]([C@@H]([C@@H]([C@H](O4)C)O)OC)OC</t>
  </si>
  <si>
    <t>Venlafaxine</t>
  </si>
  <si>
    <t>CN(C)CC(C1=CC=C(C=C1)OC)C2(CCCCC2)O</t>
  </si>
  <si>
    <t>Steady-state bioaccumulation of (ionisable) pharmaceuticals in aquatic, terrestrial and subterranean food chains.</t>
  </si>
  <si>
    <t>Exact exponential step for constant inputs</t>
  </si>
  <si>
    <t>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</si>
</sst>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00E+00"/>
    <numFmt numFmtId="167" formatCode="[&gt;=1000]0.00E+00;[&gt;=0.01]0.000;0.00E+00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1F3864"/>
      <name val="Arial"/>
      <family val="2"/>
    </font>
    <font>
      <sz val="9"/>
      <color rgb="FF7F7F7F"/>
      <name val="Arial"/>
      <family val="2"/>
    </font>
    <font>
      <b/>
      <sz val="11"/>
      <color rgb="FFFFFFFF"/>
      <name val="Arial"/>
      <family val="2"/>
    </font>
    <font>
      <b/>
      <sz val="10"/>
      <color rgb="FF1F3864"/>
      <name val="Arial"/>
      <family val="2"/>
    </font>
    <font>
      <b/>
      <sz val="16"/>
      <color rgb="FF1F3864"/>
      <name val="Arial"/>
      <family val="2"/>
    </font>
    <font>
      <i/>
      <sz val="10"/>
      <color rgb="FF7F7F7F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b/>
      <sz val="10"/>
      <color rgb="FF0000FF"/>
      <name val="Arial"/>
      <family val="2"/>
    </font>
    <font>
      <b/>
      <i/>
      <sz val="9"/>
      <color rgb="FF7F7F7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6" fillId="0" borderId="0" xfId="0" applyFont="1"/>
    <xf numFmtId="0" fontId="8" fillId="0" borderId="0" xfId="0" applyFont="1"/>
    <xf numFmtId="0" fontId="1" fillId="0" borderId="0" xfId="0" applyFont="1"/>
    <xf numFmtId="0" fontId="9" fillId="4" borderId="1" xfId="0" applyFont="1" applyFill="1" applyBorder="1"/>
    <xf numFmtId="0" fontId="1" fillId="0" borderId="1" xfId="0" applyFont="1" applyBorder="1"/>
    <xf numFmtId="0" fontId="8" fillId="5" borderId="1" xfId="0" applyFont="1" applyFill="1" applyBorder="1"/>
    <xf numFmtId="0" fontId="3" fillId="0" borderId="0" xfId="0" applyFont="1"/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8" fillId="0" borderId="1" xfId="0" applyFont="1" applyBorder="1" applyAlignment="1">
      <alignment vertical="center"/>
    </xf>
    <xf numFmtId="0" fontId="9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67" fontId="8" fillId="5" borderId="1" xfId="0" applyNumberFormat="1" applyFont="1" applyFill="1" applyBorder="1" applyAlignment="1">
      <alignment horizontal="center" vertical="center"/>
    </xf>
    <xf numFmtId="11" fontId="1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7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8" fillId="6" borderId="0" xfId="0" applyFont="1" applyFill="1"/>
    <xf numFmtId="0" fontId="3" fillId="6" borderId="0" xfId="0" applyFont="1" applyFill="1" applyAlignment="1">
      <alignment vertical="center"/>
    </xf>
    <xf numFmtId="165" fontId="8" fillId="0" borderId="1" xfId="0" applyNumberFormat="1" applyFont="1" applyBorder="1" applyAlignment="1">
      <alignment horizontal="center" vertical="center"/>
    </xf>
    <xf numFmtId="165" fontId="0" fillId="0" borderId="0" xfId="0" applyNumberFormat="1"/>
    <xf numFmtId="11" fontId="0" fillId="0" borderId="0" xfId="0" applyNumberFormat="1"/>
    <xf numFmtId="11" fontId="8" fillId="0" borderId="1" xfId="0" applyNumberFormat="1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2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6" borderId="0" xfId="0" applyFont="1" applyFill="1"/>
    <xf numFmtId="0" fontId="10" fillId="4" borderId="1" xfId="0" applyFont="1" applyFill="1" applyBorder="1" applyAlignment="1">
      <alignment horizontal="center" vertical="center"/>
    </xf>
    <xf numFmtId="2" fontId="10" fillId="4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164" fontId="10" fillId="4" borderId="1" xfId="0" applyNumberFormat="1" applyFont="1" applyFill="1" applyBorder="1" applyAlignment="1">
      <alignment horizontal="center" vertical="center"/>
    </xf>
    <xf numFmtId="165" fontId="10" fillId="4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0" fillId="0" borderId="3" xfId="0" applyBorder="1"/>
    <xf numFmtId="0" fontId="0" fillId="0" borderId="2" xfId="0" applyBorder="1"/>
    <xf numFmtId="0" fontId="9" fillId="4" borderId="1" xfId="0" applyFont="1" applyFill="1" applyBorder="1" applyAlignment="1">
      <alignment horizontal="center" vertical="center"/>
    </xf>
    <xf numFmtId="0" fontId="0" fillId="0" borderId="1" xfId="0" applyBorder="1"/>
    <xf numFmtId="0" fontId="7" fillId="0" borderId="0" xfId="0" applyFont="1" applyAlignment="1">
      <alignment vertical="top" wrapText="1"/>
    </xf>
    <xf numFmtId="0" fontId="0" fillId="0" borderId="0" xfId="0"/>
    <xf numFmtId="0" fontId="8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strike/>
      </font>
      <fill>
        <patternFill>
          <bgColor theme="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13150824175824175"/>
          <c:y val="4.2573080487041212E-2"/>
          <c:w val="0.83720695970695969"/>
          <c:h val="0.72332177636527062"/>
        </c:manualLayout>
      </c:layout>
      <c:scatterChart>
        <c:scatterStyle val="lineMarker"/>
        <c:varyColors val="1"/>
        <c:ser>
          <c:idx val="0"/>
          <c:order val="0"/>
          <c:tx>
            <c:strRef>
              <c:f>Model!$S$24</c:f>
              <c:strCache>
                <c:ptCount val="1"/>
                <c:pt idx="0">
                  <c:v>TL 1: Algae</c:v>
                </c:pt>
              </c:strCache>
            </c:strRef>
          </c:tx>
          <c:spPr>
            <a:ln w="22000">
              <a:solidFill>
                <a:srgbClr val="2A78D6"/>
              </a:solidFill>
              <a:prstDash val="solid"/>
            </a:ln>
          </c:spPr>
          <c:marker>
            <c:symbol val="none"/>
          </c:marker>
          <c:xVal>
            <c:numRef>
              <c:f>Model!$R$25:$R$1025</c:f>
              <c:numCache>
                <c:formatCode>0.000</c:formatCode>
                <c:ptCount val="1001"/>
                <c:pt idx="0">
                  <c:v>0</c:v>
                </c:pt>
                <c:pt idx="1">
                  <c:v>0.08</c:v>
                </c:pt>
                <c:pt idx="2">
                  <c:v>0.16</c:v>
                </c:pt>
                <c:pt idx="3">
                  <c:v>0.24</c:v>
                </c:pt>
                <c:pt idx="4">
                  <c:v>0.32</c:v>
                </c:pt>
                <c:pt idx="5">
                  <c:v>0.4</c:v>
                </c:pt>
                <c:pt idx="6">
                  <c:v>0.48000000000000004</c:v>
                </c:pt>
                <c:pt idx="7">
                  <c:v>0.56000000000000005</c:v>
                </c:pt>
                <c:pt idx="8">
                  <c:v>0.64</c:v>
                </c:pt>
                <c:pt idx="9">
                  <c:v>0.72</c:v>
                </c:pt>
                <c:pt idx="10">
                  <c:v>0.79999999999999993</c:v>
                </c:pt>
                <c:pt idx="11">
                  <c:v>0.87999999999999989</c:v>
                </c:pt>
                <c:pt idx="12">
                  <c:v>0.95999999999999985</c:v>
                </c:pt>
                <c:pt idx="13">
                  <c:v>1.0399999999999998</c:v>
                </c:pt>
                <c:pt idx="14">
                  <c:v>1.1199999999999999</c:v>
                </c:pt>
                <c:pt idx="15">
                  <c:v>1.2</c:v>
                </c:pt>
                <c:pt idx="16">
                  <c:v>1.28</c:v>
                </c:pt>
                <c:pt idx="17">
                  <c:v>1.36</c:v>
                </c:pt>
                <c:pt idx="18">
                  <c:v>1.4400000000000002</c:v>
                </c:pt>
                <c:pt idx="19">
                  <c:v>1.5200000000000002</c:v>
                </c:pt>
                <c:pt idx="20">
                  <c:v>1.6000000000000003</c:v>
                </c:pt>
                <c:pt idx="21">
                  <c:v>1.6800000000000004</c:v>
                </c:pt>
                <c:pt idx="22">
                  <c:v>1.7600000000000005</c:v>
                </c:pt>
                <c:pt idx="23">
                  <c:v>1.8400000000000005</c:v>
                </c:pt>
                <c:pt idx="24">
                  <c:v>1.9200000000000006</c:v>
                </c:pt>
                <c:pt idx="25">
                  <c:v>2.0000000000000004</c:v>
                </c:pt>
                <c:pt idx="26">
                  <c:v>2.0800000000000005</c:v>
                </c:pt>
                <c:pt idx="27">
                  <c:v>2.1600000000000006</c:v>
                </c:pt>
                <c:pt idx="28">
                  <c:v>2.2400000000000007</c:v>
                </c:pt>
                <c:pt idx="29">
                  <c:v>2.3200000000000007</c:v>
                </c:pt>
                <c:pt idx="30">
                  <c:v>2.4000000000000008</c:v>
                </c:pt>
                <c:pt idx="31">
                  <c:v>2.4800000000000009</c:v>
                </c:pt>
                <c:pt idx="32">
                  <c:v>2.5600000000000009</c:v>
                </c:pt>
                <c:pt idx="33">
                  <c:v>2.640000000000001</c:v>
                </c:pt>
                <c:pt idx="34">
                  <c:v>2.7200000000000011</c:v>
                </c:pt>
                <c:pt idx="35">
                  <c:v>2.8000000000000012</c:v>
                </c:pt>
                <c:pt idx="36">
                  <c:v>2.8800000000000012</c:v>
                </c:pt>
                <c:pt idx="37">
                  <c:v>2.9600000000000013</c:v>
                </c:pt>
                <c:pt idx="38">
                  <c:v>3.0400000000000014</c:v>
                </c:pt>
                <c:pt idx="39">
                  <c:v>3.1200000000000014</c:v>
                </c:pt>
                <c:pt idx="40">
                  <c:v>3.2000000000000015</c:v>
                </c:pt>
                <c:pt idx="41">
                  <c:v>3.2800000000000016</c:v>
                </c:pt>
                <c:pt idx="42">
                  <c:v>3.3600000000000017</c:v>
                </c:pt>
                <c:pt idx="43">
                  <c:v>3.4400000000000017</c:v>
                </c:pt>
                <c:pt idx="44">
                  <c:v>3.5200000000000018</c:v>
                </c:pt>
                <c:pt idx="45">
                  <c:v>3.6000000000000019</c:v>
                </c:pt>
                <c:pt idx="46">
                  <c:v>3.6800000000000019</c:v>
                </c:pt>
                <c:pt idx="47">
                  <c:v>3.760000000000002</c:v>
                </c:pt>
                <c:pt idx="48">
                  <c:v>3.8400000000000021</c:v>
                </c:pt>
                <c:pt idx="49">
                  <c:v>3.9200000000000021</c:v>
                </c:pt>
                <c:pt idx="50">
                  <c:v>4.0000000000000018</c:v>
                </c:pt>
                <c:pt idx="51">
                  <c:v>4.0800000000000018</c:v>
                </c:pt>
                <c:pt idx="52">
                  <c:v>4.1600000000000019</c:v>
                </c:pt>
                <c:pt idx="53">
                  <c:v>4.240000000000002</c:v>
                </c:pt>
                <c:pt idx="54">
                  <c:v>4.3200000000000021</c:v>
                </c:pt>
                <c:pt idx="55">
                  <c:v>4.4000000000000021</c:v>
                </c:pt>
                <c:pt idx="56">
                  <c:v>4.4800000000000022</c:v>
                </c:pt>
                <c:pt idx="57">
                  <c:v>4.5600000000000023</c:v>
                </c:pt>
                <c:pt idx="58">
                  <c:v>4.6400000000000023</c:v>
                </c:pt>
                <c:pt idx="59">
                  <c:v>4.7200000000000024</c:v>
                </c:pt>
                <c:pt idx="60">
                  <c:v>4.8000000000000025</c:v>
                </c:pt>
                <c:pt idx="61">
                  <c:v>4.8800000000000026</c:v>
                </c:pt>
                <c:pt idx="62">
                  <c:v>4.9600000000000026</c:v>
                </c:pt>
                <c:pt idx="63">
                  <c:v>5.0400000000000027</c:v>
                </c:pt>
                <c:pt idx="64">
                  <c:v>5.1200000000000028</c:v>
                </c:pt>
                <c:pt idx="65">
                  <c:v>5.2000000000000028</c:v>
                </c:pt>
                <c:pt idx="66">
                  <c:v>5.2800000000000029</c:v>
                </c:pt>
                <c:pt idx="67">
                  <c:v>5.360000000000003</c:v>
                </c:pt>
                <c:pt idx="68">
                  <c:v>5.4400000000000031</c:v>
                </c:pt>
                <c:pt idx="69">
                  <c:v>5.5200000000000031</c:v>
                </c:pt>
                <c:pt idx="70">
                  <c:v>5.6000000000000032</c:v>
                </c:pt>
                <c:pt idx="71">
                  <c:v>5.6800000000000033</c:v>
                </c:pt>
                <c:pt idx="72">
                  <c:v>5.7600000000000033</c:v>
                </c:pt>
                <c:pt idx="73">
                  <c:v>5.8400000000000034</c:v>
                </c:pt>
                <c:pt idx="74">
                  <c:v>5.9200000000000035</c:v>
                </c:pt>
                <c:pt idx="75">
                  <c:v>6.0000000000000036</c:v>
                </c:pt>
                <c:pt idx="76">
                  <c:v>6.0800000000000036</c:v>
                </c:pt>
                <c:pt idx="77">
                  <c:v>6.1600000000000037</c:v>
                </c:pt>
                <c:pt idx="78">
                  <c:v>6.2400000000000038</c:v>
                </c:pt>
                <c:pt idx="79">
                  <c:v>6.3200000000000038</c:v>
                </c:pt>
                <c:pt idx="80">
                  <c:v>6.4000000000000039</c:v>
                </c:pt>
                <c:pt idx="81">
                  <c:v>6.480000000000004</c:v>
                </c:pt>
                <c:pt idx="82">
                  <c:v>6.5600000000000041</c:v>
                </c:pt>
                <c:pt idx="83">
                  <c:v>6.6400000000000041</c:v>
                </c:pt>
                <c:pt idx="84">
                  <c:v>6.7200000000000042</c:v>
                </c:pt>
                <c:pt idx="85">
                  <c:v>6.8000000000000043</c:v>
                </c:pt>
                <c:pt idx="86">
                  <c:v>6.8800000000000043</c:v>
                </c:pt>
                <c:pt idx="87">
                  <c:v>6.9600000000000044</c:v>
                </c:pt>
                <c:pt idx="88">
                  <c:v>7.0400000000000045</c:v>
                </c:pt>
                <c:pt idx="89">
                  <c:v>7.1200000000000045</c:v>
                </c:pt>
                <c:pt idx="90">
                  <c:v>7.2000000000000046</c:v>
                </c:pt>
                <c:pt idx="91">
                  <c:v>7.2800000000000047</c:v>
                </c:pt>
                <c:pt idx="92">
                  <c:v>7.3600000000000048</c:v>
                </c:pt>
                <c:pt idx="93">
                  <c:v>7.4400000000000048</c:v>
                </c:pt>
                <c:pt idx="94">
                  <c:v>7.5200000000000049</c:v>
                </c:pt>
                <c:pt idx="95">
                  <c:v>7.600000000000005</c:v>
                </c:pt>
                <c:pt idx="96">
                  <c:v>7.680000000000005</c:v>
                </c:pt>
                <c:pt idx="97">
                  <c:v>7.7600000000000051</c:v>
                </c:pt>
                <c:pt idx="98">
                  <c:v>7.8400000000000052</c:v>
                </c:pt>
                <c:pt idx="99">
                  <c:v>7.9200000000000053</c:v>
                </c:pt>
                <c:pt idx="100">
                  <c:v>8.0000000000000053</c:v>
                </c:pt>
                <c:pt idx="101">
                  <c:v>8.0800000000000054</c:v>
                </c:pt>
                <c:pt idx="102">
                  <c:v>8.1600000000000055</c:v>
                </c:pt>
                <c:pt idx="103">
                  <c:v>8.2400000000000055</c:v>
                </c:pt>
                <c:pt idx="104">
                  <c:v>8.3200000000000056</c:v>
                </c:pt>
                <c:pt idx="105">
                  <c:v>8.4000000000000057</c:v>
                </c:pt>
                <c:pt idx="106">
                  <c:v>8.4800000000000058</c:v>
                </c:pt>
                <c:pt idx="107">
                  <c:v>8.5600000000000058</c:v>
                </c:pt>
                <c:pt idx="108">
                  <c:v>8.6400000000000059</c:v>
                </c:pt>
                <c:pt idx="109">
                  <c:v>8.720000000000006</c:v>
                </c:pt>
                <c:pt idx="110">
                  <c:v>8.800000000000006</c:v>
                </c:pt>
                <c:pt idx="111">
                  <c:v>8.8800000000000061</c:v>
                </c:pt>
                <c:pt idx="112">
                  <c:v>8.9600000000000062</c:v>
                </c:pt>
                <c:pt idx="113">
                  <c:v>9.0400000000000063</c:v>
                </c:pt>
                <c:pt idx="114">
                  <c:v>9.1200000000000063</c:v>
                </c:pt>
                <c:pt idx="115">
                  <c:v>9.2000000000000064</c:v>
                </c:pt>
                <c:pt idx="116">
                  <c:v>9.2800000000000065</c:v>
                </c:pt>
                <c:pt idx="117">
                  <c:v>9.3600000000000065</c:v>
                </c:pt>
                <c:pt idx="118">
                  <c:v>9.4400000000000066</c:v>
                </c:pt>
                <c:pt idx="119">
                  <c:v>9.5200000000000067</c:v>
                </c:pt>
                <c:pt idx="120">
                  <c:v>9.6000000000000068</c:v>
                </c:pt>
                <c:pt idx="121">
                  <c:v>9.6800000000000068</c:v>
                </c:pt>
                <c:pt idx="122">
                  <c:v>9.7600000000000069</c:v>
                </c:pt>
                <c:pt idx="123">
                  <c:v>9.840000000000007</c:v>
                </c:pt>
                <c:pt idx="124">
                  <c:v>9.920000000000007</c:v>
                </c:pt>
                <c:pt idx="125">
                  <c:v>10.000000000000007</c:v>
                </c:pt>
                <c:pt idx="126">
                  <c:v>10.080000000000007</c:v>
                </c:pt>
                <c:pt idx="127">
                  <c:v>10.160000000000007</c:v>
                </c:pt>
                <c:pt idx="128">
                  <c:v>10.240000000000007</c:v>
                </c:pt>
                <c:pt idx="129">
                  <c:v>10.320000000000007</c:v>
                </c:pt>
                <c:pt idx="130">
                  <c:v>10.400000000000007</c:v>
                </c:pt>
                <c:pt idx="131">
                  <c:v>10.480000000000008</c:v>
                </c:pt>
                <c:pt idx="132">
                  <c:v>10.560000000000008</c:v>
                </c:pt>
                <c:pt idx="133">
                  <c:v>10.640000000000008</c:v>
                </c:pt>
                <c:pt idx="134">
                  <c:v>10.720000000000008</c:v>
                </c:pt>
                <c:pt idx="135">
                  <c:v>10.800000000000008</c:v>
                </c:pt>
                <c:pt idx="136">
                  <c:v>10.880000000000008</c:v>
                </c:pt>
                <c:pt idx="137">
                  <c:v>10.960000000000008</c:v>
                </c:pt>
                <c:pt idx="138">
                  <c:v>11.040000000000008</c:v>
                </c:pt>
                <c:pt idx="139">
                  <c:v>11.120000000000008</c:v>
                </c:pt>
                <c:pt idx="140">
                  <c:v>11.200000000000008</c:v>
                </c:pt>
                <c:pt idx="141">
                  <c:v>11.280000000000008</c:v>
                </c:pt>
                <c:pt idx="142">
                  <c:v>11.360000000000008</c:v>
                </c:pt>
                <c:pt idx="143">
                  <c:v>11.440000000000008</c:v>
                </c:pt>
                <c:pt idx="144">
                  <c:v>11.520000000000008</c:v>
                </c:pt>
                <c:pt idx="145">
                  <c:v>11.600000000000009</c:v>
                </c:pt>
                <c:pt idx="146">
                  <c:v>11.680000000000009</c:v>
                </c:pt>
                <c:pt idx="147">
                  <c:v>11.760000000000009</c:v>
                </c:pt>
                <c:pt idx="148">
                  <c:v>11.840000000000009</c:v>
                </c:pt>
                <c:pt idx="149">
                  <c:v>11.920000000000009</c:v>
                </c:pt>
                <c:pt idx="150">
                  <c:v>12.000000000000009</c:v>
                </c:pt>
                <c:pt idx="151">
                  <c:v>12.080000000000009</c:v>
                </c:pt>
                <c:pt idx="152">
                  <c:v>12.160000000000009</c:v>
                </c:pt>
                <c:pt idx="153">
                  <c:v>12.240000000000009</c:v>
                </c:pt>
                <c:pt idx="154">
                  <c:v>12.320000000000009</c:v>
                </c:pt>
                <c:pt idx="155">
                  <c:v>12.400000000000009</c:v>
                </c:pt>
                <c:pt idx="156">
                  <c:v>12.480000000000009</c:v>
                </c:pt>
                <c:pt idx="157">
                  <c:v>12.560000000000009</c:v>
                </c:pt>
                <c:pt idx="158">
                  <c:v>12.640000000000009</c:v>
                </c:pt>
                <c:pt idx="159">
                  <c:v>12.72000000000001</c:v>
                </c:pt>
                <c:pt idx="160">
                  <c:v>12.80000000000001</c:v>
                </c:pt>
                <c:pt idx="161">
                  <c:v>12.88000000000001</c:v>
                </c:pt>
                <c:pt idx="162">
                  <c:v>12.96000000000001</c:v>
                </c:pt>
                <c:pt idx="163">
                  <c:v>13.04000000000001</c:v>
                </c:pt>
                <c:pt idx="164">
                  <c:v>13.12000000000001</c:v>
                </c:pt>
                <c:pt idx="165">
                  <c:v>13.20000000000001</c:v>
                </c:pt>
                <c:pt idx="166">
                  <c:v>13.28000000000001</c:v>
                </c:pt>
                <c:pt idx="167">
                  <c:v>13.36000000000001</c:v>
                </c:pt>
                <c:pt idx="168">
                  <c:v>13.44000000000001</c:v>
                </c:pt>
                <c:pt idx="169">
                  <c:v>13.52000000000001</c:v>
                </c:pt>
                <c:pt idx="170">
                  <c:v>13.60000000000001</c:v>
                </c:pt>
                <c:pt idx="171">
                  <c:v>13.68000000000001</c:v>
                </c:pt>
                <c:pt idx="172">
                  <c:v>13.76000000000001</c:v>
                </c:pt>
                <c:pt idx="173">
                  <c:v>13.840000000000011</c:v>
                </c:pt>
                <c:pt idx="174">
                  <c:v>13.920000000000011</c:v>
                </c:pt>
                <c:pt idx="175">
                  <c:v>14.000000000000011</c:v>
                </c:pt>
                <c:pt idx="176">
                  <c:v>14.080000000000011</c:v>
                </c:pt>
                <c:pt idx="177">
                  <c:v>14.160000000000011</c:v>
                </c:pt>
                <c:pt idx="178">
                  <c:v>14.240000000000011</c:v>
                </c:pt>
                <c:pt idx="179">
                  <c:v>14.320000000000011</c:v>
                </c:pt>
                <c:pt idx="180">
                  <c:v>14.400000000000011</c:v>
                </c:pt>
                <c:pt idx="181">
                  <c:v>14.480000000000011</c:v>
                </c:pt>
                <c:pt idx="182">
                  <c:v>14.560000000000011</c:v>
                </c:pt>
                <c:pt idx="183">
                  <c:v>14.640000000000011</c:v>
                </c:pt>
                <c:pt idx="184">
                  <c:v>14.720000000000011</c:v>
                </c:pt>
                <c:pt idx="185">
                  <c:v>14.800000000000011</c:v>
                </c:pt>
                <c:pt idx="186">
                  <c:v>14.880000000000011</c:v>
                </c:pt>
                <c:pt idx="187">
                  <c:v>14.960000000000012</c:v>
                </c:pt>
                <c:pt idx="188">
                  <c:v>15.040000000000012</c:v>
                </c:pt>
                <c:pt idx="189">
                  <c:v>15.120000000000012</c:v>
                </c:pt>
                <c:pt idx="190">
                  <c:v>15.200000000000012</c:v>
                </c:pt>
                <c:pt idx="191">
                  <c:v>15.280000000000012</c:v>
                </c:pt>
                <c:pt idx="192">
                  <c:v>15.360000000000012</c:v>
                </c:pt>
                <c:pt idx="193">
                  <c:v>15.440000000000012</c:v>
                </c:pt>
                <c:pt idx="194">
                  <c:v>15.520000000000012</c:v>
                </c:pt>
                <c:pt idx="195">
                  <c:v>15.600000000000012</c:v>
                </c:pt>
                <c:pt idx="196">
                  <c:v>15.680000000000012</c:v>
                </c:pt>
                <c:pt idx="197">
                  <c:v>15.760000000000012</c:v>
                </c:pt>
                <c:pt idx="198">
                  <c:v>15.840000000000012</c:v>
                </c:pt>
                <c:pt idx="199">
                  <c:v>15.920000000000012</c:v>
                </c:pt>
                <c:pt idx="200">
                  <c:v>16.000000000000011</c:v>
                </c:pt>
                <c:pt idx="201">
                  <c:v>16.080000000000009</c:v>
                </c:pt>
                <c:pt idx="202">
                  <c:v>16.160000000000007</c:v>
                </c:pt>
                <c:pt idx="203">
                  <c:v>16.240000000000006</c:v>
                </c:pt>
                <c:pt idx="204">
                  <c:v>16.320000000000004</c:v>
                </c:pt>
                <c:pt idx="205">
                  <c:v>16.400000000000002</c:v>
                </c:pt>
                <c:pt idx="206">
                  <c:v>16.48</c:v>
                </c:pt>
                <c:pt idx="207">
                  <c:v>16.559999999999999</c:v>
                </c:pt>
                <c:pt idx="208">
                  <c:v>16.639999999999997</c:v>
                </c:pt>
                <c:pt idx="209">
                  <c:v>16.719999999999995</c:v>
                </c:pt>
                <c:pt idx="210">
                  <c:v>16.799999999999994</c:v>
                </c:pt>
                <c:pt idx="211">
                  <c:v>16.879999999999992</c:v>
                </c:pt>
                <c:pt idx="212">
                  <c:v>16.95999999999999</c:v>
                </c:pt>
                <c:pt idx="213">
                  <c:v>17.039999999999988</c:v>
                </c:pt>
                <c:pt idx="214">
                  <c:v>17.119999999999987</c:v>
                </c:pt>
                <c:pt idx="215">
                  <c:v>17.199999999999985</c:v>
                </c:pt>
                <c:pt idx="216">
                  <c:v>17.279999999999983</c:v>
                </c:pt>
                <c:pt idx="217">
                  <c:v>17.359999999999982</c:v>
                </c:pt>
                <c:pt idx="218">
                  <c:v>17.43999999999998</c:v>
                </c:pt>
                <c:pt idx="219">
                  <c:v>17.519999999999978</c:v>
                </c:pt>
                <c:pt idx="220">
                  <c:v>17.599999999999977</c:v>
                </c:pt>
                <c:pt idx="221">
                  <c:v>17.679999999999975</c:v>
                </c:pt>
                <c:pt idx="222">
                  <c:v>17.759999999999973</c:v>
                </c:pt>
                <c:pt idx="223">
                  <c:v>17.839999999999971</c:v>
                </c:pt>
                <c:pt idx="224">
                  <c:v>17.91999999999997</c:v>
                </c:pt>
                <c:pt idx="225">
                  <c:v>17.999999999999968</c:v>
                </c:pt>
                <c:pt idx="226">
                  <c:v>18.079999999999966</c:v>
                </c:pt>
                <c:pt idx="227">
                  <c:v>18.159999999999965</c:v>
                </c:pt>
                <c:pt idx="228">
                  <c:v>18.239999999999963</c:v>
                </c:pt>
                <c:pt idx="229">
                  <c:v>18.319999999999961</c:v>
                </c:pt>
                <c:pt idx="230">
                  <c:v>18.399999999999959</c:v>
                </c:pt>
                <c:pt idx="231">
                  <c:v>18.479999999999958</c:v>
                </c:pt>
                <c:pt idx="232">
                  <c:v>18.559999999999956</c:v>
                </c:pt>
                <c:pt idx="233">
                  <c:v>18.639999999999954</c:v>
                </c:pt>
                <c:pt idx="234">
                  <c:v>18.719999999999953</c:v>
                </c:pt>
                <c:pt idx="235">
                  <c:v>18.799999999999951</c:v>
                </c:pt>
                <c:pt idx="236">
                  <c:v>18.879999999999949</c:v>
                </c:pt>
                <c:pt idx="237">
                  <c:v>18.959999999999948</c:v>
                </c:pt>
                <c:pt idx="238">
                  <c:v>19.039999999999946</c:v>
                </c:pt>
                <c:pt idx="239">
                  <c:v>19.119999999999944</c:v>
                </c:pt>
                <c:pt idx="240">
                  <c:v>19.199999999999942</c:v>
                </c:pt>
                <c:pt idx="241">
                  <c:v>19.279999999999941</c:v>
                </c:pt>
                <c:pt idx="242">
                  <c:v>19.359999999999939</c:v>
                </c:pt>
                <c:pt idx="243">
                  <c:v>19.439999999999937</c:v>
                </c:pt>
                <c:pt idx="244">
                  <c:v>19.519999999999936</c:v>
                </c:pt>
                <c:pt idx="245">
                  <c:v>19.599999999999934</c:v>
                </c:pt>
                <c:pt idx="246">
                  <c:v>19.679999999999932</c:v>
                </c:pt>
                <c:pt idx="247">
                  <c:v>19.759999999999931</c:v>
                </c:pt>
                <c:pt idx="248">
                  <c:v>19.839999999999929</c:v>
                </c:pt>
                <c:pt idx="249">
                  <c:v>19.919999999999927</c:v>
                </c:pt>
                <c:pt idx="250">
                  <c:v>19.999999999999925</c:v>
                </c:pt>
                <c:pt idx="251">
                  <c:v>20.079999999999924</c:v>
                </c:pt>
                <c:pt idx="252">
                  <c:v>20.159999999999922</c:v>
                </c:pt>
                <c:pt idx="253">
                  <c:v>20.23999999999992</c:v>
                </c:pt>
                <c:pt idx="254">
                  <c:v>20.319999999999919</c:v>
                </c:pt>
                <c:pt idx="255">
                  <c:v>20.399999999999917</c:v>
                </c:pt>
                <c:pt idx="256">
                  <c:v>20.479999999999915</c:v>
                </c:pt>
                <c:pt idx="257">
                  <c:v>20.559999999999913</c:v>
                </c:pt>
                <c:pt idx="258">
                  <c:v>20.639999999999912</c:v>
                </c:pt>
                <c:pt idx="259">
                  <c:v>20.71999999999991</c:v>
                </c:pt>
                <c:pt idx="260">
                  <c:v>20.799999999999908</c:v>
                </c:pt>
                <c:pt idx="261">
                  <c:v>20.879999999999907</c:v>
                </c:pt>
                <c:pt idx="262">
                  <c:v>20.959999999999905</c:v>
                </c:pt>
                <c:pt idx="263">
                  <c:v>21.039999999999903</c:v>
                </c:pt>
                <c:pt idx="264">
                  <c:v>21.119999999999902</c:v>
                </c:pt>
                <c:pt idx="265">
                  <c:v>21.1999999999999</c:v>
                </c:pt>
                <c:pt idx="266">
                  <c:v>21.279999999999898</c:v>
                </c:pt>
                <c:pt idx="267">
                  <c:v>21.359999999999896</c:v>
                </c:pt>
                <c:pt idx="268">
                  <c:v>21.439999999999895</c:v>
                </c:pt>
                <c:pt idx="269">
                  <c:v>21.519999999999893</c:v>
                </c:pt>
                <c:pt idx="270">
                  <c:v>21.599999999999891</c:v>
                </c:pt>
                <c:pt idx="271">
                  <c:v>21.67999999999989</c:v>
                </c:pt>
                <c:pt idx="272">
                  <c:v>21.759999999999888</c:v>
                </c:pt>
                <c:pt idx="273">
                  <c:v>21.839999999999886</c:v>
                </c:pt>
                <c:pt idx="274">
                  <c:v>21.919999999999884</c:v>
                </c:pt>
                <c:pt idx="275">
                  <c:v>21.999999999999883</c:v>
                </c:pt>
                <c:pt idx="276">
                  <c:v>22.079999999999881</c:v>
                </c:pt>
                <c:pt idx="277">
                  <c:v>22.159999999999879</c:v>
                </c:pt>
                <c:pt idx="278">
                  <c:v>22.239999999999878</c:v>
                </c:pt>
                <c:pt idx="279">
                  <c:v>22.319999999999876</c:v>
                </c:pt>
                <c:pt idx="280">
                  <c:v>22.399999999999874</c:v>
                </c:pt>
                <c:pt idx="281">
                  <c:v>22.479999999999873</c:v>
                </c:pt>
                <c:pt idx="282">
                  <c:v>22.559999999999871</c:v>
                </c:pt>
                <c:pt idx="283">
                  <c:v>22.639999999999869</c:v>
                </c:pt>
                <c:pt idx="284">
                  <c:v>22.719999999999867</c:v>
                </c:pt>
                <c:pt idx="285">
                  <c:v>22.799999999999866</c:v>
                </c:pt>
                <c:pt idx="286">
                  <c:v>22.879999999999864</c:v>
                </c:pt>
                <c:pt idx="287">
                  <c:v>22.959999999999862</c:v>
                </c:pt>
                <c:pt idx="288">
                  <c:v>23.039999999999861</c:v>
                </c:pt>
                <c:pt idx="289">
                  <c:v>23.119999999999859</c:v>
                </c:pt>
                <c:pt idx="290">
                  <c:v>23.199999999999857</c:v>
                </c:pt>
                <c:pt idx="291">
                  <c:v>23.279999999999855</c:v>
                </c:pt>
                <c:pt idx="292">
                  <c:v>23.359999999999854</c:v>
                </c:pt>
                <c:pt idx="293">
                  <c:v>23.439999999999852</c:v>
                </c:pt>
                <c:pt idx="294">
                  <c:v>23.51999999999985</c:v>
                </c:pt>
                <c:pt idx="295">
                  <c:v>23.599999999999849</c:v>
                </c:pt>
                <c:pt idx="296">
                  <c:v>23.679999999999847</c:v>
                </c:pt>
                <c:pt idx="297">
                  <c:v>23.759999999999845</c:v>
                </c:pt>
                <c:pt idx="298">
                  <c:v>23.839999999999844</c:v>
                </c:pt>
                <c:pt idx="299">
                  <c:v>23.919999999999842</c:v>
                </c:pt>
                <c:pt idx="300">
                  <c:v>23.99999999999984</c:v>
                </c:pt>
                <c:pt idx="301">
                  <c:v>24.079999999999838</c:v>
                </c:pt>
                <c:pt idx="302">
                  <c:v>24.159999999999837</c:v>
                </c:pt>
                <c:pt idx="303">
                  <c:v>24.239999999999835</c:v>
                </c:pt>
                <c:pt idx="304">
                  <c:v>24.319999999999833</c:v>
                </c:pt>
                <c:pt idx="305">
                  <c:v>24.399999999999832</c:v>
                </c:pt>
                <c:pt idx="306">
                  <c:v>24.47999999999983</c:v>
                </c:pt>
                <c:pt idx="307">
                  <c:v>24.559999999999828</c:v>
                </c:pt>
                <c:pt idx="308">
                  <c:v>24.639999999999826</c:v>
                </c:pt>
                <c:pt idx="309">
                  <c:v>24.719999999999825</c:v>
                </c:pt>
                <c:pt idx="310">
                  <c:v>24.799999999999823</c:v>
                </c:pt>
                <c:pt idx="311">
                  <c:v>24.879999999999821</c:v>
                </c:pt>
                <c:pt idx="312">
                  <c:v>24.95999999999982</c:v>
                </c:pt>
                <c:pt idx="313">
                  <c:v>25.039999999999818</c:v>
                </c:pt>
                <c:pt idx="314">
                  <c:v>25.119999999999816</c:v>
                </c:pt>
                <c:pt idx="315">
                  <c:v>25.199999999999815</c:v>
                </c:pt>
                <c:pt idx="316">
                  <c:v>25.279999999999813</c:v>
                </c:pt>
                <c:pt idx="317">
                  <c:v>25.359999999999811</c:v>
                </c:pt>
                <c:pt idx="318">
                  <c:v>25.439999999999809</c:v>
                </c:pt>
                <c:pt idx="319">
                  <c:v>25.519999999999808</c:v>
                </c:pt>
                <c:pt idx="320">
                  <c:v>25.599999999999806</c:v>
                </c:pt>
                <c:pt idx="321">
                  <c:v>25.679999999999804</c:v>
                </c:pt>
                <c:pt idx="322">
                  <c:v>25.759999999999803</c:v>
                </c:pt>
                <c:pt idx="323">
                  <c:v>25.839999999999801</c:v>
                </c:pt>
                <c:pt idx="324">
                  <c:v>25.919999999999799</c:v>
                </c:pt>
                <c:pt idx="325">
                  <c:v>25.999999999999797</c:v>
                </c:pt>
                <c:pt idx="326">
                  <c:v>26.079999999999796</c:v>
                </c:pt>
                <c:pt idx="327">
                  <c:v>26.159999999999794</c:v>
                </c:pt>
                <c:pt idx="328">
                  <c:v>26.239999999999792</c:v>
                </c:pt>
                <c:pt idx="329">
                  <c:v>26.319999999999791</c:v>
                </c:pt>
                <c:pt idx="330">
                  <c:v>26.399999999999789</c:v>
                </c:pt>
                <c:pt idx="331">
                  <c:v>26.479999999999787</c:v>
                </c:pt>
                <c:pt idx="332">
                  <c:v>26.559999999999786</c:v>
                </c:pt>
                <c:pt idx="333">
                  <c:v>26.639999999999784</c:v>
                </c:pt>
                <c:pt idx="334">
                  <c:v>26.719999999999782</c:v>
                </c:pt>
                <c:pt idx="335">
                  <c:v>26.79999999999978</c:v>
                </c:pt>
                <c:pt idx="336">
                  <c:v>26.879999999999779</c:v>
                </c:pt>
                <c:pt idx="337">
                  <c:v>26.959999999999777</c:v>
                </c:pt>
                <c:pt idx="338">
                  <c:v>27.039999999999775</c:v>
                </c:pt>
                <c:pt idx="339">
                  <c:v>27.119999999999774</c:v>
                </c:pt>
                <c:pt idx="340">
                  <c:v>27.199999999999772</c:v>
                </c:pt>
                <c:pt idx="341">
                  <c:v>27.27999999999977</c:v>
                </c:pt>
                <c:pt idx="342">
                  <c:v>27.359999999999769</c:v>
                </c:pt>
                <c:pt idx="343">
                  <c:v>27.439999999999767</c:v>
                </c:pt>
                <c:pt idx="344">
                  <c:v>27.519999999999765</c:v>
                </c:pt>
                <c:pt idx="345">
                  <c:v>27.599999999999763</c:v>
                </c:pt>
                <c:pt idx="346">
                  <c:v>27.679999999999762</c:v>
                </c:pt>
                <c:pt idx="347">
                  <c:v>27.75999999999976</c:v>
                </c:pt>
                <c:pt idx="348">
                  <c:v>27.839999999999758</c:v>
                </c:pt>
                <c:pt idx="349">
                  <c:v>27.919999999999757</c:v>
                </c:pt>
                <c:pt idx="350">
                  <c:v>27.999999999999755</c:v>
                </c:pt>
                <c:pt idx="351">
                  <c:v>28.079999999999753</c:v>
                </c:pt>
                <c:pt idx="352">
                  <c:v>28.159999999999751</c:v>
                </c:pt>
                <c:pt idx="353">
                  <c:v>28.23999999999975</c:v>
                </c:pt>
                <c:pt idx="354">
                  <c:v>28.319999999999748</c:v>
                </c:pt>
                <c:pt idx="355">
                  <c:v>28.399999999999746</c:v>
                </c:pt>
                <c:pt idx="356">
                  <c:v>28.479999999999745</c:v>
                </c:pt>
                <c:pt idx="357">
                  <c:v>28.559999999999743</c:v>
                </c:pt>
                <c:pt idx="358">
                  <c:v>28.639999999999741</c:v>
                </c:pt>
                <c:pt idx="359">
                  <c:v>28.71999999999974</c:v>
                </c:pt>
                <c:pt idx="360">
                  <c:v>28.799999999999738</c:v>
                </c:pt>
                <c:pt idx="361">
                  <c:v>28.879999999999736</c:v>
                </c:pt>
                <c:pt idx="362">
                  <c:v>28.959999999999734</c:v>
                </c:pt>
                <c:pt idx="363">
                  <c:v>29.039999999999733</c:v>
                </c:pt>
                <c:pt idx="364">
                  <c:v>29.119999999999731</c:v>
                </c:pt>
                <c:pt idx="365">
                  <c:v>29.199999999999729</c:v>
                </c:pt>
                <c:pt idx="366">
                  <c:v>29.279999999999728</c:v>
                </c:pt>
                <c:pt idx="367">
                  <c:v>29.359999999999726</c:v>
                </c:pt>
                <c:pt idx="368">
                  <c:v>29.439999999999724</c:v>
                </c:pt>
                <c:pt idx="369">
                  <c:v>29.519999999999722</c:v>
                </c:pt>
                <c:pt idx="370">
                  <c:v>29.599999999999721</c:v>
                </c:pt>
                <c:pt idx="371">
                  <c:v>29.679999999999719</c:v>
                </c:pt>
                <c:pt idx="372">
                  <c:v>29.759999999999717</c:v>
                </c:pt>
                <c:pt idx="373">
                  <c:v>29.839999999999716</c:v>
                </c:pt>
                <c:pt idx="374">
                  <c:v>29.919999999999714</c:v>
                </c:pt>
                <c:pt idx="375">
                  <c:v>29.999999999999712</c:v>
                </c:pt>
                <c:pt idx="376">
                  <c:v>30.079999999999711</c:v>
                </c:pt>
                <c:pt idx="377">
                  <c:v>30.159999999999709</c:v>
                </c:pt>
                <c:pt idx="378">
                  <c:v>30.239999999999707</c:v>
                </c:pt>
                <c:pt idx="379">
                  <c:v>30.319999999999705</c:v>
                </c:pt>
                <c:pt idx="380">
                  <c:v>30.399999999999704</c:v>
                </c:pt>
                <c:pt idx="381">
                  <c:v>30.479999999999702</c:v>
                </c:pt>
                <c:pt idx="382">
                  <c:v>30.5599999999997</c:v>
                </c:pt>
                <c:pt idx="383">
                  <c:v>30.639999999999699</c:v>
                </c:pt>
                <c:pt idx="384">
                  <c:v>30.719999999999697</c:v>
                </c:pt>
                <c:pt idx="385">
                  <c:v>30.799999999999695</c:v>
                </c:pt>
                <c:pt idx="386">
                  <c:v>30.879999999999693</c:v>
                </c:pt>
                <c:pt idx="387">
                  <c:v>30.959999999999692</c:v>
                </c:pt>
                <c:pt idx="388">
                  <c:v>31.03999999999969</c:v>
                </c:pt>
                <c:pt idx="389">
                  <c:v>31.119999999999688</c:v>
                </c:pt>
                <c:pt idx="390">
                  <c:v>31.199999999999687</c:v>
                </c:pt>
                <c:pt idx="391">
                  <c:v>31.279999999999685</c:v>
                </c:pt>
                <c:pt idx="392">
                  <c:v>31.359999999999683</c:v>
                </c:pt>
                <c:pt idx="393">
                  <c:v>31.439999999999682</c:v>
                </c:pt>
                <c:pt idx="394">
                  <c:v>31.51999999999968</c:v>
                </c:pt>
                <c:pt idx="395">
                  <c:v>31.599999999999678</c:v>
                </c:pt>
                <c:pt idx="396">
                  <c:v>31.679999999999676</c:v>
                </c:pt>
                <c:pt idx="397">
                  <c:v>31.759999999999675</c:v>
                </c:pt>
                <c:pt idx="398">
                  <c:v>31.839999999999673</c:v>
                </c:pt>
                <c:pt idx="399">
                  <c:v>31.919999999999671</c:v>
                </c:pt>
                <c:pt idx="400">
                  <c:v>31.99999999999967</c:v>
                </c:pt>
                <c:pt idx="401">
                  <c:v>32.079999999999671</c:v>
                </c:pt>
                <c:pt idx="402">
                  <c:v>32.15999999999967</c:v>
                </c:pt>
                <c:pt idx="403">
                  <c:v>32.239999999999668</c:v>
                </c:pt>
                <c:pt idx="404">
                  <c:v>32.319999999999666</c:v>
                </c:pt>
                <c:pt idx="405">
                  <c:v>32.399999999999665</c:v>
                </c:pt>
                <c:pt idx="406">
                  <c:v>32.479999999999663</c:v>
                </c:pt>
                <c:pt idx="407">
                  <c:v>32.559999999999661</c:v>
                </c:pt>
                <c:pt idx="408">
                  <c:v>32.63999999999966</c:v>
                </c:pt>
                <c:pt idx="409">
                  <c:v>32.719999999999658</c:v>
                </c:pt>
                <c:pt idx="410">
                  <c:v>32.799999999999656</c:v>
                </c:pt>
                <c:pt idx="411">
                  <c:v>32.879999999999654</c:v>
                </c:pt>
                <c:pt idx="412">
                  <c:v>32.959999999999653</c:v>
                </c:pt>
                <c:pt idx="413">
                  <c:v>33.039999999999651</c:v>
                </c:pt>
                <c:pt idx="414">
                  <c:v>33.119999999999649</c:v>
                </c:pt>
                <c:pt idx="415">
                  <c:v>33.199999999999648</c:v>
                </c:pt>
                <c:pt idx="416">
                  <c:v>33.279999999999646</c:v>
                </c:pt>
                <c:pt idx="417">
                  <c:v>33.359999999999644</c:v>
                </c:pt>
                <c:pt idx="418">
                  <c:v>33.439999999999642</c:v>
                </c:pt>
                <c:pt idx="419">
                  <c:v>33.519999999999641</c:v>
                </c:pt>
                <c:pt idx="420">
                  <c:v>33.599999999999639</c:v>
                </c:pt>
                <c:pt idx="421">
                  <c:v>33.679999999999637</c:v>
                </c:pt>
                <c:pt idx="422">
                  <c:v>33.759999999999636</c:v>
                </c:pt>
                <c:pt idx="423">
                  <c:v>33.839999999999634</c:v>
                </c:pt>
                <c:pt idx="424">
                  <c:v>33.919999999999632</c:v>
                </c:pt>
                <c:pt idx="425">
                  <c:v>33.999999999999631</c:v>
                </c:pt>
                <c:pt idx="426">
                  <c:v>34.079999999999629</c:v>
                </c:pt>
                <c:pt idx="427">
                  <c:v>34.159999999999627</c:v>
                </c:pt>
                <c:pt idx="428">
                  <c:v>34.239999999999625</c:v>
                </c:pt>
                <c:pt idx="429">
                  <c:v>34.319999999999624</c:v>
                </c:pt>
                <c:pt idx="430">
                  <c:v>34.399999999999622</c:v>
                </c:pt>
                <c:pt idx="431">
                  <c:v>34.47999999999962</c:v>
                </c:pt>
                <c:pt idx="432">
                  <c:v>34.559999999999619</c:v>
                </c:pt>
                <c:pt idx="433">
                  <c:v>34.639999999999617</c:v>
                </c:pt>
                <c:pt idx="434">
                  <c:v>34.719999999999615</c:v>
                </c:pt>
                <c:pt idx="435">
                  <c:v>34.799999999999613</c:v>
                </c:pt>
                <c:pt idx="436">
                  <c:v>34.879999999999612</c:v>
                </c:pt>
                <c:pt idx="437">
                  <c:v>34.95999999999961</c:v>
                </c:pt>
                <c:pt idx="438">
                  <c:v>35.039999999999608</c:v>
                </c:pt>
                <c:pt idx="439">
                  <c:v>35.119999999999607</c:v>
                </c:pt>
                <c:pt idx="440">
                  <c:v>35.199999999999605</c:v>
                </c:pt>
                <c:pt idx="441">
                  <c:v>35.279999999999603</c:v>
                </c:pt>
                <c:pt idx="442">
                  <c:v>35.359999999999602</c:v>
                </c:pt>
                <c:pt idx="443">
                  <c:v>35.4399999999996</c:v>
                </c:pt>
                <c:pt idx="444">
                  <c:v>35.519999999999598</c:v>
                </c:pt>
                <c:pt idx="445">
                  <c:v>35.599999999999596</c:v>
                </c:pt>
                <c:pt idx="446">
                  <c:v>35.679999999999595</c:v>
                </c:pt>
                <c:pt idx="447">
                  <c:v>35.759999999999593</c:v>
                </c:pt>
                <c:pt idx="448">
                  <c:v>35.839999999999591</c:v>
                </c:pt>
                <c:pt idx="449">
                  <c:v>35.91999999999959</c:v>
                </c:pt>
                <c:pt idx="450">
                  <c:v>35.999999999999588</c:v>
                </c:pt>
                <c:pt idx="451">
                  <c:v>36.079999999999586</c:v>
                </c:pt>
                <c:pt idx="452">
                  <c:v>36.159999999999584</c:v>
                </c:pt>
                <c:pt idx="453">
                  <c:v>36.239999999999583</c:v>
                </c:pt>
                <c:pt idx="454">
                  <c:v>36.319999999999581</c:v>
                </c:pt>
                <c:pt idx="455">
                  <c:v>36.399999999999579</c:v>
                </c:pt>
                <c:pt idx="456">
                  <c:v>36.479999999999578</c:v>
                </c:pt>
                <c:pt idx="457">
                  <c:v>36.559999999999576</c:v>
                </c:pt>
                <c:pt idx="458">
                  <c:v>36.639999999999574</c:v>
                </c:pt>
                <c:pt idx="459">
                  <c:v>36.719999999999573</c:v>
                </c:pt>
                <c:pt idx="460">
                  <c:v>36.799999999999571</c:v>
                </c:pt>
                <c:pt idx="461">
                  <c:v>36.879999999999569</c:v>
                </c:pt>
                <c:pt idx="462">
                  <c:v>36.959999999999567</c:v>
                </c:pt>
                <c:pt idx="463">
                  <c:v>37.039999999999566</c:v>
                </c:pt>
                <c:pt idx="464">
                  <c:v>37.119999999999564</c:v>
                </c:pt>
                <c:pt idx="465">
                  <c:v>37.199999999999562</c:v>
                </c:pt>
                <c:pt idx="466">
                  <c:v>37.279999999999561</c:v>
                </c:pt>
                <c:pt idx="467">
                  <c:v>37.359999999999559</c:v>
                </c:pt>
                <c:pt idx="468">
                  <c:v>37.439999999999557</c:v>
                </c:pt>
                <c:pt idx="469">
                  <c:v>37.519999999999555</c:v>
                </c:pt>
                <c:pt idx="470">
                  <c:v>37.599999999999554</c:v>
                </c:pt>
                <c:pt idx="471">
                  <c:v>37.679999999999552</c:v>
                </c:pt>
                <c:pt idx="472">
                  <c:v>37.75999999999955</c:v>
                </c:pt>
                <c:pt idx="473">
                  <c:v>37.839999999999549</c:v>
                </c:pt>
                <c:pt idx="474">
                  <c:v>37.919999999999547</c:v>
                </c:pt>
                <c:pt idx="475">
                  <c:v>37.999999999999545</c:v>
                </c:pt>
                <c:pt idx="476">
                  <c:v>38.079999999999544</c:v>
                </c:pt>
                <c:pt idx="477">
                  <c:v>38.159999999999542</c:v>
                </c:pt>
                <c:pt idx="478">
                  <c:v>38.23999999999954</c:v>
                </c:pt>
                <c:pt idx="479">
                  <c:v>38.319999999999538</c:v>
                </c:pt>
                <c:pt idx="480">
                  <c:v>38.399999999999537</c:v>
                </c:pt>
                <c:pt idx="481">
                  <c:v>38.479999999999535</c:v>
                </c:pt>
                <c:pt idx="482">
                  <c:v>38.559999999999533</c:v>
                </c:pt>
                <c:pt idx="483">
                  <c:v>38.639999999999532</c:v>
                </c:pt>
                <c:pt idx="484">
                  <c:v>38.71999999999953</c:v>
                </c:pt>
                <c:pt idx="485">
                  <c:v>38.799999999999528</c:v>
                </c:pt>
                <c:pt idx="486">
                  <c:v>38.879999999999526</c:v>
                </c:pt>
                <c:pt idx="487">
                  <c:v>38.959999999999525</c:v>
                </c:pt>
                <c:pt idx="488">
                  <c:v>39.039999999999523</c:v>
                </c:pt>
                <c:pt idx="489">
                  <c:v>39.119999999999521</c:v>
                </c:pt>
                <c:pt idx="490">
                  <c:v>39.19999999999952</c:v>
                </c:pt>
                <c:pt idx="491">
                  <c:v>39.279999999999518</c:v>
                </c:pt>
                <c:pt idx="492">
                  <c:v>39.359999999999516</c:v>
                </c:pt>
                <c:pt idx="493">
                  <c:v>39.439999999999515</c:v>
                </c:pt>
                <c:pt idx="494">
                  <c:v>39.519999999999513</c:v>
                </c:pt>
                <c:pt idx="495">
                  <c:v>39.599999999999511</c:v>
                </c:pt>
                <c:pt idx="496">
                  <c:v>39.679999999999509</c:v>
                </c:pt>
                <c:pt idx="497">
                  <c:v>39.759999999999508</c:v>
                </c:pt>
                <c:pt idx="498">
                  <c:v>39.839999999999506</c:v>
                </c:pt>
                <c:pt idx="499">
                  <c:v>39.919999999999504</c:v>
                </c:pt>
                <c:pt idx="500">
                  <c:v>39.999999999999503</c:v>
                </c:pt>
                <c:pt idx="501">
                  <c:v>40.079999999999501</c:v>
                </c:pt>
                <c:pt idx="502">
                  <c:v>40.159999999999499</c:v>
                </c:pt>
                <c:pt idx="503">
                  <c:v>40.239999999999498</c:v>
                </c:pt>
                <c:pt idx="504">
                  <c:v>40.319999999999496</c:v>
                </c:pt>
                <c:pt idx="505">
                  <c:v>40.399999999999494</c:v>
                </c:pt>
                <c:pt idx="506">
                  <c:v>40.479999999999492</c:v>
                </c:pt>
                <c:pt idx="507">
                  <c:v>40.559999999999491</c:v>
                </c:pt>
                <c:pt idx="508">
                  <c:v>40.639999999999489</c:v>
                </c:pt>
                <c:pt idx="509">
                  <c:v>40.719999999999487</c:v>
                </c:pt>
                <c:pt idx="510">
                  <c:v>40.799999999999486</c:v>
                </c:pt>
                <c:pt idx="511">
                  <c:v>40.879999999999484</c:v>
                </c:pt>
                <c:pt idx="512">
                  <c:v>40.959999999999482</c:v>
                </c:pt>
                <c:pt idx="513">
                  <c:v>41.03999999999948</c:v>
                </c:pt>
                <c:pt idx="514">
                  <c:v>41.119999999999479</c:v>
                </c:pt>
                <c:pt idx="515">
                  <c:v>41.199999999999477</c:v>
                </c:pt>
                <c:pt idx="516">
                  <c:v>41.279999999999475</c:v>
                </c:pt>
                <c:pt idx="517">
                  <c:v>41.359999999999474</c:v>
                </c:pt>
                <c:pt idx="518">
                  <c:v>41.439999999999472</c:v>
                </c:pt>
                <c:pt idx="519">
                  <c:v>41.51999999999947</c:v>
                </c:pt>
                <c:pt idx="520">
                  <c:v>41.599999999999469</c:v>
                </c:pt>
                <c:pt idx="521">
                  <c:v>41.679999999999467</c:v>
                </c:pt>
                <c:pt idx="522">
                  <c:v>41.759999999999465</c:v>
                </c:pt>
                <c:pt idx="523">
                  <c:v>41.839999999999463</c:v>
                </c:pt>
                <c:pt idx="524">
                  <c:v>41.919999999999462</c:v>
                </c:pt>
                <c:pt idx="525">
                  <c:v>41.99999999999946</c:v>
                </c:pt>
                <c:pt idx="526">
                  <c:v>42.079999999999458</c:v>
                </c:pt>
                <c:pt idx="527">
                  <c:v>42.159999999999457</c:v>
                </c:pt>
                <c:pt idx="528">
                  <c:v>42.239999999999455</c:v>
                </c:pt>
                <c:pt idx="529">
                  <c:v>42.319999999999453</c:v>
                </c:pt>
                <c:pt idx="530">
                  <c:v>42.399999999999451</c:v>
                </c:pt>
                <c:pt idx="531">
                  <c:v>42.47999999999945</c:v>
                </c:pt>
                <c:pt idx="532">
                  <c:v>42.559999999999448</c:v>
                </c:pt>
                <c:pt idx="533">
                  <c:v>42.639999999999446</c:v>
                </c:pt>
                <c:pt idx="534">
                  <c:v>42.719999999999445</c:v>
                </c:pt>
                <c:pt idx="535">
                  <c:v>42.799999999999443</c:v>
                </c:pt>
                <c:pt idx="536">
                  <c:v>42.879999999999441</c:v>
                </c:pt>
                <c:pt idx="537">
                  <c:v>42.95999999999944</c:v>
                </c:pt>
                <c:pt idx="538">
                  <c:v>43.039999999999438</c:v>
                </c:pt>
                <c:pt idx="539">
                  <c:v>43.119999999999436</c:v>
                </c:pt>
                <c:pt idx="540">
                  <c:v>43.199999999999434</c:v>
                </c:pt>
                <c:pt idx="541">
                  <c:v>43.279999999999433</c:v>
                </c:pt>
                <c:pt idx="542">
                  <c:v>43.359999999999431</c:v>
                </c:pt>
                <c:pt idx="543">
                  <c:v>43.439999999999429</c:v>
                </c:pt>
                <c:pt idx="544">
                  <c:v>43.519999999999428</c:v>
                </c:pt>
                <c:pt idx="545">
                  <c:v>43.599999999999426</c:v>
                </c:pt>
                <c:pt idx="546">
                  <c:v>43.679999999999424</c:v>
                </c:pt>
                <c:pt idx="547">
                  <c:v>43.759999999999422</c:v>
                </c:pt>
                <c:pt idx="548">
                  <c:v>43.839999999999421</c:v>
                </c:pt>
                <c:pt idx="549">
                  <c:v>43.919999999999419</c:v>
                </c:pt>
                <c:pt idx="550">
                  <c:v>43.999999999999417</c:v>
                </c:pt>
                <c:pt idx="551">
                  <c:v>44.079999999999416</c:v>
                </c:pt>
                <c:pt idx="552">
                  <c:v>44.159999999999414</c:v>
                </c:pt>
                <c:pt idx="553">
                  <c:v>44.239999999999412</c:v>
                </c:pt>
                <c:pt idx="554">
                  <c:v>44.319999999999411</c:v>
                </c:pt>
                <c:pt idx="555">
                  <c:v>44.399999999999409</c:v>
                </c:pt>
                <c:pt idx="556">
                  <c:v>44.479999999999407</c:v>
                </c:pt>
                <c:pt idx="557">
                  <c:v>44.559999999999405</c:v>
                </c:pt>
                <c:pt idx="558">
                  <c:v>44.639999999999404</c:v>
                </c:pt>
                <c:pt idx="559">
                  <c:v>44.719999999999402</c:v>
                </c:pt>
                <c:pt idx="560">
                  <c:v>44.7999999999994</c:v>
                </c:pt>
                <c:pt idx="561">
                  <c:v>44.879999999999399</c:v>
                </c:pt>
                <c:pt idx="562">
                  <c:v>44.959999999999397</c:v>
                </c:pt>
                <c:pt idx="563">
                  <c:v>45.039999999999395</c:v>
                </c:pt>
                <c:pt idx="564">
                  <c:v>45.119999999999393</c:v>
                </c:pt>
                <c:pt idx="565">
                  <c:v>45.199999999999392</c:v>
                </c:pt>
                <c:pt idx="566">
                  <c:v>45.27999999999939</c:v>
                </c:pt>
                <c:pt idx="567">
                  <c:v>45.359999999999388</c:v>
                </c:pt>
                <c:pt idx="568">
                  <c:v>45.439999999999387</c:v>
                </c:pt>
                <c:pt idx="569">
                  <c:v>45.519999999999385</c:v>
                </c:pt>
                <c:pt idx="570">
                  <c:v>45.599999999999383</c:v>
                </c:pt>
                <c:pt idx="571">
                  <c:v>45.679999999999382</c:v>
                </c:pt>
                <c:pt idx="572">
                  <c:v>45.75999999999938</c:v>
                </c:pt>
                <c:pt idx="573">
                  <c:v>45.839999999999378</c:v>
                </c:pt>
                <c:pt idx="574">
                  <c:v>45.919999999999376</c:v>
                </c:pt>
                <c:pt idx="575">
                  <c:v>45.999999999999375</c:v>
                </c:pt>
                <c:pt idx="576">
                  <c:v>46.079999999999373</c:v>
                </c:pt>
                <c:pt idx="577">
                  <c:v>46.159999999999371</c:v>
                </c:pt>
                <c:pt idx="578">
                  <c:v>46.23999999999937</c:v>
                </c:pt>
                <c:pt idx="579">
                  <c:v>46.319999999999368</c:v>
                </c:pt>
                <c:pt idx="580">
                  <c:v>46.399999999999366</c:v>
                </c:pt>
                <c:pt idx="581">
                  <c:v>46.479999999999364</c:v>
                </c:pt>
                <c:pt idx="582">
                  <c:v>46.559999999999363</c:v>
                </c:pt>
                <c:pt idx="583">
                  <c:v>46.639999999999361</c:v>
                </c:pt>
                <c:pt idx="584">
                  <c:v>46.719999999999359</c:v>
                </c:pt>
                <c:pt idx="585">
                  <c:v>46.799999999999358</c:v>
                </c:pt>
                <c:pt idx="586">
                  <c:v>46.879999999999356</c:v>
                </c:pt>
                <c:pt idx="587">
                  <c:v>46.959999999999354</c:v>
                </c:pt>
                <c:pt idx="588">
                  <c:v>47.039999999999353</c:v>
                </c:pt>
                <c:pt idx="589">
                  <c:v>47.119999999999351</c:v>
                </c:pt>
                <c:pt idx="590">
                  <c:v>47.199999999999349</c:v>
                </c:pt>
                <c:pt idx="591">
                  <c:v>47.279999999999347</c:v>
                </c:pt>
                <c:pt idx="592">
                  <c:v>47.359999999999346</c:v>
                </c:pt>
                <c:pt idx="593">
                  <c:v>47.439999999999344</c:v>
                </c:pt>
                <c:pt idx="594">
                  <c:v>47.519999999999342</c:v>
                </c:pt>
                <c:pt idx="595">
                  <c:v>47.599999999999341</c:v>
                </c:pt>
                <c:pt idx="596">
                  <c:v>47.679999999999339</c:v>
                </c:pt>
                <c:pt idx="597">
                  <c:v>47.759999999999337</c:v>
                </c:pt>
                <c:pt idx="598">
                  <c:v>47.839999999999336</c:v>
                </c:pt>
                <c:pt idx="599">
                  <c:v>47.919999999999334</c:v>
                </c:pt>
                <c:pt idx="600">
                  <c:v>47.999999999999332</c:v>
                </c:pt>
                <c:pt idx="601">
                  <c:v>48.07999999999933</c:v>
                </c:pt>
                <c:pt idx="602">
                  <c:v>48.159999999999329</c:v>
                </c:pt>
                <c:pt idx="603">
                  <c:v>48.239999999999327</c:v>
                </c:pt>
                <c:pt idx="604">
                  <c:v>48.319999999999325</c:v>
                </c:pt>
                <c:pt idx="605">
                  <c:v>48.399999999999324</c:v>
                </c:pt>
                <c:pt idx="606">
                  <c:v>48.479999999999322</c:v>
                </c:pt>
                <c:pt idx="607">
                  <c:v>48.55999999999932</c:v>
                </c:pt>
                <c:pt idx="608">
                  <c:v>48.639999999999318</c:v>
                </c:pt>
                <c:pt idx="609">
                  <c:v>48.719999999999317</c:v>
                </c:pt>
                <c:pt idx="610">
                  <c:v>48.799999999999315</c:v>
                </c:pt>
                <c:pt idx="611">
                  <c:v>48.879999999999313</c:v>
                </c:pt>
                <c:pt idx="612">
                  <c:v>48.959999999999312</c:v>
                </c:pt>
                <c:pt idx="613">
                  <c:v>49.03999999999931</c:v>
                </c:pt>
                <c:pt idx="614">
                  <c:v>49.119999999999308</c:v>
                </c:pt>
                <c:pt idx="615">
                  <c:v>49.199999999999307</c:v>
                </c:pt>
                <c:pt idx="616">
                  <c:v>49.279999999999305</c:v>
                </c:pt>
                <c:pt idx="617">
                  <c:v>49.359999999999303</c:v>
                </c:pt>
                <c:pt idx="618">
                  <c:v>49.439999999999301</c:v>
                </c:pt>
                <c:pt idx="619">
                  <c:v>49.5199999999993</c:v>
                </c:pt>
                <c:pt idx="620">
                  <c:v>49.599999999999298</c:v>
                </c:pt>
                <c:pt idx="621">
                  <c:v>49.679999999999296</c:v>
                </c:pt>
                <c:pt idx="622">
                  <c:v>49.759999999999295</c:v>
                </c:pt>
                <c:pt idx="623">
                  <c:v>49.839999999999293</c:v>
                </c:pt>
                <c:pt idx="624">
                  <c:v>49.919999999999291</c:v>
                </c:pt>
                <c:pt idx="625">
                  <c:v>49.999999999999289</c:v>
                </c:pt>
                <c:pt idx="626">
                  <c:v>50.079999999999288</c:v>
                </c:pt>
                <c:pt idx="627">
                  <c:v>50.159999999999286</c:v>
                </c:pt>
                <c:pt idx="628">
                  <c:v>50.239999999999284</c:v>
                </c:pt>
                <c:pt idx="629">
                  <c:v>50.319999999999283</c:v>
                </c:pt>
                <c:pt idx="630">
                  <c:v>50.399999999999281</c:v>
                </c:pt>
                <c:pt idx="631">
                  <c:v>50.479999999999279</c:v>
                </c:pt>
                <c:pt idx="632">
                  <c:v>50.559999999999278</c:v>
                </c:pt>
                <c:pt idx="633">
                  <c:v>50.639999999999276</c:v>
                </c:pt>
                <c:pt idx="634">
                  <c:v>50.719999999999274</c:v>
                </c:pt>
                <c:pt idx="635">
                  <c:v>50.799999999999272</c:v>
                </c:pt>
                <c:pt idx="636">
                  <c:v>50.879999999999271</c:v>
                </c:pt>
                <c:pt idx="637">
                  <c:v>50.959999999999269</c:v>
                </c:pt>
                <c:pt idx="638">
                  <c:v>51.039999999999267</c:v>
                </c:pt>
                <c:pt idx="639">
                  <c:v>51.119999999999266</c:v>
                </c:pt>
                <c:pt idx="640">
                  <c:v>51.199999999999264</c:v>
                </c:pt>
                <c:pt idx="641">
                  <c:v>51.279999999999262</c:v>
                </c:pt>
                <c:pt idx="642">
                  <c:v>51.35999999999926</c:v>
                </c:pt>
                <c:pt idx="643">
                  <c:v>51.439999999999259</c:v>
                </c:pt>
                <c:pt idx="644">
                  <c:v>51.519999999999257</c:v>
                </c:pt>
                <c:pt idx="645">
                  <c:v>51.599999999999255</c:v>
                </c:pt>
                <c:pt idx="646">
                  <c:v>51.679999999999254</c:v>
                </c:pt>
                <c:pt idx="647">
                  <c:v>51.759999999999252</c:v>
                </c:pt>
                <c:pt idx="648">
                  <c:v>51.83999999999925</c:v>
                </c:pt>
                <c:pt idx="649">
                  <c:v>51.919999999999249</c:v>
                </c:pt>
                <c:pt idx="650">
                  <c:v>51.999999999999247</c:v>
                </c:pt>
                <c:pt idx="651">
                  <c:v>52.079999999999245</c:v>
                </c:pt>
                <c:pt idx="652">
                  <c:v>52.159999999999243</c:v>
                </c:pt>
                <c:pt idx="653">
                  <c:v>52.239999999999242</c:v>
                </c:pt>
                <c:pt idx="654">
                  <c:v>52.31999999999924</c:v>
                </c:pt>
                <c:pt idx="655">
                  <c:v>52.399999999999238</c:v>
                </c:pt>
                <c:pt idx="656">
                  <c:v>52.479999999999237</c:v>
                </c:pt>
                <c:pt idx="657">
                  <c:v>52.559999999999235</c:v>
                </c:pt>
                <c:pt idx="658">
                  <c:v>52.639999999999233</c:v>
                </c:pt>
                <c:pt idx="659">
                  <c:v>52.719999999999231</c:v>
                </c:pt>
                <c:pt idx="660">
                  <c:v>52.79999999999923</c:v>
                </c:pt>
                <c:pt idx="661">
                  <c:v>52.879999999999228</c:v>
                </c:pt>
                <c:pt idx="662">
                  <c:v>52.959999999999226</c:v>
                </c:pt>
                <c:pt idx="663">
                  <c:v>53.039999999999225</c:v>
                </c:pt>
                <c:pt idx="664">
                  <c:v>53.119999999999223</c:v>
                </c:pt>
                <c:pt idx="665">
                  <c:v>53.199999999999221</c:v>
                </c:pt>
                <c:pt idx="666">
                  <c:v>53.27999999999922</c:v>
                </c:pt>
                <c:pt idx="667">
                  <c:v>53.359999999999218</c:v>
                </c:pt>
                <c:pt idx="668">
                  <c:v>53.439999999999216</c:v>
                </c:pt>
                <c:pt idx="669">
                  <c:v>53.519999999999214</c:v>
                </c:pt>
                <c:pt idx="670">
                  <c:v>53.599999999999213</c:v>
                </c:pt>
                <c:pt idx="671">
                  <c:v>53.679999999999211</c:v>
                </c:pt>
                <c:pt idx="672">
                  <c:v>53.759999999999209</c:v>
                </c:pt>
                <c:pt idx="673">
                  <c:v>53.839999999999208</c:v>
                </c:pt>
                <c:pt idx="674">
                  <c:v>53.919999999999206</c:v>
                </c:pt>
                <c:pt idx="675">
                  <c:v>53.999999999999204</c:v>
                </c:pt>
                <c:pt idx="676">
                  <c:v>54.079999999999202</c:v>
                </c:pt>
                <c:pt idx="677">
                  <c:v>54.159999999999201</c:v>
                </c:pt>
                <c:pt idx="678">
                  <c:v>54.239999999999199</c:v>
                </c:pt>
                <c:pt idx="679">
                  <c:v>54.319999999999197</c:v>
                </c:pt>
                <c:pt idx="680">
                  <c:v>54.399999999999196</c:v>
                </c:pt>
                <c:pt idx="681">
                  <c:v>54.479999999999194</c:v>
                </c:pt>
                <c:pt idx="682">
                  <c:v>54.559999999999192</c:v>
                </c:pt>
                <c:pt idx="683">
                  <c:v>54.639999999999191</c:v>
                </c:pt>
                <c:pt idx="684">
                  <c:v>54.719999999999189</c:v>
                </c:pt>
                <c:pt idx="685">
                  <c:v>54.799999999999187</c:v>
                </c:pt>
                <c:pt idx="686">
                  <c:v>54.879999999999185</c:v>
                </c:pt>
                <c:pt idx="687">
                  <c:v>54.959999999999184</c:v>
                </c:pt>
                <c:pt idx="688">
                  <c:v>55.039999999999182</c:v>
                </c:pt>
                <c:pt idx="689">
                  <c:v>55.11999999999918</c:v>
                </c:pt>
                <c:pt idx="690">
                  <c:v>55.199999999999179</c:v>
                </c:pt>
                <c:pt idx="691">
                  <c:v>55.279999999999177</c:v>
                </c:pt>
                <c:pt idx="692">
                  <c:v>55.359999999999175</c:v>
                </c:pt>
                <c:pt idx="693">
                  <c:v>55.439999999999173</c:v>
                </c:pt>
                <c:pt idx="694">
                  <c:v>55.519999999999172</c:v>
                </c:pt>
                <c:pt idx="695">
                  <c:v>55.59999999999917</c:v>
                </c:pt>
                <c:pt idx="696">
                  <c:v>55.679999999999168</c:v>
                </c:pt>
                <c:pt idx="697">
                  <c:v>55.759999999999167</c:v>
                </c:pt>
                <c:pt idx="698">
                  <c:v>55.839999999999165</c:v>
                </c:pt>
                <c:pt idx="699">
                  <c:v>55.919999999999163</c:v>
                </c:pt>
                <c:pt idx="700">
                  <c:v>55.999999999999162</c:v>
                </c:pt>
                <c:pt idx="701">
                  <c:v>56.07999999999916</c:v>
                </c:pt>
                <c:pt idx="702">
                  <c:v>56.159999999999158</c:v>
                </c:pt>
                <c:pt idx="703">
                  <c:v>56.239999999999156</c:v>
                </c:pt>
                <c:pt idx="704">
                  <c:v>56.319999999999155</c:v>
                </c:pt>
                <c:pt idx="705">
                  <c:v>56.399999999999153</c:v>
                </c:pt>
                <c:pt idx="706">
                  <c:v>56.479999999999151</c:v>
                </c:pt>
                <c:pt idx="707">
                  <c:v>56.55999999999915</c:v>
                </c:pt>
                <c:pt idx="708">
                  <c:v>56.639999999999148</c:v>
                </c:pt>
                <c:pt idx="709">
                  <c:v>56.719999999999146</c:v>
                </c:pt>
                <c:pt idx="710">
                  <c:v>56.799999999999145</c:v>
                </c:pt>
                <c:pt idx="711">
                  <c:v>56.879999999999143</c:v>
                </c:pt>
                <c:pt idx="712">
                  <c:v>56.959999999999141</c:v>
                </c:pt>
                <c:pt idx="713">
                  <c:v>57.039999999999139</c:v>
                </c:pt>
                <c:pt idx="714">
                  <c:v>57.119999999999138</c:v>
                </c:pt>
                <c:pt idx="715">
                  <c:v>57.199999999999136</c:v>
                </c:pt>
                <c:pt idx="716">
                  <c:v>57.279999999999134</c:v>
                </c:pt>
                <c:pt idx="717">
                  <c:v>57.359999999999133</c:v>
                </c:pt>
                <c:pt idx="718">
                  <c:v>57.439999999999131</c:v>
                </c:pt>
                <c:pt idx="719">
                  <c:v>57.519999999999129</c:v>
                </c:pt>
                <c:pt idx="720">
                  <c:v>57.599999999999127</c:v>
                </c:pt>
                <c:pt idx="721">
                  <c:v>57.679999999999126</c:v>
                </c:pt>
                <c:pt idx="722">
                  <c:v>57.759999999999124</c:v>
                </c:pt>
                <c:pt idx="723">
                  <c:v>57.839999999999122</c:v>
                </c:pt>
                <c:pt idx="724">
                  <c:v>57.919999999999121</c:v>
                </c:pt>
                <c:pt idx="725">
                  <c:v>57.999999999999119</c:v>
                </c:pt>
                <c:pt idx="726">
                  <c:v>58.079999999999117</c:v>
                </c:pt>
                <c:pt idx="727">
                  <c:v>58.159999999999116</c:v>
                </c:pt>
                <c:pt idx="728">
                  <c:v>58.239999999999114</c:v>
                </c:pt>
                <c:pt idx="729">
                  <c:v>58.319999999999112</c:v>
                </c:pt>
                <c:pt idx="730">
                  <c:v>58.39999999999911</c:v>
                </c:pt>
                <c:pt idx="731">
                  <c:v>58.479999999999109</c:v>
                </c:pt>
                <c:pt idx="732">
                  <c:v>58.559999999999107</c:v>
                </c:pt>
                <c:pt idx="733">
                  <c:v>58.639999999999105</c:v>
                </c:pt>
                <c:pt idx="734">
                  <c:v>58.719999999999104</c:v>
                </c:pt>
                <c:pt idx="735">
                  <c:v>58.799999999999102</c:v>
                </c:pt>
                <c:pt idx="736">
                  <c:v>58.8799999999991</c:v>
                </c:pt>
                <c:pt idx="737">
                  <c:v>58.959999999999098</c:v>
                </c:pt>
                <c:pt idx="738">
                  <c:v>59.039999999999097</c:v>
                </c:pt>
                <c:pt idx="739">
                  <c:v>59.119999999999095</c:v>
                </c:pt>
                <c:pt idx="740">
                  <c:v>59.199999999999093</c:v>
                </c:pt>
                <c:pt idx="741">
                  <c:v>59.279999999999092</c:v>
                </c:pt>
                <c:pt idx="742">
                  <c:v>59.35999999999909</c:v>
                </c:pt>
                <c:pt idx="743">
                  <c:v>59.439999999999088</c:v>
                </c:pt>
                <c:pt idx="744">
                  <c:v>59.519999999999087</c:v>
                </c:pt>
                <c:pt idx="745">
                  <c:v>59.599999999999085</c:v>
                </c:pt>
                <c:pt idx="746">
                  <c:v>59.679999999999083</c:v>
                </c:pt>
                <c:pt idx="747">
                  <c:v>59.759999999999081</c:v>
                </c:pt>
                <c:pt idx="748">
                  <c:v>59.83999999999908</c:v>
                </c:pt>
                <c:pt idx="749">
                  <c:v>59.919999999999078</c:v>
                </c:pt>
                <c:pt idx="750">
                  <c:v>59.999999999999076</c:v>
                </c:pt>
                <c:pt idx="751">
                  <c:v>60.079999999999075</c:v>
                </c:pt>
                <c:pt idx="752">
                  <c:v>60.159999999999073</c:v>
                </c:pt>
                <c:pt idx="753">
                  <c:v>60.239999999999071</c:v>
                </c:pt>
                <c:pt idx="754">
                  <c:v>60.319999999999069</c:v>
                </c:pt>
                <c:pt idx="755">
                  <c:v>60.399999999999068</c:v>
                </c:pt>
                <c:pt idx="756">
                  <c:v>60.479999999999066</c:v>
                </c:pt>
                <c:pt idx="757">
                  <c:v>60.559999999999064</c:v>
                </c:pt>
                <c:pt idx="758">
                  <c:v>60.639999999999063</c:v>
                </c:pt>
                <c:pt idx="759">
                  <c:v>60.719999999999061</c:v>
                </c:pt>
                <c:pt idx="760">
                  <c:v>60.799999999999059</c:v>
                </c:pt>
                <c:pt idx="761">
                  <c:v>60.879999999999058</c:v>
                </c:pt>
                <c:pt idx="762">
                  <c:v>60.959999999999056</c:v>
                </c:pt>
                <c:pt idx="763">
                  <c:v>61.039999999999054</c:v>
                </c:pt>
                <c:pt idx="764">
                  <c:v>61.119999999999052</c:v>
                </c:pt>
                <c:pt idx="765">
                  <c:v>61.199999999999051</c:v>
                </c:pt>
                <c:pt idx="766">
                  <c:v>61.279999999999049</c:v>
                </c:pt>
                <c:pt idx="767">
                  <c:v>61.359999999999047</c:v>
                </c:pt>
                <c:pt idx="768">
                  <c:v>61.439999999999046</c:v>
                </c:pt>
                <c:pt idx="769">
                  <c:v>61.519999999999044</c:v>
                </c:pt>
                <c:pt idx="770">
                  <c:v>61.599999999999042</c:v>
                </c:pt>
                <c:pt idx="771">
                  <c:v>61.67999999999904</c:v>
                </c:pt>
                <c:pt idx="772">
                  <c:v>61.759999999999039</c:v>
                </c:pt>
                <c:pt idx="773">
                  <c:v>61.839999999999037</c:v>
                </c:pt>
                <c:pt idx="774">
                  <c:v>61.919999999999035</c:v>
                </c:pt>
                <c:pt idx="775">
                  <c:v>61.999999999999034</c:v>
                </c:pt>
                <c:pt idx="776">
                  <c:v>62.079999999999032</c:v>
                </c:pt>
                <c:pt idx="777">
                  <c:v>62.15999999999903</c:v>
                </c:pt>
                <c:pt idx="778">
                  <c:v>62.239999999999029</c:v>
                </c:pt>
                <c:pt idx="779">
                  <c:v>62.319999999999027</c:v>
                </c:pt>
                <c:pt idx="780">
                  <c:v>62.399999999999025</c:v>
                </c:pt>
                <c:pt idx="781">
                  <c:v>62.479999999999023</c:v>
                </c:pt>
                <c:pt idx="782">
                  <c:v>62.559999999999022</c:v>
                </c:pt>
                <c:pt idx="783">
                  <c:v>62.63999999999902</c:v>
                </c:pt>
                <c:pt idx="784">
                  <c:v>62.719999999999018</c:v>
                </c:pt>
                <c:pt idx="785">
                  <c:v>62.799999999999017</c:v>
                </c:pt>
                <c:pt idx="786">
                  <c:v>62.879999999999015</c:v>
                </c:pt>
                <c:pt idx="787">
                  <c:v>62.959999999999013</c:v>
                </c:pt>
                <c:pt idx="788">
                  <c:v>63.039999999999011</c:v>
                </c:pt>
                <c:pt idx="789">
                  <c:v>63.11999999999901</c:v>
                </c:pt>
                <c:pt idx="790">
                  <c:v>63.199999999999008</c:v>
                </c:pt>
                <c:pt idx="791">
                  <c:v>63.279999999999006</c:v>
                </c:pt>
                <c:pt idx="792">
                  <c:v>63.359999999999005</c:v>
                </c:pt>
                <c:pt idx="793">
                  <c:v>63.439999999999003</c:v>
                </c:pt>
                <c:pt idx="794">
                  <c:v>63.519999999999001</c:v>
                </c:pt>
                <c:pt idx="795">
                  <c:v>63.599999999999</c:v>
                </c:pt>
                <c:pt idx="796">
                  <c:v>63.679999999998998</c:v>
                </c:pt>
                <c:pt idx="797">
                  <c:v>63.759999999998996</c:v>
                </c:pt>
                <c:pt idx="798">
                  <c:v>63.839999999998994</c:v>
                </c:pt>
                <c:pt idx="799">
                  <c:v>63.919999999998993</c:v>
                </c:pt>
                <c:pt idx="800">
                  <c:v>63.999999999998991</c:v>
                </c:pt>
                <c:pt idx="801">
                  <c:v>64.079999999998989</c:v>
                </c:pt>
                <c:pt idx="802">
                  <c:v>64.159999999998988</c:v>
                </c:pt>
                <c:pt idx="803">
                  <c:v>64.239999999998986</c:v>
                </c:pt>
                <c:pt idx="804">
                  <c:v>64.319999999998984</c:v>
                </c:pt>
                <c:pt idx="805">
                  <c:v>64.399999999998983</c:v>
                </c:pt>
                <c:pt idx="806">
                  <c:v>64.479999999998981</c:v>
                </c:pt>
                <c:pt idx="807">
                  <c:v>64.559999999998979</c:v>
                </c:pt>
                <c:pt idx="808">
                  <c:v>64.639999999998977</c:v>
                </c:pt>
                <c:pt idx="809">
                  <c:v>64.719999999998976</c:v>
                </c:pt>
                <c:pt idx="810">
                  <c:v>64.799999999998974</c:v>
                </c:pt>
                <c:pt idx="811">
                  <c:v>64.879999999998972</c:v>
                </c:pt>
                <c:pt idx="812">
                  <c:v>64.959999999998971</c:v>
                </c:pt>
                <c:pt idx="813">
                  <c:v>65.039999999998969</c:v>
                </c:pt>
                <c:pt idx="814">
                  <c:v>65.119999999998967</c:v>
                </c:pt>
                <c:pt idx="815">
                  <c:v>65.199999999998965</c:v>
                </c:pt>
                <c:pt idx="816">
                  <c:v>65.279999999998964</c:v>
                </c:pt>
                <c:pt idx="817">
                  <c:v>65.359999999998962</c:v>
                </c:pt>
                <c:pt idx="818">
                  <c:v>65.43999999999896</c:v>
                </c:pt>
                <c:pt idx="819">
                  <c:v>65.519999999998959</c:v>
                </c:pt>
                <c:pt idx="820">
                  <c:v>65.599999999998957</c:v>
                </c:pt>
                <c:pt idx="821">
                  <c:v>65.679999999998955</c:v>
                </c:pt>
                <c:pt idx="822">
                  <c:v>65.759999999998954</c:v>
                </c:pt>
                <c:pt idx="823">
                  <c:v>65.839999999998952</c:v>
                </c:pt>
                <c:pt idx="824">
                  <c:v>65.91999999999895</c:v>
                </c:pt>
                <c:pt idx="825">
                  <c:v>65.999999999998948</c:v>
                </c:pt>
                <c:pt idx="826">
                  <c:v>66.079999999998947</c:v>
                </c:pt>
                <c:pt idx="827">
                  <c:v>66.159999999998945</c:v>
                </c:pt>
                <c:pt idx="828">
                  <c:v>66.239999999998943</c:v>
                </c:pt>
                <c:pt idx="829">
                  <c:v>66.319999999998942</c:v>
                </c:pt>
                <c:pt idx="830">
                  <c:v>66.39999999999894</c:v>
                </c:pt>
                <c:pt idx="831">
                  <c:v>66.479999999998938</c:v>
                </c:pt>
                <c:pt idx="832">
                  <c:v>66.559999999998936</c:v>
                </c:pt>
                <c:pt idx="833">
                  <c:v>66.639999999998935</c:v>
                </c:pt>
                <c:pt idx="834">
                  <c:v>66.719999999998933</c:v>
                </c:pt>
                <c:pt idx="835">
                  <c:v>66.799999999998931</c:v>
                </c:pt>
                <c:pt idx="836">
                  <c:v>66.87999999999893</c:v>
                </c:pt>
                <c:pt idx="837">
                  <c:v>66.959999999998928</c:v>
                </c:pt>
                <c:pt idx="838">
                  <c:v>67.039999999998926</c:v>
                </c:pt>
                <c:pt idx="839">
                  <c:v>67.119999999998925</c:v>
                </c:pt>
                <c:pt idx="840">
                  <c:v>67.199999999998923</c:v>
                </c:pt>
                <c:pt idx="841">
                  <c:v>67.279999999998921</c:v>
                </c:pt>
                <c:pt idx="842">
                  <c:v>67.359999999998919</c:v>
                </c:pt>
                <c:pt idx="843">
                  <c:v>67.439999999998918</c:v>
                </c:pt>
                <c:pt idx="844">
                  <c:v>67.519999999998916</c:v>
                </c:pt>
                <c:pt idx="845">
                  <c:v>67.599999999998914</c:v>
                </c:pt>
                <c:pt idx="846">
                  <c:v>67.679999999998913</c:v>
                </c:pt>
                <c:pt idx="847">
                  <c:v>67.759999999998911</c:v>
                </c:pt>
                <c:pt idx="848">
                  <c:v>67.839999999998909</c:v>
                </c:pt>
                <c:pt idx="849">
                  <c:v>67.919999999998907</c:v>
                </c:pt>
                <c:pt idx="850">
                  <c:v>67.999999999998906</c:v>
                </c:pt>
                <c:pt idx="851">
                  <c:v>68.079999999998904</c:v>
                </c:pt>
                <c:pt idx="852">
                  <c:v>68.159999999998902</c:v>
                </c:pt>
                <c:pt idx="853">
                  <c:v>68.239999999998901</c:v>
                </c:pt>
                <c:pt idx="854">
                  <c:v>68.319999999998899</c:v>
                </c:pt>
                <c:pt idx="855">
                  <c:v>68.399999999998897</c:v>
                </c:pt>
                <c:pt idx="856">
                  <c:v>68.479999999998896</c:v>
                </c:pt>
                <c:pt idx="857">
                  <c:v>68.559999999998894</c:v>
                </c:pt>
                <c:pt idx="858">
                  <c:v>68.639999999998892</c:v>
                </c:pt>
                <c:pt idx="859">
                  <c:v>68.71999999999889</c:v>
                </c:pt>
                <c:pt idx="860">
                  <c:v>68.799999999998889</c:v>
                </c:pt>
                <c:pt idx="861">
                  <c:v>68.879999999998887</c:v>
                </c:pt>
                <c:pt idx="862">
                  <c:v>68.959999999998885</c:v>
                </c:pt>
                <c:pt idx="863">
                  <c:v>69.039999999998884</c:v>
                </c:pt>
                <c:pt idx="864">
                  <c:v>69.119999999998882</c:v>
                </c:pt>
                <c:pt idx="865">
                  <c:v>69.19999999999888</c:v>
                </c:pt>
                <c:pt idx="866">
                  <c:v>69.279999999998878</c:v>
                </c:pt>
                <c:pt idx="867">
                  <c:v>69.359999999998877</c:v>
                </c:pt>
                <c:pt idx="868">
                  <c:v>69.439999999998875</c:v>
                </c:pt>
                <c:pt idx="869">
                  <c:v>69.519999999998873</c:v>
                </c:pt>
                <c:pt idx="870">
                  <c:v>69.599999999998872</c:v>
                </c:pt>
                <c:pt idx="871">
                  <c:v>69.67999999999887</c:v>
                </c:pt>
                <c:pt idx="872">
                  <c:v>69.759999999998868</c:v>
                </c:pt>
                <c:pt idx="873">
                  <c:v>69.839999999998867</c:v>
                </c:pt>
                <c:pt idx="874">
                  <c:v>69.919999999998865</c:v>
                </c:pt>
                <c:pt idx="875">
                  <c:v>69.999999999998863</c:v>
                </c:pt>
                <c:pt idx="876">
                  <c:v>70.079999999998861</c:v>
                </c:pt>
                <c:pt idx="877">
                  <c:v>70.15999999999886</c:v>
                </c:pt>
                <c:pt idx="878">
                  <c:v>70.239999999998858</c:v>
                </c:pt>
                <c:pt idx="879">
                  <c:v>70.319999999998856</c:v>
                </c:pt>
                <c:pt idx="880">
                  <c:v>70.399999999998855</c:v>
                </c:pt>
                <c:pt idx="881">
                  <c:v>70.479999999998853</c:v>
                </c:pt>
                <c:pt idx="882">
                  <c:v>70.559999999998851</c:v>
                </c:pt>
                <c:pt idx="883">
                  <c:v>70.639999999998849</c:v>
                </c:pt>
                <c:pt idx="884">
                  <c:v>70.719999999998848</c:v>
                </c:pt>
                <c:pt idx="885">
                  <c:v>70.799999999998846</c:v>
                </c:pt>
                <c:pt idx="886">
                  <c:v>70.879999999998844</c:v>
                </c:pt>
                <c:pt idx="887">
                  <c:v>70.959999999998843</c:v>
                </c:pt>
                <c:pt idx="888">
                  <c:v>71.039999999998841</c:v>
                </c:pt>
                <c:pt idx="889">
                  <c:v>71.119999999998839</c:v>
                </c:pt>
                <c:pt idx="890">
                  <c:v>71.199999999998838</c:v>
                </c:pt>
                <c:pt idx="891">
                  <c:v>71.279999999998836</c:v>
                </c:pt>
                <c:pt idx="892">
                  <c:v>71.359999999998834</c:v>
                </c:pt>
                <c:pt idx="893">
                  <c:v>71.439999999998832</c:v>
                </c:pt>
                <c:pt idx="894">
                  <c:v>71.519999999998831</c:v>
                </c:pt>
                <c:pt idx="895">
                  <c:v>71.599999999998829</c:v>
                </c:pt>
                <c:pt idx="896">
                  <c:v>71.679999999998827</c:v>
                </c:pt>
                <c:pt idx="897">
                  <c:v>71.759999999998826</c:v>
                </c:pt>
                <c:pt idx="898">
                  <c:v>71.839999999998824</c:v>
                </c:pt>
                <c:pt idx="899">
                  <c:v>71.919999999998822</c:v>
                </c:pt>
                <c:pt idx="900">
                  <c:v>71.99999999999882</c:v>
                </c:pt>
                <c:pt idx="901">
                  <c:v>72.079999999998819</c:v>
                </c:pt>
                <c:pt idx="902">
                  <c:v>72.159999999998817</c:v>
                </c:pt>
                <c:pt idx="903">
                  <c:v>72.239999999998815</c:v>
                </c:pt>
                <c:pt idx="904">
                  <c:v>72.319999999998814</c:v>
                </c:pt>
                <c:pt idx="905">
                  <c:v>72.399999999998812</c:v>
                </c:pt>
                <c:pt idx="906">
                  <c:v>72.47999999999881</c:v>
                </c:pt>
                <c:pt idx="907">
                  <c:v>72.559999999998809</c:v>
                </c:pt>
                <c:pt idx="908">
                  <c:v>72.639999999998807</c:v>
                </c:pt>
                <c:pt idx="909">
                  <c:v>72.719999999998805</c:v>
                </c:pt>
                <c:pt idx="910">
                  <c:v>72.799999999998803</c:v>
                </c:pt>
                <c:pt idx="911">
                  <c:v>72.879999999998802</c:v>
                </c:pt>
                <c:pt idx="912">
                  <c:v>72.9599999999988</c:v>
                </c:pt>
                <c:pt idx="913">
                  <c:v>73.039999999998798</c:v>
                </c:pt>
                <c:pt idx="914">
                  <c:v>73.119999999998797</c:v>
                </c:pt>
                <c:pt idx="915">
                  <c:v>73.199999999998795</c:v>
                </c:pt>
                <c:pt idx="916">
                  <c:v>73.279999999998793</c:v>
                </c:pt>
                <c:pt idx="917">
                  <c:v>73.359999999998792</c:v>
                </c:pt>
                <c:pt idx="918">
                  <c:v>73.43999999999879</c:v>
                </c:pt>
                <c:pt idx="919">
                  <c:v>73.519999999998788</c:v>
                </c:pt>
                <c:pt idx="920">
                  <c:v>73.599999999998786</c:v>
                </c:pt>
                <c:pt idx="921">
                  <c:v>73.679999999998785</c:v>
                </c:pt>
                <c:pt idx="922">
                  <c:v>73.759999999998783</c:v>
                </c:pt>
                <c:pt idx="923">
                  <c:v>73.839999999998781</c:v>
                </c:pt>
                <c:pt idx="924">
                  <c:v>73.91999999999878</c:v>
                </c:pt>
                <c:pt idx="925">
                  <c:v>73.999999999998778</c:v>
                </c:pt>
                <c:pt idx="926">
                  <c:v>74.079999999998776</c:v>
                </c:pt>
                <c:pt idx="927">
                  <c:v>74.159999999998774</c:v>
                </c:pt>
                <c:pt idx="928">
                  <c:v>74.239999999998773</c:v>
                </c:pt>
                <c:pt idx="929">
                  <c:v>74.319999999998771</c:v>
                </c:pt>
                <c:pt idx="930">
                  <c:v>74.399999999998769</c:v>
                </c:pt>
                <c:pt idx="931">
                  <c:v>74.479999999998768</c:v>
                </c:pt>
                <c:pt idx="932">
                  <c:v>74.559999999998766</c:v>
                </c:pt>
                <c:pt idx="933">
                  <c:v>74.639999999998764</c:v>
                </c:pt>
                <c:pt idx="934">
                  <c:v>74.719999999998763</c:v>
                </c:pt>
                <c:pt idx="935">
                  <c:v>74.799999999998761</c:v>
                </c:pt>
                <c:pt idx="936">
                  <c:v>74.879999999998759</c:v>
                </c:pt>
                <c:pt idx="937">
                  <c:v>74.959999999998757</c:v>
                </c:pt>
                <c:pt idx="938">
                  <c:v>75.039999999998756</c:v>
                </c:pt>
                <c:pt idx="939">
                  <c:v>75.119999999998754</c:v>
                </c:pt>
                <c:pt idx="940">
                  <c:v>75.199999999998752</c:v>
                </c:pt>
                <c:pt idx="941">
                  <c:v>75.279999999998751</c:v>
                </c:pt>
                <c:pt idx="942">
                  <c:v>75.359999999998749</c:v>
                </c:pt>
                <c:pt idx="943">
                  <c:v>75.439999999998747</c:v>
                </c:pt>
                <c:pt idx="944">
                  <c:v>75.519999999998745</c:v>
                </c:pt>
                <c:pt idx="945">
                  <c:v>75.599999999998744</c:v>
                </c:pt>
                <c:pt idx="946">
                  <c:v>75.679999999998742</c:v>
                </c:pt>
                <c:pt idx="947">
                  <c:v>75.75999999999874</c:v>
                </c:pt>
                <c:pt idx="948">
                  <c:v>75.839999999998739</c:v>
                </c:pt>
                <c:pt idx="949">
                  <c:v>75.919999999998737</c:v>
                </c:pt>
                <c:pt idx="950">
                  <c:v>75.999999999998735</c:v>
                </c:pt>
                <c:pt idx="951">
                  <c:v>76.079999999998734</c:v>
                </c:pt>
                <c:pt idx="952">
                  <c:v>76.159999999998732</c:v>
                </c:pt>
                <c:pt idx="953">
                  <c:v>76.23999999999873</c:v>
                </c:pt>
                <c:pt idx="954">
                  <c:v>76.319999999998728</c:v>
                </c:pt>
                <c:pt idx="955">
                  <c:v>76.399999999998727</c:v>
                </c:pt>
                <c:pt idx="956">
                  <c:v>76.479999999998725</c:v>
                </c:pt>
                <c:pt idx="957">
                  <c:v>76.559999999998723</c:v>
                </c:pt>
                <c:pt idx="958">
                  <c:v>76.639999999998722</c:v>
                </c:pt>
                <c:pt idx="959">
                  <c:v>76.71999999999872</c:v>
                </c:pt>
                <c:pt idx="960">
                  <c:v>76.799999999998718</c:v>
                </c:pt>
                <c:pt idx="961">
                  <c:v>76.879999999998716</c:v>
                </c:pt>
                <c:pt idx="962">
                  <c:v>76.959999999998715</c:v>
                </c:pt>
                <c:pt idx="963">
                  <c:v>77.039999999998713</c:v>
                </c:pt>
                <c:pt idx="964">
                  <c:v>77.119999999998711</c:v>
                </c:pt>
                <c:pt idx="965">
                  <c:v>77.19999999999871</c:v>
                </c:pt>
                <c:pt idx="966">
                  <c:v>77.279999999998708</c:v>
                </c:pt>
                <c:pt idx="967">
                  <c:v>77.359999999998706</c:v>
                </c:pt>
                <c:pt idx="968">
                  <c:v>77.439999999998705</c:v>
                </c:pt>
                <c:pt idx="969">
                  <c:v>77.519999999998703</c:v>
                </c:pt>
                <c:pt idx="970">
                  <c:v>77.599999999998701</c:v>
                </c:pt>
                <c:pt idx="971">
                  <c:v>77.679999999998699</c:v>
                </c:pt>
                <c:pt idx="972">
                  <c:v>77.759999999998698</c:v>
                </c:pt>
                <c:pt idx="973">
                  <c:v>77.839999999998696</c:v>
                </c:pt>
                <c:pt idx="974">
                  <c:v>77.919999999998694</c:v>
                </c:pt>
                <c:pt idx="975">
                  <c:v>77.999999999998693</c:v>
                </c:pt>
                <c:pt idx="976">
                  <c:v>78.079999999998691</c:v>
                </c:pt>
                <c:pt idx="977">
                  <c:v>78.159999999998689</c:v>
                </c:pt>
                <c:pt idx="978">
                  <c:v>78.239999999998687</c:v>
                </c:pt>
                <c:pt idx="979">
                  <c:v>78.319999999998686</c:v>
                </c:pt>
                <c:pt idx="980">
                  <c:v>78.399999999998684</c:v>
                </c:pt>
                <c:pt idx="981">
                  <c:v>78.479999999998682</c:v>
                </c:pt>
                <c:pt idx="982">
                  <c:v>78.559999999998681</c:v>
                </c:pt>
                <c:pt idx="983">
                  <c:v>78.639999999998679</c:v>
                </c:pt>
                <c:pt idx="984">
                  <c:v>78.719999999998677</c:v>
                </c:pt>
                <c:pt idx="985">
                  <c:v>78.799999999998676</c:v>
                </c:pt>
                <c:pt idx="986">
                  <c:v>78.879999999998674</c:v>
                </c:pt>
                <c:pt idx="987">
                  <c:v>78.959999999998672</c:v>
                </c:pt>
                <c:pt idx="988">
                  <c:v>79.03999999999867</c:v>
                </c:pt>
                <c:pt idx="989">
                  <c:v>79.119999999998669</c:v>
                </c:pt>
                <c:pt idx="990">
                  <c:v>79.199999999998667</c:v>
                </c:pt>
                <c:pt idx="991">
                  <c:v>79.279999999998665</c:v>
                </c:pt>
                <c:pt idx="992">
                  <c:v>79.359999999998664</c:v>
                </c:pt>
                <c:pt idx="993">
                  <c:v>79.439999999998662</c:v>
                </c:pt>
                <c:pt idx="994">
                  <c:v>79.51999999999866</c:v>
                </c:pt>
                <c:pt idx="995">
                  <c:v>79.599999999998658</c:v>
                </c:pt>
                <c:pt idx="996">
                  <c:v>79.679999999998657</c:v>
                </c:pt>
                <c:pt idx="997">
                  <c:v>79.759999999998655</c:v>
                </c:pt>
                <c:pt idx="998">
                  <c:v>79.839999999998653</c:v>
                </c:pt>
                <c:pt idx="999">
                  <c:v>79.919999999998652</c:v>
                </c:pt>
                <c:pt idx="1000">
                  <c:v>79.99999999999865</c:v>
                </c:pt>
              </c:numCache>
            </c:numRef>
          </c:xVal>
          <c:yVal>
            <c:numRef>
              <c:f>Model!$S$25:$S$1025</c:f>
              <c:numCache>
                <c:formatCode>0.00E+00</c:formatCode>
                <c:ptCount val="1001"/>
                <c:pt idx="0">
                  <c:v>0</c:v>
                </c:pt>
                <c:pt idx="1">
                  <c:v>1.1974566961542624E-3</c:v>
                </c:pt>
                <c:pt idx="2">
                  <c:v>2.3733114798895534E-3</c:v>
                </c:pt>
                <c:pt idx="3">
                  <c:v>3.527954045982858E-3</c:v>
                </c:pt>
                <c:pt idx="4">
                  <c:v>4.6617670591845468E-3</c:v>
                </c:pt>
                <c:pt idx="5">
                  <c:v>5.7751262810388461E-3</c:v>
                </c:pt>
                <c:pt idx="6">
                  <c:v>6.8684006944164872E-3</c:v>
                </c:pt>
                <c:pt idx="7">
                  <c:v>7.9419526258008057E-3</c:v>
                </c:pt>
                <c:pt idx="8">
                  <c:v>8.9961378653678238E-3</c:v>
                </c:pt>
                <c:pt idx="9">
                  <c:v>1.0031305784900109E-2</c:v>
                </c:pt>
                <c:pt idx="10">
                  <c:v>1.1047799453573485E-2</c:v>
                </c:pt>
                <c:pt idx="11">
                  <c:v>1.204595575165497E-2</c:v>
                </c:pt>
                <c:pt idx="12">
                  <c:v>1.3026105482149627E-2</c:v>
                </c:pt>
                <c:pt idx="13">
                  <c:v>1.3988573480433322E-2</c:v>
                </c:pt>
                <c:pt idx="14">
                  <c:v>1.4933678721907723E-2</c:v>
                </c:pt>
                <c:pt idx="15">
                  <c:v>1.5861734427713228E-2</c:v>
                </c:pt>
                <c:pt idx="16">
                  <c:v>1.6773048168534845E-2</c:v>
                </c:pt>
                <c:pt idx="17">
                  <c:v>1.7667921966535431E-2</c:v>
                </c:pt>
                <c:pt idx="18">
                  <c:v>1.8546652395450086E-2</c:v>
                </c:pt>
                <c:pt idx="19">
                  <c:v>1.9409530678874833E-2</c:v>
                </c:pt>
                <c:pt idx="20">
                  <c:v>2.025684278678222E-2</c:v>
                </c:pt>
                <c:pt idx="21">
                  <c:v>2.1088869530295779E-2</c:v>
                </c:pt>
                <c:pt idx="22">
                  <c:v>2.1905886654754767E-2</c:v>
                </c:pt>
                <c:pt idx="23">
                  <c:v>2.2708164931100044E-2</c:v>
                </c:pt>
                <c:pt idx="24">
                  <c:v>2.3495970245611366E-2</c:v>
                </c:pt>
                <c:pt idx="25">
                  <c:v>2.4269563688025828E-2</c:v>
                </c:pt>
                <c:pt idx="26">
                  <c:v>2.5029201638066663E-2</c:v>
                </c:pt>
                <c:pt idx="27">
                  <c:v>2.5775135850411086E-2</c:v>
                </c:pt>
                <c:pt idx="28">
                  <c:v>2.6507613538125325E-2</c:v>
                </c:pt>
                <c:pt idx="29">
                  <c:v>2.7226877454594497E-2</c:v>
                </c:pt>
                <c:pt idx="30">
                  <c:v>2.7933165973974498E-2</c:v>
                </c:pt>
                <c:pt idx="31">
                  <c:v>2.8626713170192521E-2</c:v>
                </c:pt>
                <c:pt idx="32">
                  <c:v>2.9307748894522468E-2</c:v>
                </c:pt>
                <c:pt idx="33">
                  <c:v>2.9976498851760867E-2</c:v>
                </c:pt>
                <c:pt idx="34">
                  <c:v>3.0633184675028617E-2</c:v>
                </c:pt>
                <c:pt idx="35">
                  <c:v>3.1278023999223317E-2</c:v>
                </c:pt>
                <c:pt idx="36">
                  <c:v>3.1911230533146519E-2</c:v>
                </c:pt>
                <c:pt idx="37">
                  <c:v>3.2533014130329829E-2</c:v>
                </c:pt>
                <c:pt idx="38">
                  <c:v>3.3143580858583314E-2</c:v>
                </c:pt>
                <c:pt idx="39">
                  <c:v>3.3743133068289258E-2</c:v>
                </c:pt>
                <c:pt idx="40">
                  <c:v>3.4331869459463919E-2</c:v>
                </c:pt>
                <c:pt idx="41">
                  <c:v>3.4909985147609519E-2</c:v>
                </c:pt>
                <c:pt idx="42">
                  <c:v>3.5477671728378242E-2</c:v>
                </c:pt>
                <c:pt idx="43">
                  <c:v>3.6035117341069726E-2</c:v>
                </c:pt>
                <c:pt idx="44">
                  <c:v>3.6582506730983073E-2</c:v>
                </c:pt>
                <c:pt idx="45">
                  <c:v>3.7120021310644027E-2</c:v>
                </c:pt>
                <c:pt idx="46">
                  <c:v>3.7647839219927634E-2</c:v>
                </c:pt>
                <c:pt idx="47">
                  <c:v>3.8166135385096292E-2</c:v>
                </c:pt>
                <c:pt idx="48">
                  <c:v>3.8675081576772782E-2</c:v>
                </c:pt>
                <c:pt idx="49">
                  <c:v>3.9174846466867447E-2</c:v>
                </c:pt>
                <c:pt idx="50">
                  <c:v>3.9665595684478444E-2</c:v>
                </c:pt>
                <c:pt idx="51">
                  <c:v>4.0147491870783543E-2</c:v>
                </c:pt>
                <c:pt idx="52">
                  <c:v>4.0620694732941699E-2</c:v>
                </c:pt>
                <c:pt idx="53">
                  <c:v>4.1085361097022238E-2</c:v>
                </c:pt>
                <c:pt idx="54">
                  <c:v>4.1541644959979238E-2</c:v>
                </c:pt>
                <c:pt idx="55">
                  <c:v>4.1989697540688251E-2</c:v>
                </c:pt>
                <c:pt idx="56">
                  <c:v>4.2429667330062378E-2</c:v>
                </c:pt>
                <c:pt idx="57">
                  <c:v>4.2861700140264254E-2</c:v>
                </c:pt>
                <c:pt idx="58">
                  <c:v>4.3285939153030216E-2</c:v>
                </c:pt>
                <c:pt idx="59">
                  <c:v>4.3702524967122763E-2</c:v>
                </c:pt>
                <c:pt idx="60">
                  <c:v>4.4111595644926949E-2</c:v>
                </c:pt>
                <c:pt idx="61">
                  <c:v>4.4513286758206191E-2</c:v>
                </c:pt>
                <c:pt idx="62">
                  <c:v>4.4907731433032665E-2</c:v>
                </c:pt>
                <c:pt idx="63">
                  <c:v>4.5295060393907141E-2</c:v>
                </c:pt>
                <c:pt idx="64">
                  <c:v>4.5675402007082942E-2</c:v>
                </c:pt>
                <c:pt idx="65">
                  <c:v>4.6048882323108289E-2</c:v>
                </c:pt>
                <c:pt idx="66">
                  <c:v>4.6415625118601242E-2</c:v>
                </c:pt>
                <c:pt idx="67">
                  <c:v>4.6775751937271008E-2</c:v>
                </c:pt>
                <c:pt idx="68">
                  <c:v>4.7129382130199224E-2</c:v>
                </c:pt>
                <c:pt idx="69">
                  <c:v>4.7476632895394583E-2</c:v>
                </c:pt>
                <c:pt idx="70">
                  <c:v>4.7817619316633905E-2</c:v>
                </c:pt>
                <c:pt idx="71">
                  <c:v>4.8152454401602512E-2</c:v>
                </c:pt>
                <c:pt idx="72">
                  <c:v>4.8481249119346551E-2</c:v>
                </c:pt>
                <c:pt idx="73">
                  <c:v>4.8804112437049699E-2</c:v>
                </c:pt>
                <c:pt idx="74">
                  <c:v>4.9121151356146434E-2</c:v>
                </c:pt>
                <c:pt idx="75">
                  <c:v>4.9432470947783788E-2</c:v>
                </c:pt>
                <c:pt idx="76">
                  <c:v>4.9738174387643413E-2</c:v>
                </c:pt>
                <c:pt idx="77">
                  <c:v>5.0038362990135449E-2</c:v>
                </c:pt>
                <c:pt idx="78">
                  <c:v>5.033313624197553E-2</c:v>
                </c:pt>
                <c:pt idx="79">
                  <c:v>5.0622591835156092E-2</c:v>
                </c:pt>
                <c:pt idx="80">
                  <c:v>5.0906825699322859E-2</c:v>
                </c:pt>
                <c:pt idx="81">
                  <c:v>5.1185932033567291E-2</c:v>
                </c:pt>
                <c:pt idx="82">
                  <c:v>5.1460003337645457E-2</c:v>
                </c:pt>
                <c:pt idx="83">
                  <c:v>5.1729130442633782E-2</c:v>
                </c:pt>
                <c:pt idx="84">
                  <c:v>5.1993402541031727E-2</c:v>
                </c:pt>
                <c:pt idx="85">
                  <c:v>5.225290721632142E-2</c:v>
                </c:pt>
                <c:pt idx="86">
                  <c:v>5.2507730471994085E-2</c:v>
                </c:pt>
                <c:pt idx="87">
                  <c:v>5.2757956760052772E-2</c:v>
                </c:pt>
                <c:pt idx="88">
                  <c:v>5.3003669009000963E-2</c:v>
                </c:pt>
                <c:pt idx="89">
                  <c:v>5.3244948651326222E-2</c:v>
                </c:pt>
                <c:pt idx="90">
                  <c:v>5.3481875650488078E-2</c:v>
                </c:pt>
                <c:pt idx="91">
                  <c:v>5.3714528527419023E-2</c:v>
                </c:pt>
                <c:pt idx="92">
                  <c:v>5.3942984386547467E-2</c:v>
                </c:pt>
                <c:pt idx="93">
                  <c:v>5.4167318941351218E-2</c:v>
                </c:pt>
                <c:pt idx="94">
                  <c:v>5.438760653944999E-2</c:v>
                </c:pt>
                <c:pt idx="95">
                  <c:v>5.4603920187245261E-2</c:v>
                </c:pt>
                <c:pt idx="96">
                  <c:v>5.4816331574115598E-2</c:v>
                </c:pt>
                <c:pt idx="97">
                  <c:v>5.5024911096175542E-2</c:v>
                </c:pt>
                <c:pt idx="98">
                  <c:v>5.5229727879605853E-2</c:v>
                </c:pt>
                <c:pt idx="99">
                  <c:v>5.5430849803562908E-2</c:v>
                </c:pt>
                <c:pt idx="100">
                  <c:v>5.562834352267481E-2</c:v>
                </c:pt>
                <c:pt idx="101">
                  <c:v>5.5822274489131643E-2</c:v>
                </c:pt>
                <c:pt idx="102">
                  <c:v>5.6012706974377269E-2</c:v>
                </c:pt>
                <c:pt idx="103">
                  <c:v>5.619970409040978E-2</c:v>
                </c:pt>
                <c:pt idx="104">
                  <c:v>5.6383327810697707E-2</c:v>
                </c:pt>
                <c:pt idx="105">
                  <c:v>5.6563638990718881E-2</c:v>
                </c:pt>
                <c:pt idx="106">
                  <c:v>5.67406973881288E-2</c:v>
                </c:pt>
                <c:pt idx="107">
                  <c:v>5.691456168256516E-2</c:v>
                </c:pt>
                <c:pt idx="108">
                  <c:v>5.7085289495095108E-2</c:v>
                </c:pt>
                <c:pt idx="109">
                  <c:v>5.7252937407311667E-2</c:v>
                </c:pt>
                <c:pt idx="110">
                  <c:v>5.7417560980085679E-2</c:v>
                </c:pt>
                <c:pt idx="111">
                  <c:v>5.7579214771979442E-2</c:v>
                </c:pt>
                <c:pt idx="112">
                  <c:v>5.7737952357328204E-2</c:v>
                </c:pt>
                <c:pt idx="113">
                  <c:v>5.7893826343995432E-2</c:v>
                </c:pt>
                <c:pt idx="114">
                  <c:v>5.8046888390807801E-2</c:v>
                </c:pt>
                <c:pt idx="115">
                  <c:v>5.8197189224675663E-2</c:v>
                </c:pt>
                <c:pt idx="116">
                  <c:v>5.8344778657404645E-2</c:v>
                </c:pt>
                <c:pt idx="117">
                  <c:v>5.8489705602203984E-2</c:v>
                </c:pt>
                <c:pt idx="118">
                  <c:v>5.8632018089897056E-2</c:v>
                </c:pt>
                <c:pt idx="119">
                  <c:v>5.8771763284839469E-2</c:v>
                </c:pt>
                <c:pt idx="120">
                  <c:v>5.8908987500549966E-2</c:v>
                </c:pt>
                <c:pt idx="121">
                  <c:v>5.9043736215059407E-2</c:v>
                </c:pt>
                <c:pt idx="122">
                  <c:v>5.9176054085982817E-2</c:v>
                </c:pt>
                <c:pt idx="123">
                  <c:v>5.9305984965319532E-2</c:v>
                </c:pt>
                <c:pt idx="124">
                  <c:v>5.9433571913986377E-2</c:v>
                </c:pt>
                <c:pt idx="125">
                  <c:v>5.9558857216088675E-2</c:v>
                </c:pt>
                <c:pt idx="126">
                  <c:v>5.9681882392933754E-2</c:v>
                </c:pt>
                <c:pt idx="127">
                  <c:v>5.980268821679173E-2</c:v>
                </c:pt>
                <c:pt idx="128">
                  <c:v>5.9921314724407995E-2</c:v>
                </c:pt>
                <c:pt idx="129">
                  <c:v>6.0037801230271942E-2</c:v>
                </c:pt>
                <c:pt idx="130">
                  <c:v>6.0152186339646356E-2</c:v>
                </c:pt>
                <c:pt idx="131">
                  <c:v>6.0264507961361735E-2</c:v>
                </c:pt>
                <c:pt idx="132">
                  <c:v>6.0374803320379811E-2</c:v>
                </c:pt>
                <c:pt idx="133">
                  <c:v>6.0483108970130421E-2</c:v>
                </c:pt>
                <c:pt idx="134">
                  <c:v>6.0589460804625829E-2</c:v>
                </c:pt>
                <c:pt idx="135">
                  <c:v>6.0693894070356497E-2</c:v>
                </c:pt>
                <c:pt idx="136">
                  <c:v>6.0796443377972284E-2</c:v>
                </c:pt>
                <c:pt idx="137">
                  <c:v>6.0897142713752885E-2</c:v>
                </c:pt>
                <c:pt idx="138">
                  <c:v>6.0996025450871363E-2</c:v>
                </c:pt>
                <c:pt idx="139">
                  <c:v>6.1093124360454498E-2</c:v>
                </c:pt>
                <c:pt idx="140">
                  <c:v>6.1188471622443584E-2</c:v>
                </c:pt>
                <c:pt idx="141">
                  <c:v>6.1282098836259333E-2</c:v>
                </c:pt>
                <c:pt idx="142">
                  <c:v>6.1374037031274337E-2</c:v>
                </c:pt>
                <c:pt idx="143">
                  <c:v>6.1464316677096661E-2</c:v>
                </c:pt>
                <c:pt idx="144">
                  <c:v>6.1552967693667901E-2</c:v>
                </c:pt>
                <c:pt idx="145">
                  <c:v>6.1640019461179044E-2</c:v>
                </c:pt>
                <c:pt idx="146">
                  <c:v>6.1725500829807517E-2</c:v>
                </c:pt>
                <c:pt idx="147">
                  <c:v>6.1809440129278498E-2</c:v>
                </c:pt>
                <c:pt idx="148">
                  <c:v>6.1891865178253819E-2</c:v>
                </c:pt>
                <c:pt idx="149">
                  <c:v>6.1972803293551447E-2</c:v>
                </c:pt>
                <c:pt idx="150">
                  <c:v>6.2052281299198653E-2</c:v>
                </c:pt>
                <c:pt idx="151">
                  <c:v>6.2130325535321884E-2</c:v>
                </c:pt>
                <c:pt idx="152">
                  <c:v>6.2206961866876249E-2</c:v>
                </c:pt>
                <c:pt idx="153">
                  <c:v>6.2282215692217514E-2</c:v>
                </c:pt>
                <c:pt idx="154">
                  <c:v>6.2356111951519494E-2</c:v>
                </c:pt>
                <c:pt idx="155">
                  <c:v>6.2428675135039559E-2</c:v>
                </c:pt>
                <c:pt idx="156">
                  <c:v>6.2499929291235067E-2</c:v>
                </c:pt>
                <c:pt idx="157">
                  <c:v>6.256989803473334E-2</c:v>
                </c:pt>
                <c:pt idx="158">
                  <c:v>6.2638604554157901E-2</c:v>
                </c:pt>
                <c:pt idx="159">
                  <c:v>6.2706071619813494E-2</c:v>
                </c:pt>
                <c:pt idx="160">
                  <c:v>6.2772321591232499E-2</c:v>
                </c:pt>
                <c:pt idx="161">
                  <c:v>6.2837376424585173E-2</c:v>
                </c:pt>
                <c:pt idx="162">
                  <c:v>6.290125767995626E-2</c:v>
                </c:pt>
                <c:pt idx="163">
                  <c:v>6.2963986528490279E-2</c:v>
                </c:pt>
                <c:pt idx="164">
                  <c:v>6.3025583759407949E-2</c:v>
                </c:pt>
                <c:pt idx="165">
                  <c:v>6.3086069786896043E-2</c:v>
                </c:pt>
                <c:pt idx="166">
                  <c:v>6.3145464656872916E-2</c:v>
                </c:pt>
                <c:pt idx="167">
                  <c:v>6.3203788053632012E-2</c:v>
                </c:pt>
                <c:pt idx="168">
                  <c:v>6.3261059306365525E-2</c:v>
                </c:pt>
                <c:pt idx="169">
                  <c:v>6.3317297395570321E-2</c:v>
                </c:pt>
                <c:pt idx="170">
                  <c:v>6.3372520959338402E-2</c:v>
                </c:pt>
                <c:pt idx="171">
                  <c:v>6.3426748299533806E-2</c:v>
                </c:pt>
                <c:pt idx="172">
                  <c:v>6.3479997387858061E-2</c:v>
                </c:pt>
                <c:pt idx="173">
                  <c:v>6.3532285871806343E-2</c:v>
                </c:pt>
                <c:pt idx="174">
                  <c:v>6.3583631080516026E-2</c:v>
                </c:pt>
                <c:pt idx="175">
                  <c:v>6.3634050030509856E-2</c:v>
                </c:pt>
                <c:pt idx="176">
                  <c:v>6.3683559431335413E-2</c:v>
                </c:pt>
                <c:pt idx="177">
                  <c:v>6.3732175691102941E-2</c:v>
                </c:pt>
                <c:pt idx="178">
                  <c:v>6.3779914921923198E-2</c:v>
                </c:pt>
                <c:pt idx="179">
                  <c:v>6.3826792945247221E-2</c:v>
                </c:pt>
                <c:pt idx="180">
                  <c:v>6.3872825297109831E-2</c:v>
                </c:pt>
                <c:pt idx="181">
                  <c:v>6.391802723327844E-2</c:v>
                </c:pt>
                <c:pt idx="182">
                  <c:v>6.396241373430904E-2</c:v>
                </c:pt>
                <c:pt idx="183">
                  <c:v>6.4005999510510989E-2</c:v>
                </c:pt>
                <c:pt idx="184">
                  <c:v>6.4048799006822199E-2</c:v>
                </c:pt>
                <c:pt idx="185">
                  <c:v>6.4090826407596377E-2</c:v>
                </c:pt>
                <c:pt idx="186">
                  <c:v>6.4132095641303941E-2</c:v>
                </c:pt>
                <c:pt idx="187">
                  <c:v>6.4172620385148094E-2</c:v>
                </c:pt>
                <c:pt idx="188">
                  <c:v>6.421241406959767E-2</c:v>
                </c:pt>
                <c:pt idx="189">
                  <c:v>6.4251489882838159E-2</c:v>
                </c:pt>
                <c:pt idx="190">
                  <c:v>6.4289860775142441E-2</c:v>
                </c:pt>
                <c:pt idx="191">
                  <c:v>6.4327539463162706E-2</c:v>
                </c:pt>
                <c:pt idx="192">
                  <c:v>6.4364538434144941E-2</c:v>
                </c:pt>
                <c:pt idx="193">
                  <c:v>6.4400869950067371E-2</c:v>
                </c:pt>
                <c:pt idx="194">
                  <c:v>6.4436546051704235E-2</c:v>
                </c:pt>
                <c:pt idx="195">
                  <c:v>6.4471578562616288E-2</c:v>
                </c:pt>
                <c:pt idx="196">
                  <c:v>6.4505979093069279E-2</c:v>
                </c:pt>
                <c:pt idx="197">
                  <c:v>6.4539759043881775E-2</c:v>
                </c:pt>
                <c:pt idx="198">
                  <c:v>6.4572929610203528E-2</c:v>
                </c:pt>
                <c:pt idx="199">
                  <c:v>6.4605501785225727E-2</c:v>
                </c:pt>
                <c:pt idx="200">
                  <c:v>6.4637486363824284E-2</c:v>
                </c:pt>
                <c:pt idx="201">
                  <c:v>6.466889394613741E-2</c:v>
                </c:pt>
                <c:pt idx="202">
                  <c:v>6.4699734941078654E-2</c:v>
                </c:pt>
                <c:pt idx="203">
                  <c:v>6.4730019569786551E-2</c:v>
                </c:pt>
                <c:pt idx="204">
                  <c:v>6.4759757869012072E-2</c:v>
                </c:pt>
                <c:pt idx="205">
                  <c:v>6.4788959694444898E-2</c:v>
                </c:pt>
                <c:pt idx="206">
                  <c:v>6.4817634723979806E-2</c:v>
                </c:pt>
                <c:pt idx="207">
                  <c:v>6.4845792460923993E-2</c:v>
                </c:pt>
                <c:pt idx="208">
                  <c:v>6.4873442237146653E-2</c:v>
                </c:pt>
                <c:pt idx="209">
                  <c:v>6.4900593216171643E-2</c:v>
                </c:pt>
                <c:pt idx="210">
                  <c:v>6.4927254396214454E-2</c:v>
                </c:pt>
                <c:pt idx="211">
                  <c:v>6.4953434613164301E-2</c:v>
                </c:pt>
                <c:pt idx="212">
                  <c:v>6.4979142543512489E-2</c:v>
                </c:pt>
                <c:pt idx="213">
                  <c:v>6.5004386707227912E-2</c:v>
                </c:pt>
                <c:pt idx="214">
                  <c:v>6.5029175470580694E-2</c:v>
                </c:pt>
                <c:pt idx="215">
                  <c:v>6.5053517048914905E-2</c:v>
                </c:pt>
                <c:pt idx="216">
                  <c:v>6.5077419509371195E-2</c:v>
                </c:pt>
                <c:pt idx="217">
                  <c:v>6.5100890773560405E-2</c:v>
                </c:pt>
                <c:pt idx="218">
                  <c:v>6.5123938620188865E-2</c:v>
                </c:pt>
                <c:pt idx="219">
                  <c:v>6.5146570687636407E-2</c:v>
                </c:pt>
                <c:pt idx="220">
                  <c:v>6.5168794476487796E-2</c:v>
                </c:pt>
                <c:pt idx="221">
                  <c:v>6.5190617352018546E-2</c:v>
                </c:pt>
                <c:pt idx="222">
                  <c:v>6.5212046546635843E-2</c:v>
                </c:pt>
                <c:pt idx="223">
                  <c:v>6.5233089162275534E-2</c:v>
                </c:pt>
                <c:pt idx="224">
                  <c:v>6.5253752172755752E-2</c:v>
                </c:pt>
                <c:pt idx="225">
                  <c:v>6.5274042426088141E-2</c:v>
                </c:pt>
                <c:pt idx="226">
                  <c:v>6.5293966646747401E-2</c:v>
                </c:pt>
                <c:pt idx="227">
                  <c:v>6.5313531437899877E-2</c:v>
                </c:pt>
                <c:pt idx="228">
                  <c:v>6.5332743283591913E-2</c:v>
                </c:pt>
                <c:pt idx="229">
                  <c:v>6.5351608550898804E-2</c:v>
                </c:pt>
                <c:pt idx="230">
                  <c:v>6.5370133492034868E-2</c:v>
                </c:pt>
                <c:pt idx="231">
                  <c:v>6.5388324246425586E-2</c:v>
                </c:pt>
                <c:pt idx="232">
                  <c:v>6.5406186842742242E-2</c:v>
                </c:pt>
                <c:pt idx="233">
                  <c:v>6.5423727200899937E-2</c:v>
                </c:pt>
                <c:pt idx="234">
                  <c:v>6.5440951134019515E-2</c:v>
                </c:pt>
                <c:pt idx="235">
                  <c:v>6.5457864350354125E-2</c:v>
                </c:pt>
                <c:pt idx="236">
                  <c:v>6.5474472455181024E-2</c:v>
                </c:pt>
                <c:pt idx="237">
                  <c:v>6.5490780952659228E-2</c:v>
                </c:pt>
                <c:pt idx="238">
                  <c:v>6.5506795247653668E-2</c:v>
                </c:pt>
                <c:pt idx="239">
                  <c:v>6.552252064752645E-2</c:v>
                </c:pt>
                <c:pt idx="240">
                  <c:v>6.5537962363895766E-2</c:v>
                </c:pt>
                <c:pt idx="241">
                  <c:v>6.5553125514363139E-2</c:v>
                </c:pt>
                <c:pt idx="242">
                  <c:v>6.5568015124209414E-2</c:v>
                </c:pt>
                <c:pt idx="243">
                  <c:v>6.558263612806027E-2</c:v>
                </c:pt>
                <c:pt idx="244">
                  <c:v>6.5596993371521556E-2</c:v>
                </c:pt>
                <c:pt idx="245">
                  <c:v>6.5611091612785249E-2</c:v>
                </c:pt>
                <c:pt idx="246">
                  <c:v>6.5624935524206354E-2</c:v>
                </c:pt>
                <c:pt idx="247">
                  <c:v>6.5638529693851394E-2</c:v>
                </c:pt>
                <c:pt idx="248">
                  <c:v>6.5651878627018975E-2</c:v>
                </c:pt>
                <c:pt idx="249">
                  <c:v>6.5664986747732884E-2</c:v>
                </c:pt>
                <c:pt idx="250">
                  <c:v>6.5677858400208275E-2</c:v>
                </c:pt>
                <c:pt idx="251">
                  <c:v>6.5690497850291407E-2</c:v>
                </c:pt>
                <c:pt idx="252">
                  <c:v>6.5702909286873432E-2</c:v>
                </c:pt>
                <c:pt idx="253">
                  <c:v>6.5715096823278613E-2</c:v>
                </c:pt>
                <c:pt idx="254">
                  <c:v>6.5727064498627544E-2</c:v>
                </c:pt>
                <c:pt idx="255">
                  <c:v>6.5738816279175785E-2</c:v>
                </c:pt>
                <c:pt idx="256">
                  <c:v>6.575035605962834E-2</c:v>
                </c:pt>
                <c:pt idx="257">
                  <c:v>6.5761687664430385E-2</c:v>
                </c:pt>
                <c:pt idx="258">
                  <c:v>6.5772814849034786E-2</c:v>
                </c:pt>
                <c:pt idx="259">
                  <c:v>6.5783741301146684E-2</c:v>
                </c:pt>
                <c:pt idx="260">
                  <c:v>6.5794470641945629E-2</c:v>
                </c:pt>
                <c:pt idx="261">
                  <c:v>6.5805006427285748E-2</c:v>
                </c:pt>
                <c:pt idx="262">
                  <c:v>6.5815352148874157E-2</c:v>
                </c:pt>
                <c:pt idx="263">
                  <c:v>6.582551123542818E-2</c:v>
                </c:pt>
                <c:pt idx="264">
                  <c:v>6.5835487053811675E-2</c:v>
                </c:pt>
                <c:pt idx="265">
                  <c:v>6.5845282910150849E-2</c:v>
                </c:pt>
                <c:pt idx="266">
                  <c:v>6.5854902050929962E-2</c:v>
                </c:pt>
                <c:pt idx="267">
                  <c:v>6.5864347664067263E-2</c:v>
                </c:pt>
                <c:pt idx="268">
                  <c:v>6.5873622879971491E-2</c:v>
                </c:pt>
                <c:pt idx="269">
                  <c:v>6.5882730772579376E-2</c:v>
                </c:pt>
                <c:pt idx="270">
                  <c:v>6.5891674360374353E-2</c:v>
                </c:pt>
                <c:pt idx="271">
                  <c:v>6.5900456607386915E-2</c:v>
                </c:pt>
                <c:pt idx="272">
                  <c:v>6.590908042417698E-2</c:v>
                </c:pt>
                <c:pt idx="273">
                  <c:v>6.5917548668798454E-2</c:v>
                </c:pt>
                <c:pt idx="274">
                  <c:v>6.5925864147746441E-2</c:v>
                </c:pt>
                <c:pt idx="275">
                  <c:v>6.5934029616887366E-2</c:v>
                </c:pt>
                <c:pt idx="276">
                  <c:v>6.5942047782372296E-2</c:v>
                </c:pt>
                <c:pt idx="277">
                  <c:v>6.5949921301533793E-2</c:v>
                </c:pt>
                <c:pt idx="278">
                  <c:v>6.5957652783766599E-2</c:v>
                </c:pt>
                <c:pt idx="279">
                  <c:v>6.5965244791392444E-2</c:v>
                </c:pt>
                <c:pt idx="280">
                  <c:v>6.5972699840509186E-2</c:v>
                </c:pt>
                <c:pt idx="281">
                  <c:v>6.5980020401824727E-2</c:v>
                </c:pt>
                <c:pt idx="282">
                  <c:v>6.5987208901475816E-2</c:v>
                </c:pt>
                <c:pt idx="283">
                  <c:v>6.5994267721832131E-2</c:v>
                </c:pt>
                <c:pt idx="284">
                  <c:v>6.6001199202285796E-2</c:v>
                </c:pt>
                <c:pt idx="285">
                  <c:v>6.6008005640026707E-2</c:v>
                </c:pt>
                <c:pt idx="286">
                  <c:v>6.6014689290803841E-2</c:v>
                </c:pt>
                <c:pt idx="287">
                  <c:v>6.6021252369672878E-2</c:v>
                </c:pt>
                <c:pt idx="288">
                  <c:v>6.6027697051730255E-2</c:v>
                </c:pt>
                <c:pt idx="289">
                  <c:v>6.6034025472834046E-2</c:v>
                </c:pt>
                <c:pt idx="290">
                  <c:v>6.6040239730311812E-2</c:v>
                </c:pt>
                <c:pt idx="291">
                  <c:v>6.6046341883655699E-2</c:v>
                </c:pt>
                <c:pt idx="292">
                  <c:v>6.6052333955204962E-2</c:v>
                </c:pt>
                <c:pt idx="293">
                  <c:v>6.605821793081619E-2</c:v>
                </c:pt>
                <c:pt idx="294">
                  <c:v>6.6063995760521493E-2</c:v>
                </c:pt>
                <c:pt idx="295">
                  <c:v>6.6069669359174701E-2</c:v>
                </c:pt>
                <c:pt idx="296">
                  <c:v>6.6075240607086042E-2</c:v>
                </c:pt>
                <c:pt idx="297">
                  <c:v>6.6080711350645263E-2</c:v>
                </c:pt>
                <c:pt idx="298">
                  <c:v>6.6086083402933551E-2</c:v>
                </c:pt>
                <c:pt idx="299">
                  <c:v>6.6091358544324422E-2</c:v>
                </c:pt>
                <c:pt idx="300">
                  <c:v>6.6096538523073761E-2</c:v>
                </c:pt>
                <c:pt idx="301">
                  <c:v>6.6101625055899227E-2</c:v>
                </c:pt>
                <c:pt idx="302">
                  <c:v>6.6106619828549179E-2</c:v>
                </c:pt>
                <c:pt idx="303">
                  <c:v>6.611152449636136E-2</c:v>
                </c:pt>
                <c:pt idx="304">
                  <c:v>6.6116340684811523E-2</c:v>
                </c:pt>
                <c:pt idx="305">
                  <c:v>6.61210699900521E-2</c:v>
                </c:pt>
                <c:pt idx="306">
                  <c:v>6.6125713979441225E-2</c:v>
                </c:pt>
                <c:pt idx="307">
                  <c:v>6.6130274192062161E-2</c:v>
                </c:pt>
                <c:pt idx="308">
                  <c:v>6.6134752139233352E-2</c:v>
                </c:pt>
                <c:pt idx="309">
                  <c:v>6.6139149305009345E-2</c:v>
                </c:pt>
                <c:pt idx="310">
                  <c:v>6.6143467146672588E-2</c:v>
                </c:pt>
                <c:pt idx="311">
                  <c:v>6.614770709521639E-2</c:v>
                </c:pt>
                <c:pt idx="312">
                  <c:v>6.6151870555819212E-2</c:v>
                </c:pt>
                <c:pt idx="313">
                  <c:v>6.6155958908310331E-2</c:v>
                </c:pt>
                <c:pt idx="314">
                  <c:v>6.6159973507627132E-2</c:v>
                </c:pt>
                <c:pt idx="315">
                  <c:v>6.6163915684264163E-2</c:v>
                </c:pt>
                <c:pt idx="316">
                  <c:v>6.6167786744714088E-2</c:v>
                </c:pt>
                <c:pt idx="317">
                  <c:v>6.6171587971900675E-2</c:v>
                </c:pt>
                <c:pt idx="318">
                  <c:v>6.6175320625603939E-2</c:v>
                </c:pt>
                <c:pt idx="319">
                  <c:v>6.6178985942877716E-2</c:v>
                </c:pt>
                <c:pt idx="320">
                  <c:v>6.6182585138459593E-2</c:v>
                </c:pt>
                <c:pt idx="321">
                  <c:v>6.618611940517348E-2</c:v>
                </c:pt>
                <c:pt idx="322">
                  <c:v>6.618958991432497E-2</c:v>
                </c:pt>
                <c:pt idx="323">
                  <c:v>6.6192997816089505E-2</c:v>
                </c:pt>
                <c:pt idx="324">
                  <c:v>6.6196344239893554E-2</c:v>
                </c:pt>
                <c:pt idx="325">
                  <c:v>6.6199630294788939E-2</c:v>
                </c:pt>
                <c:pt idx="326">
                  <c:v>6.6202857069820348E-2</c:v>
                </c:pt>
                <c:pt idx="327">
                  <c:v>6.6206025634386323E-2</c:v>
                </c:pt>
                <c:pt idx="328">
                  <c:v>6.620913703859363E-2</c:v>
                </c:pt>
                <c:pt idx="329">
                  <c:v>6.6212192313605284E-2</c:v>
                </c:pt>
                <c:pt idx="330">
                  <c:v>6.6215192471982293E-2</c:v>
                </c:pt>
                <c:pt idx="331">
                  <c:v>6.6218138508019248E-2</c:v>
                </c:pt>
                <c:pt idx="332">
                  <c:v>6.6221031398073851E-2</c:v>
                </c:pt>
                <c:pt idx="333">
                  <c:v>6.6223872100890452E-2</c:v>
                </c:pt>
                <c:pt idx="334">
                  <c:v>6.6226661557917829E-2</c:v>
                </c:pt>
                <c:pt idx="335">
                  <c:v>6.6229400693621196E-2</c:v>
                </c:pt>
                <c:pt idx="336">
                  <c:v>6.623209041578855E-2</c:v>
                </c:pt>
                <c:pt idx="337">
                  <c:v>6.6234731615831571E-2</c:v>
                </c:pt>
                <c:pt idx="338">
                  <c:v>6.6237325169081027E-2</c:v>
                </c:pt>
                <c:pt idx="339">
                  <c:v>6.6239871935076855E-2</c:v>
                </c:pt>
                <c:pt idx="340">
                  <c:v>6.6242372757853052E-2</c:v>
                </c:pt>
                <c:pt idx="341">
                  <c:v>6.6244828466217376E-2</c:v>
                </c:pt>
                <c:pt idx="342">
                  <c:v>6.6247239874026045E-2</c:v>
                </c:pt>
                <c:pt idx="343">
                  <c:v>6.6249607780453454E-2</c:v>
                </c:pt>
                <c:pt idx="344">
                  <c:v>6.6251932970257013E-2</c:v>
                </c:pt>
                <c:pt idx="345">
                  <c:v>6.6254216214037265E-2</c:v>
                </c:pt>
                <c:pt idx="346">
                  <c:v>6.6256458268493232E-2</c:v>
                </c:pt>
                <c:pt idx="347">
                  <c:v>6.6258659876673232E-2</c:v>
                </c:pt>
                <c:pt idx="348">
                  <c:v>6.6260821768221095E-2</c:v>
                </c:pt>
                <c:pt idx="349">
                  <c:v>6.6262944659618045E-2</c:v>
                </c:pt>
                <c:pt idx="350">
                  <c:v>6.6265029254420071E-2</c:v>
                </c:pt>
                <c:pt idx="351">
                  <c:v>6.6267076243491138E-2</c:v>
                </c:pt>
                <c:pt idx="352">
                  <c:v>6.6269086305232164E-2</c:v>
                </c:pt>
                <c:pt idx="353">
                  <c:v>6.6271060105805801E-2</c:v>
                </c:pt>
                <c:pt idx="354">
                  <c:v>6.6272998299357275E-2</c:v>
                </c:pt>
                <c:pt idx="355">
                  <c:v>6.6274901528231123E-2</c:v>
                </c:pt>
                <c:pt idx="356">
                  <c:v>6.6276770423184111E-2</c:v>
                </c:pt>
                <c:pt idx="357">
                  <c:v>6.6278605603594248E-2</c:v>
                </c:pt>
                <c:pt idx="358">
                  <c:v>6.6280407677666076E-2</c:v>
                </c:pt>
                <c:pt idx="359">
                  <c:v>6.6282177242632231E-2</c:v>
                </c:pt>
                <c:pt idx="360">
                  <c:v>6.6283914884951375E-2</c:v>
                </c:pt>
                <c:pt idx="361">
                  <c:v>6.628562118050256E-2</c:v>
                </c:pt>
                <c:pt idx="362">
                  <c:v>6.6287296694776079E-2</c:v>
                </c:pt>
                <c:pt idx="363">
                  <c:v>6.6288941983060887E-2</c:v>
                </c:pt>
                <c:pt idx="364">
                  <c:v>6.6290557590628588E-2</c:v>
                </c:pt>
                <c:pt idx="365">
                  <c:v>6.6292144052914226E-2</c:v>
                </c:pt>
                <c:pt idx="366">
                  <c:v>6.6293701895693655E-2</c:v>
                </c:pt>
                <c:pt idx="367">
                  <c:v>6.6295231635257829E-2</c:v>
                </c:pt>
                <c:pt idx="368">
                  <c:v>6.6296733778583916E-2</c:v>
                </c:pt>
                <c:pt idx="369">
                  <c:v>6.6298208823503291E-2</c:v>
                </c:pt>
                <c:pt idx="370">
                  <c:v>6.6299657258866537E-2</c:v>
                </c:pt>
                <c:pt idx="371">
                  <c:v>6.6301079564705476E-2</c:v>
                </c:pt>
                <c:pt idx="372">
                  <c:v>6.63024762123922E-2</c:v>
                </c:pt>
                <c:pt idx="373">
                  <c:v>6.6303847664795371E-2</c:v>
                </c:pt>
                <c:pt idx="374">
                  <c:v>6.6305194376433563E-2</c:v>
                </c:pt>
                <c:pt idx="375">
                  <c:v>6.6306516793625897E-2</c:v>
                </c:pt>
                <c:pt idx="376">
                  <c:v>6.6307815354640004E-2</c:v>
                </c:pt>
                <c:pt idx="377">
                  <c:v>6.6309090489837214E-2</c:v>
                </c:pt>
                <c:pt idx="378">
                  <c:v>6.6310342621815233E-2</c:v>
                </c:pt>
                <c:pt idx="379">
                  <c:v>6.6311572165548172E-2</c:v>
                </c:pt>
                <c:pt idx="380">
                  <c:v>6.6312779528524088E-2</c:v>
                </c:pt>
                <c:pt idx="381">
                  <c:v>6.6313965110880002E-2</c:v>
                </c:pt>
                <c:pt idx="382">
                  <c:v>6.6315129305534543E-2</c:v>
                </c:pt>
                <c:pt idx="383">
                  <c:v>6.631627249831816E-2</c:v>
                </c:pt>
                <c:pt idx="384">
                  <c:v>6.6317395068100998E-2</c:v>
                </c:pt>
                <c:pt idx="385">
                  <c:v>6.6318497386918418E-2</c:v>
                </c:pt>
                <c:pt idx="386">
                  <c:v>6.6319579820094357E-2</c:v>
                </c:pt>
                <c:pt idx="387">
                  <c:v>6.6320642726362358E-2</c:v>
                </c:pt>
                <c:pt idx="388">
                  <c:v>6.6321686457984474E-2</c:v>
                </c:pt>
                <c:pt idx="389">
                  <c:v>6.6322711360868009E-2</c:v>
                </c:pt>
                <c:pt idx="390">
                  <c:v>6.6323717774680171E-2</c:v>
                </c:pt>
                <c:pt idx="391">
                  <c:v>6.6324706032960618E-2</c:v>
                </c:pt>
                <c:pt idx="392">
                  <c:v>6.6325676463232008E-2</c:v>
                </c:pt>
                <c:pt idx="393">
                  <c:v>6.6326629387108552E-2</c:v>
                </c:pt>
                <c:pt idx="394">
                  <c:v>6.6327565120402596E-2</c:v>
                </c:pt>
                <c:pt idx="395">
                  <c:v>6.6328483973229296E-2</c:v>
                </c:pt>
                <c:pt idx="396">
                  <c:v>6.6329386250109354E-2</c:v>
                </c:pt>
                <c:pt idx="397">
                  <c:v>6.6330272250070002E-2</c:v>
                </c:pt>
                <c:pt idx="398">
                  <c:v>6.6331142266744067E-2</c:v>
                </c:pt>
                <c:pt idx="399">
                  <c:v>6.6331996588467279E-2</c:v>
                </c:pt>
                <c:pt idx="400">
                  <c:v>6.6332835498373849E-2</c:v>
                </c:pt>
                <c:pt idx="401">
                  <c:v>6.6333659274490281E-2</c:v>
                </c:pt>
                <c:pt idx="402">
                  <c:v>6.633446818982755E-2</c:v>
                </c:pt>
                <c:pt idx="403">
                  <c:v>6.6335262512471557E-2</c:v>
                </c:pt>
                <c:pt idx="404">
                  <c:v>6.633604250567196E-2</c:v>
                </c:pt>
                <c:pt idx="405">
                  <c:v>6.6336808427929453E-2</c:v>
                </c:pt>
                <c:pt idx="406">
                  <c:v>6.633756053308143E-2</c:v>
                </c:pt>
                <c:pt idx="407">
                  <c:v>6.6338299070386089E-2</c:v>
                </c:pt>
                <c:pt idx="408">
                  <c:v>6.6339024284605058E-2</c:v>
                </c:pt>
                <c:pt idx="409">
                  <c:v>6.633973641608451E-2</c:v>
                </c:pt>
                <c:pt idx="410">
                  <c:v>6.634043570083481E-2</c:v>
                </c:pt>
                <c:pt idx="411">
                  <c:v>6.6341122370608727E-2</c:v>
                </c:pt>
                <c:pt idx="412">
                  <c:v>6.6341796652978277E-2</c:v>
                </c:pt>
                <c:pt idx="413">
                  <c:v>6.6342458771410082E-2</c:v>
                </c:pt>
                <c:pt idx="414">
                  <c:v>6.6343108945339499E-2</c:v>
                </c:pt>
                <c:pt idx="415">
                  <c:v>6.6343747390243291E-2</c:v>
                </c:pt>
                <c:pt idx="416">
                  <c:v>6.634437431771105E-2</c:v>
                </c:pt>
                <c:pt idx="417">
                  <c:v>6.6344989935515339E-2</c:v>
                </c:pt>
                <c:pt idx="418">
                  <c:v>6.6345594447680539E-2</c:v>
                </c:pt>
                <c:pt idx="419">
                  <c:v>6.6346188054550462E-2</c:v>
                </c:pt>
                <c:pt idx="420">
                  <c:v>6.6346770952854767E-2</c:v>
                </c:pt>
                <c:pt idx="421">
                  <c:v>6.634734333577412E-2</c:v>
                </c:pt>
                <c:pt idx="422">
                  <c:v>6.6347905393004253E-2</c:v>
                </c:pt>
                <c:pt idx="423">
                  <c:v>6.6348457310818829E-2</c:v>
                </c:pt>
                <c:pt idx="424">
                  <c:v>6.6348999272131143E-2</c:v>
                </c:pt>
                <c:pt idx="425">
                  <c:v>6.6349531456554797E-2</c:v>
                </c:pt>
                <c:pt idx="426">
                  <c:v>6.6350054040463166E-2</c:v>
                </c:pt>
                <c:pt idx="427">
                  <c:v>6.6350567197047891E-2</c:v>
                </c:pt>
                <c:pt idx="428">
                  <c:v>6.635107109637628E-2</c:v>
                </c:pt>
                <c:pt idx="429">
                  <c:v>6.6351565905447621E-2</c:v>
                </c:pt>
                <c:pt idx="430">
                  <c:v>6.6352051788248601E-2</c:v>
                </c:pt>
                <c:pt idx="431">
                  <c:v>6.635252890580759E-2</c:v>
                </c:pt>
                <c:pt idx="432">
                  <c:v>6.6352997416248047E-2</c:v>
                </c:pt>
                <c:pt idx="433">
                  <c:v>6.6353457474840907E-2</c:v>
                </c:pt>
                <c:pt idx="434">
                  <c:v>6.6353909234056041E-2</c:v>
                </c:pt>
                <c:pt idx="435">
                  <c:v>6.6354352843612796E-2</c:v>
                </c:pt>
                <c:pt idx="436">
                  <c:v>6.6354788450529598E-2</c:v>
                </c:pt>
                <c:pt idx="437">
                  <c:v>6.6355216199172701E-2</c:v>
                </c:pt>
                <c:pt idx="438">
                  <c:v>6.6355636231303999E-2</c:v>
                </c:pt>
                <c:pt idx="439">
                  <c:v>6.6356048686128044E-2</c:v>
                </c:pt>
                <c:pt idx="440">
                  <c:v>6.6356453700338144E-2</c:v>
                </c:pt>
                <c:pt idx="441">
                  <c:v>6.6356851408161707E-2</c:v>
                </c:pt>
                <c:pt idx="442">
                  <c:v>6.6357241941404674E-2</c:v>
                </c:pt>
                <c:pt idx="443">
                  <c:v>6.6357625429495248E-2</c:v>
                </c:pt>
                <c:pt idx="444">
                  <c:v>6.6358001999526753E-2</c:v>
                </c:pt>
                <c:pt idx="445">
                  <c:v>6.6358371776299788E-2</c:v>
                </c:pt>
                <c:pt idx="446">
                  <c:v>6.6358734882363574E-2</c:v>
                </c:pt>
                <c:pt idx="447">
                  <c:v>6.6359091438056544E-2</c:v>
                </c:pt>
                <c:pt idx="448">
                  <c:v>6.6359441561546273E-2</c:v>
                </c:pt>
                <c:pt idx="449">
                  <c:v>6.6359785368868593E-2</c:v>
                </c:pt>
                <c:pt idx="450">
                  <c:v>6.6360122973966068E-2</c:v>
                </c:pt>
                <c:pt idx="451">
                  <c:v>6.6360454488725767E-2</c:v>
                </c:pt>
                <c:pt idx="452">
                  <c:v>6.6360780023016347E-2</c:v>
                </c:pt>
                <c:pt idx="453">
                  <c:v>6.6361099684724423E-2</c:v>
                </c:pt>
                <c:pt idx="454">
                  <c:v>6.6361413579790376E-2</c:v>
                </c:pt>
                <c:pt idx="455">
                  <c:v>6.6361721812243438E-2</c:v>
                </c:pt>
                <c:pt idx="456">
                  <c:v>6.6362024484236171E-2</c:v>
                </c:pt>
                <c:pt idx="457">
                  <c:v>6.6362321696078322E-2</c:v>
                </c:pt>
                <c:pt idx="458">
                  <c:v>6.6362613546270058E-2</c:v>
                </c:pt>
                <c:pt idx="459">
                  <c:v>6.6362900131534647E-2</c:v>
                </c:pt>
                <c:pt idx="460">
                  <c:v>6.6363181546850447E-2</c:v>
                </c:pt>
                <c:pt idx="461">
                  <c:v>6.6363457885482452E-2</c:v>
                </c:pt>
                <c:pt idx="462">
                  <c:v>6.6363729239013167E-2</c:v>
                </c:pt>
                <c:pt idx="463">
                  <c:v>6.6363995697372946E-2</c:v>
                </c:pt>
                <c:pt idx="464">
                  <c:v>6.6364257348869846E-2</c:v>
                </c:pt>
                <c:pt idx="465">
                  <c:v>6.6364514280218834E-2</c:v>
                </c:pt>
                <c:pt idx="466">
                  <c:v>6.6364766576570575E-2</c:v>
                </c:pt>
                <c:pt idx="467">
                  <c:v>6.6365014321539614E-2</c:v>
                </c:pt>
                <c:pt idx="468">
                  <c:v>6.6365257597232108E-2</c:v>
                </c:pt>
                <c:pt idx="469">
                  <c:v>6.6365496484273034E-2</c:v>
                </c:pt>
                <c:pt idx="470">
                  <c:v>6.6365731061832911E-2</c:v>
                </c:pt>
                <c:pt idx="471">
                  <c:v>6.6365961407654037E-2</c:v>
                </c:pt>
                <c:pt idx="472">
                  <c:v>6.6366187598076248E-2</c:v>
                </c:pt>
                <c:pt idx="473">
                  <c:v>6.6366409708062235E-2</c:v>
                </c:pt>
                <c:pt idx="474">
                  <c:v>6.6366627811222351E-2</c:v>
                </c:pt>
                <c:pt idx="475">
                  <c:v>6.6366841979839053E-2</c:v>
                </c:pt>
                <c:pt idx="476">
                  <c:v>6.6367052284890815E-2</c:v>
                </c:pt>
                <c:pt idx="477">
                  <c:v>6.636725879607569E-2</c:v>
                </c:pt>
                <c:pt idx="478">
                  <c:v>6.6367461581834375E-2</c:v>
                </c:pt>
                <c:pt idx="479">
                  <c:v>6.636766070937293E-2</c:v>
                </c:pt>
                <c:pt idx="480">
                  <c:v>6.6367856244685011E-2</c:v>
                </c:pt>
                <c:pt idx="481">
                  <c:v>6.6368048252573766E-2</c:v>
                </c:pt>
                <c:pt idx="482">
                  <c:v>6.6368236796673294E-2</c:v>
                </c:pt>
                <c:pt idx="483">
                  <c:v>6.6368421939469763E-2</c:v>
                </c:pt>
                <c:pt idx="484">
                  <c:v>6.6368603742322091E-2</c:v>
                </c:pt>
                <c:pt idx="485">
                  <c:v>6.636878226548229E-2</c:v>
                </c:pt>
                <c:pt idx="486">
                  <c:v>6.636895756811545E-2</c:v>
                </c:pt>
                <c:pt idx="487">
                  <c:v>6.6369129708319319E-2</c:v>
                </c:pt>
                <c:pt idx="488">
                  <c:v>6.6369298743143582E-2</c:v>
                </c:pt>
                <c:pt idx="489">
                  <c:v>6.6369464728608746E-2</c:v>
                </c:pt>
                <c:pt idx="490">
                  <c:v>6.6369627719724725E-2</c:v>
                </c:pt>
                <c:pt idx="491">
                  <c:v>6.6369787770509073E-2</c:v>
                </c:pt>
                <c:pt idx="492">
                  <c:v>6.6369944934004846E-2</c:v>
                </c:pt>
                <c:pt idx="493">
                  <c:v>6.6370099262298241E-2</c:v>
                </c:pt>
                <c:pt idx="494">
                  <c:v>6.637025080653583E-2</c:v>
                </c:pt>
                <c:pt idx="495">
                  <c:v>6.6370399616941494E-2</c:v>
                </c:pt>
                <c:pt idx="496">
                  <c:v>6.6370545742833076E-2</c:v>
                </c:pt>
                <c:pt idx="497">
                  <c:v>6.6370689232638766E-2</c:v>
                </c:pt>
                <c:pt idx="498">
                  <c:v>6.6370830133913095E-2</c:v>
                </c:pt>
                <c:pt idx="499">
                  <c:v>6.6370968493352708E-2</c:v>
                </c:pt>
                <c:pt idx="500">
                  <c:v>6.6371104356811886E-2</c:v>
                </c:pt>
                <c:pt idx="501">
                  <c:v>6.6371237769317679E-2</c:v>
                </c:pt>
                <c:pt idx="502">
                  <c:v>6.6371368775084857E-2</c:v>
                </c:pt>
                <c:pt idx="503">
                  <c:v>6.6371497417530567E-2</c:v>
                </c:pt>
                <c:pt idx="504">
                  <c:v>6.6371623739288732E-2</c:v>
                </c:pt>
                <c:pt idx="505">
                  <c:v>6.6371747782224155E-2</c:v>
                </c:pt>
                <c:pt idx="506">
                  <c:v>6.6371869587446397E-2</c:v>
                </c:pt>
                <c:pt idx="507">
                  <c:v>6.6371989195323416E-2</c:v>
                </c:pt>
                <c:pt idx="508">
                  <c:v>6.6372106645494949E-2</c:v>
                </c:pt>
                <c:pt idx="509">
                  <c:v>6.6372221976885637E-2</c:v>
                </c:pt>
                <c:pt idx="510">
                  <c:v>6.6372335227717918E-2</c:v>
                </c:pt>
                <c:pt idx="511">
                  <c:v>6.6372446435524701E-2</c:v>
                </c:pt>
                <c:pt idx="512">
                  <c:v>6.6372555637161809E-2</c:v>
                </c:pt>
                <c:pt idx="513">
                  <c:v>6.6372662868820209E-2</c:v>
                </c:pt>
                <c:pt idx="514">
                  <c:v>6.6372768166037974E-2</c:v>
                </c:pt>
                <c:pt idx="515">
                  <c:v>6.6372871563712077E-2</c:v>
                </c:pt>
                <c:pt idx="516">
                  <c:v>6.6372973096109955E-2</c:v>
                </c:pt>
                <c:pt idx="517">
                  <c:v>6.6373072796880872E-2</c:v>
                </c:pt>
                <c:pt idx="518">
                  <c:v>6.6373170699067077E-2</c:v>
                </c:pt>
                <c:pt idx="519">
                  <c:v>6.6373266835114714E-2</c:v>
                </c:pt>
                <c:pt idx="520">
                  <c:v>6.6373361236884615E-2</c:v>
                </c:pt>
                <c:pt idx="521">
                  <c:v>6.6373453935662852E-2</c:v>
                </c:pt>
                <c:pt idx="522">
                  <c:v>6.6373544962171113E-2</c:v>
                </c:pt>
                <c:pt idx="523">
                  <c:v>6.6373634346576851E-2</c:v>
                </c:pt>
                <c:pt idx="524">
                  <c:v>6.6373722118503314E-2</c:v>
                </c:pt>
                <c:pt idx="525">
                  <c:v>6.6373808307039359E-2</c:v>
                </c:pt>
                <c:pt idx="526">
                  <c:v>6.6373892940749066E-2</c:v>
                </c:pt>
                <c:pt idx="527">
                  <c:v>6.6373976047681235E-2</c:v>
                </c:pt>
                <c:pt idx="528">
                  <c:v>6.6374057655378668E-2</c:v>
                </c:pt>
                <c:pt idx="529">
                  <c:v>6.63741377908873E-2</c:v>
                </c:pt>
                <c:pt idx="530">
                  <c:v>6.6374216480765177E-2</c:v>
                </c:pt>
                <c:pt idx="531">
                  <c:v>6.6374293751091218E-2</c:v>
                </c:pt>
                <c:pt idx="532">
                  <c:v>6.6374369627473895E-2</c:v>
                </c:pt>
                <c:pt idx="533">
                  <c:v>6.6374444135059704E-2</c:v>
                </c:pt>
                <c:pt idx="534">
                  <c:v>6.6374517298541505E-2</c:v>
                </c:pt>
                <c:pt idx="535">
                  <c:v>6.6374589142166707E-2</c:v>
                </c:pt>
                <c:pt idx="536">
                  <c:v>6.6374659689745291E-2</c:v>
                </c:pt>
                <c:pt idx="537">
                  <c:v>6.6374728964657709E-2</c:v>
                </c:pt>
                <c:pt idx="538">
                  <c:v>6.637479698986265E-2</c:v>
                </c:pt>
                <c:pt idx="539">
                  <c:v>6.6374863787904623E-2</c:v>
                </c:pt>
                <c:pt idx="540">
                  <c:v>6.6374929380921432E-2</c:v>
                </c:pt>
                <c:pt idx="541">
                  <c:v>6.6374993790651524E-2</c:v>
                </c:pt>
                <c:pt idx="542">
                  <c:v>6.6375057038441182E-2</c:v>
                </c:pt>
                <c:pt idx="543">
                  <c:v>6.6375119145251613E-2</c:v>
                </c:pt>
                <c:pt idx="544">
                  <c:v>6.6375180131665892E-2</c:v>
                </c:pt>
                <c:pt idx="545">
                  <c:v>6.637524001789577E-2</c:v>
                </c:pt>
                <c:pt idx="546">
                  <c:v>6.6375298823788384E-2</c:v>
                </c:pt>
                <c:pt idx="547">
                  <c:v>6.6375356568832825E-2</c:v>
                </c:pt>
                <c:pt idx="548">
                  <c:v>6.6375413272166617E-2</c:v>
                </c:pt>
                <c:pt idx="549">
                  <c:v>6.6375468952582034E-2</c:v>
                </c:pt>
                <c:pt idx="550">
                  <c:v>6.6375523628532357E-2</c:v>
                </c:pt>
                <c:pt idx="551">
                  <c:v>6.6375577318137965E-2</c:v>
                </c:pt>
                <c:pt idx="552">
                  <c:v>6.6375630039192335E-2</c:v>
                </c:pt>
                <c:pt idx="553">
                  <c:v>6.6375681809167975E-2</c:v>
                </c:pt>
                <c:pt idx="554">
                  <c:v>6.6375732645222174E-2</c:v>
                </c:pt>
                <c:pt idx="555">
                  <c:v>6.637578256420272E-2</c:v>
                </c:pt>
                <c:pt idx="556">
                  <c:v>6.6375831582653463E-2</c:v>
                </c:pt>
                <c:pt idx="557">
                  <c:v>6.6375879716819797E-2</c:v>
                </c:pt>
                <c:pt idx="558">
                  <c:v>6.6375926982654071E-2</c:v>
                </c:pt>
                <c:pt idx="559">
                  <c:v>6.6375973395820839E-2</c:v>
                </c:pt>
                <c:pt idx="560">
                  <c:v>6.6376018971702075E-2</c:v>
                </c:pt>
                <c:pt idx="561">
                  <c:v>6.6376063725402265E-2</c:v>
                </c:pt>
                <c:pt idx="562">
                  <c:v>6.637610767175342E-2</c:v>
                </c:pt>
                <c:pt idx="563">
                  <c:v>6.6376150825319974E-2</c:v>
                </c:pt>
                <c:pt idx="564">
                  <c:v>6.6376193200403624E-2</c:v>
                </c:pt>
                <c:pt idx="565">
                  <c:v>6.6376234811048068E-2</c:v>
                </c:pt>
                <c:pt idx="566">
                  <c:v>6.6376275671043664E-2</c:v>
                </c:pt>
                <c:pt idx="567">
                  <c:v>6.6376315793931981E-2</c:v>
                </c:pt>
                <c:pt idx="568">
                  <c:v>6.63763551930103E-2</c:v>
                </c:pt>
                <c:pt idx="569">
                  <c:v>6.6376393881336038E-2</c:v>
                </c:pt>
                <c:pt idx="570">
                  <c:v>6.6376431871731048E-2</c:v>
                </c:pt>
                <c:pt idx="571">
                  <c:v>6.6376469176785885E-2</c:v>
                </c:pt>
                <c:pt idx="572">
                  <c:v>6.6376505808863964E-2</c:v>
                </c:pt>
                <c:pt idx="573">
                  <c:v>6.6376541780105658E-2</c:v>
                </c:pt>
                <c:pt idx="574">
                  <c:v>6.637657710243236E-2</c:v>
                </c:pt>
                <c:pt idx="575">
                  <c:v>6.6376611787550374E-2</c:v>
                </c:pt>
                <c:pt idx="576">
                  <c:v>6.6376645846954838E-2</c:v>
                </c:pt>
                <c:pt idx="577">
                  <c:v>6.6376679291933513E-2</c:v>
                </c:pt>
                <c:pt idx="578">
                  <c:v>6.6376712133570534E-2</c:v>
                </c:pt>
                <c:pt idx="579">
                  <c:v>6.6376744382750083E-2</c:v>
                </c:pt>
                <c:pt idx="580">
                  <c:v>6.637677605016E-2</c:v>
                </c:pt>
                <c:pt idx="581">
                  <c:v>6.6376807146295291E-2</c:v>
                </c:pt>
                <c:pt idx="582">
                  <c:v>6.6376837681461659E-2</c:v>
                </c:pt>
                <c:pt idx="583">
                  <c:v>6.6376867665778896E-2</c:v>
                </c:pt>
                <c:pt idx="584">
                  <c:v>6.6376897109184207E-2</c:v>
                </c:pt>
                <c:pt idx="585">
                  <c:v>6.6376926021435564E-2</c:v>
                </c:pt>
                <c:pt idx="586">
                  <c:v>6.63769544121149E-2</c:v>
                </c:pt>
                <c:pt idx="587">
                  <c:v>6.637698229063127E-2</c:v>
                </c:pt>
                <c:pt idx="588">
                  <c:v>6.6377009666224007E-2</c:v>
                </c:pt>
                <c:pt idx="589">
                  <c:v>6.637703654796577E-2</c:v>
                </c:pt>
                <c:pt idx="590">
                  <c:v>6.6377062944765544E-2</c:v>
                </c:pt>
                <c:pt idx="591">
                  <c:v>6.6377088865371595E-2</c:v>
                </c:pt>
                <c:pt idx="592">
                  <c:v>6.6377114318374383E-2</c:v>
                </c:pt>
                <c:pt idx="593">
                  <c:v>6.6377139312209385E-2</c:v>
                </c:pt>
                <c:pt idx="594">
                  <c:v>6.6377163855159918E-2</c:v>
                </c:pt>
                <c:pt idx="595">
                  <c:v>6.6377187955359851E-2</c:v>
                </c:pt>
                <c:pt idx="596">
                  <c:v>6.6377211620796336E-2</c:v>
                </c:pt>
                <c:pt idx="597">
                  <c:v>6.637723485931242E-2</c:v>
                </c:pt>
                <c:pt idx="598">
                  <c:v>6.6377257678609677E-2</c:v>
                </c:pt>
                <c:pt idx="599">
                  <c:v>6.6377280086250739E-2</c:v>
                </c:pt>
                <c:pt idx="600">
                  <c:v>6.6377302089661819E-2</c:v>
                </c:pt>
                <c:pt idx="601">
                  <c:v>6.6377323696135165E-2</c:v>
                </c:pt>
                <c:pt idx="602">
                  <c:v>6.6377344912831454E-2</c:v>
                </c:pt>
                <c:pt idx="603">
                  <c:v>6.6377365746782199E-2</c:v>
                </c:pt>
                <c:pt idx="604">
                  <c:v>6.6377386204892058E-2</c:v>
                </c:pt>
                <c:pt idx="605">
                  <c:v>6.6377406293941149E-2</c:v>
                </c:pt>
                <c:pt idx="606">
                  <c:v>6.6377426020587257E-2</c:v>
                </c:pt>
                <c:pt idx="607">
                  <c:v>6.637744539136807E-2</c:v>
                </c:pt>
                <c:pt idx="608">
                  <c:v>6.6377464412703327E-2</c:v>
                </c:pt>
                <c:pt idx="609">
                  <c:v>6.6377483090896972E-2</c:v>
                </c:pt>
                <c:pt idx="610">
                  <c:v>6.6377501432139233E-2</c:v>
                </c:pt>
                <c:pt idx="611">
                  <c:v>6.6377519442508637E-2</c:v>
                </c:pt>
                <c:pt idx="612">
                  <c:v>6.6377537127974076E-2</c:v>
                </c:pt>
                <c:pt idx="613">
                  <c:v>6.6377554494396779E-2</c:v>
                </c:pt>
                <c:pt idx="614">
                  <c:v>6.637757154753221E-2</c:v>
                </c:pt>
                <c:pt idx="615">
                  <c:v>6.6377588293032017E-2</c:v>
                </c:pt>
                <c:pt idx="616">
                  <c:v>6.6377604736445883E-2</c:v>
                </c:pt>
                <c:pt idx="617">
                  <c:v>6.6377620883223395E-2</c:v>
                </c:pt>
                <c:pt idx="618">
                  <c:v>6.6377636738715828E-2</c:v>
                </c:pt>
                <c:pt idx="619">
                  <c:v>6.6377652308177909E-2</c:v>
                </c:pt>
                <c:pt idx="620">
                  <c:v>6.637766759676958E-2</c:v>
                </c:pt>
                <c:pt idx="621">
                  <c:v>6.6377682609557689E-2</c:v>
                </c:pt>
                <c:pt idx="622">
                  <c:v>6.6377697351517689E-2</c:v>
                </c:pt>
                <c:pt idx="623">
                  <c:v>6.6377711827535268E-2</c:v>
                </c:pt>
                <c:pt idx="624">
                  <c:v>6.6377726042407992E-2</c:v>
                </c:pt>
                <c:pt idx="625">
                  <c:v>6.6377740000846855E-2</c:v>
                </c:pt>
                <c:pt idx="626">
                  <c:v>6.6377753707477893E-2</c:v>
                </c:pt>
                <c:pt idx="627">
                  <c:v>6.6377767166843668E-2</c:v>
                </c:pt>
                <c:pt idx="628">
                  <c:v>6.6377780383404805E-2</c:v>
                </c:pt>
                <c:pt idx="629">
                  <c:v>6.6377793361541454E-2</c:v>
                </c:pt>
                <c:pt idx="630">
                  <c:v>6.6377806105554757E-2</c:v>
                </c:pt>
                <c:pt idx="631">
                  <c:v>6.6377818619668252E-2</c:v>
                </c:pt>
                <c:pt idx="632">
                  <c:v>6.6377830908029303E-2</c:v>
                </c:pt>
                <c:pt idx="633">
                  <c:v>6.6377842974710444E-2</c:v>
                </c:pt>
                <c:pt idx="634">
                  <c:v>6.6377854823710725E-2</c:v>
                </c:pt>
                <c:pt idx="635">
                  <c:v>6.6377866458957088E-2</c:v>
                </c:pt>
                <c:pt idx="636">
                  <c:v>6.6377877884305617E-2</c:v>
                </c:pt>
                <c:pt idx="637">
                  <c:v>6.6377889103542823E-2</c:v>
                </c:pt>
                <c:pt idx="638">
                  <c:v>6.6377900120386926E-2</c:v>
                </c:pt>
                <c:pt idx="639">
                  <c:v>6.6377910938489063E-2</c:v>
                </c:pt>
                <c:pt idx="640">
                  <c:v>6.6377921561434489E-2</c:v>
                </c:pt>
                <c:pt idx="641">
                  <c:v>6.6377931992743819E-2</c:v>
                </c:pt>
                <c:pt idx="642">
                  <c:v>6.6377942235874121E-2</c:v>
                </c:pt>
                <c:pt idx="643">
                  <c:v>6.6377952294220124E-2</c:v>
                </c:pt>
                <c:pt idx="644">
                  <c:v>6.6377962171115301E-2</c:v>
                </c:pt>
                <c:pt idx="645">
                  <c:v>6.6377971869832991E-2</c:v>
                </c:pt>
                <c:pt idx="646">
                  <c:v>6.6377981393587485E-2</c:v>
                </c:pt>
                <c:pt idx="647">
                  <c:v>6.637799074553509E-2</c:v>
                </c:pt>
                <c:pt idx="648">
                  <c:v>6.6377999928775161E-2</c:v>
                </c:pt>
                <c:pt idx="649">
                  <c:v>6.6378008946351166E-2</c:v>
                </c:pt>
                <c:pt idx="650">
                  <c:v>6.637801780125166E-2</c:v>
                </c:pt>
                <c:pt idx="651">
                  <c:v>6.6378026496411266E-2</c:v>
                </c:pt>
                <c:pt idx="652">
                  <c:v>6.6378035034711694E-2</c:v>
                </c:pt>
                <c:pt idx="653">
                  <c:v>6.6378043418982652E-2</c:v>
                </c:pt>
                <c:pt idx="654">
                  <c:v>6.6378051652002806E-2</c:v>
                </c:pt>
                <c:pt idx="655">
                  <c:v>6.6378059736500697E-2</c:v>
                </c:pt>
                <c:pt idx="656">
                  <c:v>6.6378067675155639E-2</c:v>
                </c:pt>
                <c:pt idx="657">
                  <c:v>6.6378075470598624E-2</c:v>
                </c:pt>
                <c:pt idx="658">
                  <c:v>6.6378083125413156E-2</c:v>
                </c:pt>
                <c:pt idx="659">
                  <c:v>6.6378090642136151E-2</c:v>
                </c:pt>
                <c:pt idx="660">
                  <c:v>6.6378098023258766E-2</c:v>
                </c:pt>
                <c:pt idx="661">
                  <c:v>6.63781052712272E-2</c:v>
                </c:pt>
                <c:pt idx="662">
                  <c:v>6.637811238844353E-2</c:v>
                </c:pt>
                <c:pt idx="663">
                  <c:v>6.6378119377266509E-2</c:v>
                </c:pt>
                <c:pt idx="664">
                  <c:v>6.6378126240012325E-2</c:v>
                </c:pt>
                <c:pt idx="665">
                  <c:v>6.6378132978955381E-2</c:v>
                </c:pt>
                <c:pt idx="666">
                  <c:v>6.6378139596329072E-2</c:v>
                </c:pt>
                <c:pt idx="667">
                  <c:v>6.6378146094326476E-2</c:v>
                </c:pt>
                <c:pt idx="668">
                  <c:v>6.6378152475101135E-2</c:v>
                </c:pt>
                <c:pt idx="669">
                  <c:v>6.6378158740767718E-2</c:v>
                </c:pt>
                <c:pt idx="670">
                  <c:v>6.6378164893402758E-2</c:v>
                </c:pt>
                <c:pt idx="671">
                  <c:v>6.6378170935045319E-2</c:v>
                </c:pt>
                <c:pt idx="672">
                  <c:v>6.6378176867697689E-2</c:v>
                </c:pt>
                <c:pt idx="673">
                  <c:v>6.6378182693326029E-2</c:v>
                </c:pt>
                <c:pt idx="674">
                  <c:v>6.6378188413861033E-2</c:v>
                </c:pt>
                <c:pt idx="675">
                  <c:v>6.6378194031198573E-2</c:v>
                </c:pt>
                <c:pt idx="676">
                  <c:v>6.6378199547200312E-2</c:v>
                </c:pt>
                <c:pt idx="677">
                  <c:v>6.6378204963694329E-2</c:v>
                </c:pt>
                <c:pt idx="678">
                  <c:v>6.637821028247573E-2</c:v>
                </c:pt>
                <c:pt idx="679">
                  <c:v>6.6378215505307231E-2</c:v>
                </c:pt>
                <c:pt idx="680">
                  <c:v>6.6378220633919752E-2</c:v>
                </c:pt>
                <c:pt idx="681">
                  <c:v>6.6378225670012989E-2</c:v>
                </c:pt>
                <c:pt idx="682">
                  <c:v>6.6378230615255968E-2</c:v>
                </c:pt>
                <c:pt idx="683">
                  <c:v>6.6378235471287628E-2</c:v>
                </c:pt>
                <c:pt idx="684">
                  <c:v>6.6378240239717307E-2</c:v>
                </c:pt>
                <c:pt idx="685">
                  <c:v>6.6378244922125337E-2</c:v>
                </c:pt>
                <c:pt idx="686">
                  <c:v>6.6378249520063534E-2</c:v>
                </c:pt>
                <c:pt idx="687">
                  <c:v>6.637825403505572E-2</c:v>
                </c:pt>
                <c:pt idx="688">
                  <c:v>6.6378258468598225E-2</c:v>
                </c:pt>
                <c:pt idx="689">
                  <c:v>6.6378262822160389E-2</c:v>
                </c:pt>
                <c:pt idx="690">
                  <c:v>6.6378267097185042E-2</c:v>
                </c:pt>
                <c:pt idx="691">
                  <c:v>6.6378271295088984E-2</c:v>
                </c:pt>
                <c:pt idx="692">
                  <c:v>6.637827541726346E-2</c:v>
                </c:pt>
                <c:pt idx="693">
                  <c:v>6.6378279465074616E-2</c:v>
                </c:pt>
                <c:pt idx="694">
                  <c:v>6.6378283439863961E-2</c:v>
                </c:pt>
                <c:pt idx="695">
                  <c:v>6.6378287342948789E-2</c:v>
                </c:pt>
                <c:pt idx="696">
                  <c:v>6.6378291175622647E-2</c:v>
                </c:pt>
                <c:pt idx="697">
                  <c:v>6.637829493915573E-2</c:v>
                </c:pt>
                <c:pt idx="698">
                  <c:v>6.6378298634795316E-2</c:v>
                </c:pt>
                <c:pt idx="699">
                  <c:v>6.6378302263766203E-2</c:v>
                </c:pt>
                <c:pt idx="700">
                  <c:v>6.6378305827271084E-2</c:v>
                </c:pt>
                <c:pt idx="701">
                  <c:v>6.6378309326490942E-2</c:v>
                </c:pt>
                <c:pt idx="702">
                  <c:v>6.6378312762585476E-2</c:v>
                </c:pt>
                <c:pt idx="703">
                  <c:v>6.6378316136693469E-2</c:v>
                </c:pt>
                <c:pt idx="704">
                  <c:v>6.6378319449933124E-2</c:v>
                </c:pt>
                <c:pt idx="705">
                  <c:v>6.6378322703402506E-2</c:v>
                </c:pt>
                <c:pt idx="706">
                  <c:v>6.6378325898179866E-2</c:v>
                </c:pt>
                <c:pt idx="707">
                  <c:v>6.6378329035323994E-2</c:v>
                </c:pt>
                <c:pt idx="708">
                  <c:v>6.6378332115874586E-2</c:v>
                </c:pt>
                <c:pt idx="709">
                  <c:v>6.6378335140852576E-2</c:v>
                </c:pt>
                <c:pt idx="710">
                  <c:v>6.6378338111260482E-2</c:v>
                </c:pt>
                <c:pt idx="711">
                  <c:v>6.6378341028082738E-2</c:v>
                </c:pt>
                <c:pt idx="712">
                  <c:v>6.6378343892286029E-2</c:v>
                </c:pt>
                <c:pt idx="713">
                  <c:v>6.6378346704819582E-2</c:v>
                </c:pt>
                <c:pt idx="714">
                  <c:v>6.6378349466615513E-2</c:v>
                </c:pt>
                <c:pt idx="715">
                  <c:v>6.6378352178589131E-2</c:v>
                </c:pt>
                <c:pt idx="716">
                  <c:v>6.6378354841639203E-2</c:v>
                </c:pt>
                <c:pt idx="717">
                  <c:v>6.6378357456648315E-2</c:v>
                </c:pt>
                <c:pt idx="718">
                  <c:v>6.6378360024483107E-2</c:v>
                </c:pt>
                <c:pt idx="719">
                  <c:v>6.6378362545994607E-2</c:v>
                </c:pt>
                <c:pt idx="720">
                  <c:v>6.6378365022018479E-2</c:v>
                </c:pt>
                <c:pt idx="721">
                  <c:v>6.6378367453375303E-2</c:v>
                </c:pt>
                <c:pt idx="722">
                  <c:v>6.6378369840870866E-2</c:v>
                </c:pt>
                <c:pt idx="723">
                  <c:v>6.6378372185296422E-2</c:v>
                </c:pt>
                <c:pt idx="724">
                  <c:v>6.6378374487428948E-2</c:v>
                </c:pt>
                <c:pt idx="725">
                  <c:v>6.6378376748031404E-2</c:v>
                </c:pt>
                <c:pt idx="726">
                  <c:v>6.637837896785298E-2</c:v>
                </c:pt>
                <c:pt idx="727">
                  <c:v>6.6378381147629353E-2</c:v>
                </c:pt>
                <c:pt idx="728">
                  <c:v>6.6378383288082932E-2</c:v>
                </c:pt>
                <c:pt idx="729">
                  <c:v>6.6378385389923106E-2</c:v>
                </c:pt>
                <c:pt idx="730">
                  <c:v>6.6378387453846444E-2</c:v>
                </c:pt>
                <c:pt idx="731">
                  <c:v>6.6378389480536953E-2</c:v>
                </c:pt>
                <c:pt idx="732">
                  <c:v>6.637839147066632E-2</c:v>
                </c:pt>
                <c:pt idx="733">
                  <c:v>6.63783934248941E-2</c:v>
                </c:pt>
                <c:pt idx="734">
                  <c:v>6.6378395343867941E-2</c:v>
                </c:pt>
                <c:pt idx="735">
                  <c:v>6.637839722822382E-2</c:v>
                </c:pt>
                <c:pt idx="736">
                  <c:v>6.6378399078586253E-2</c:v>
                </c:pt>
                <c:pt idx="737">
                  <c:v>6.6378400895568457E-2</c:v>
                </c:pt>
                <c:pt idx="738">
                  <c:v>6.6378402679772616E-2</c:v>
                </c:pt>
                <c:pt idx="739">
                  <c:v>6.637840443179005E-2</c:v>
                </c:pt>
                <c:pt idx="740">
                  <c:v>6.6378406152201391E-2</c:v>
                </c:pt>
                <c:pt idx="741">
                  <c:v>6.6378407841576809E-2</c:v>
                </c:pt>
                <c:pt idx="742">
                  <c:v>6.6378409500476174E-2</c:v>
                </c:pt>
                <c:pt idx="743">
                  <c:v>6.6378411129449283E-2</c:v>
                </c:pt>
                <c:pt idx="744">
                  <c:v>6.6378412729035996E-2</c:v>
                </c:pt>
                <c:pt idx="745">
                  <c:v>6.6378414299766444E-2</c:v>
                </c:pt>
                <c:pt idx="746">
                  <c:v>6.6378415842161184E-2</c:v>
                </c:pt>
                <c:pt idx="747">
                  <c:v>6.637841735673139E-2</c:v>
                </c:pt>
                <c:pt idx="748">
                  <c:v>6.6378418843979006E-2</c:v>
                </c:pt>
                <c:pt idx="749">
                  <c:v>6.6378420304396932E-2</c:v>
                </c:pt>
                <c:pt idx="750">
                  <c:v>6.6378421738469182E-2</c:v>
                </c:pt>
                <c:pt idx="751">
                  <c:v>6.6378423146671015E-2</c:v>
                </c:pt>
                <c:pt idx="752">
                  <c:v>6.6378424529469127E-2</c:v>
                </c:pt>
                <c:pt idx="753">
                  <c:v>6.637842588732179E-2</c:v>
                </c:pt>
                <c:pt idx="754">
                  <c:v>6.6378427220679034E-2</c:v>
                </c:pt>
                <c:pt idx="755">
                  <c:v>6.6378428529982741E-2</c:v>
                </c:pt>
                <c:pt idx="756">
                  <c:v>6.6378429815666828E-2</c:v>
                </c:pt>
                <c:pt idx="757">
                  <c:v>6.6378431078157399E-2</c:v>
                </c:pt>
                <c:pt idx="758">
                  <c:v>6.6378432317872854E-2</c:v>
                </c:pt>
                <c:pt idx="759">
                  <c:v>6.637843353522406E-2</c:v>
                </c:pt>
                <c:pt idx="760">
                  <c:v>6.6378434730614458E-2</c:v>
                </c:pt>
                <c:pt idx="761">
                  <c:v>6.6378435904440217E-2</c:v>
                </c:pt>
                <c:pt idx="762">
                  <c:v>6.6378437057090373E-2</c:v>
                </c:pt>
                <c:pt idx="763">
                  <c:v>6.6378438188946912E-2</c:v>
                </c:pt>
                <c:pt idx="764">
                  <c:v>6.637843930038495E-2</c:v>
                </c:pt>
                <c:pt idx="765">
                  <c:v>6.6378440391772847E-2</c:v>
                </c:pt>
                <c:pt idx="766">
                  <c:v>6.6378441463472285E-2</c:v>
                </c:pt>
                <c:pt idx="767">
                  <c:v>6.6378442515838451E-2</c:v>
                </c:pt>
                <c:pt idx="768">
                  <c:v>6.6378443549220123E-2</c:v>
                </c:pt>
                <c:pt idx="769">
                  <c:v>6.6378444563959763E-2</c:v>
                </c:pt>
                <c:pt idx="770">
                  <c:v>6.637844556039367E-2</c:v>
                </c:pt>
                <c:pt idx="771">
                  <c:v>6.6378446538852082E-2</c:v>
                </c:pt>
                <c:pt idx="772">
                  <c:v>6.6378447499659279E-2</c:v>
                </c:pt>
                <c:pt idx="773">
                  <c:v>6.6378448443133675E-2</c:v>
                </c:pt>
                <c:pt idx="774">
                  <c:v>6.6378449369587963E-2</c:v>
                </c:pt>
                <c:pt idx="775">
                  <c:v>6.6378450279329176E-2</c:v>
                </c:pt>
                <c:pt idx="776">
                  <c:v>6.6378451172658809E-2</c:v>
                </c:pt>
                <c:pt idx="777">
                  <c:v>6.637845204987293E-2</c:v>
                </c:pt>
                <c:pt idx="778">
                  <c:v>6.6378452911262251E-2</c:v>
                </c:pt>
                <c:pt idx="779">
                  <c:v>6.6378453757112266E-2</c:v>
                </c:pt>
                <c:pt idx="780">
                  <c:v>6.6378454587703292E-2</c:v>
                </c:pt>
                <c:pt idx="781">
                  <c:v>6.6378455403310596E-2</c:v>
                </c:pt>
                <c:pt idx="782">
                  <c:v>6.6378456204204489E-2</c:v>
                </c:pt>
                <c:pt idx="783">
                  <c:v>6.6378456990650397E-2</c:v>
                </c:pt>
                <c:pt idx="784">
                  <c:v>6.6378457762908946E-2</c:v>
                </c:pt>
                <c:pt idx="785">
                  <c:v>6.6378458521236083E-2</c:v>
                </c:pt>
                <c:pt idx="786">
                  <c:v>6.6378459265883136E-2</c:v>
                </c:pt>
                <c:pt idx="787">
                  <c:v>6.6378459997096878E-2</c:v>
                </c:pt>
                <c:pt idx="788">
                  <c:v>6.6378460715119658E-2</c:v>
                </c:pt>
                <c:pt idx="789">
                  <c:v>6.6378461420189425E-2</c:v>
                </c:pt>
                <c:pt idx="790">
                  <c:v>6.6378462112539852E-2</c:v>
                </c:pt>
                <c:pt idx="791">
                  <c:v>6.6378462792400408E-2</c:v>
                </c:pt>
                <c:pt idx="792">
                  <c:v>6.6378463459996387E-2</c:v>
                </c:pt>
                <c:pt idx="793">
                  <c:v>6.6378464115549055E-2</c:v>
                </c:pt>
                <c:pt idx="794">
                  <c:v>6.6378464759275668E-2</c:v>
                </c:pt>
                <c:pt idx="795">
                  <c:v>6.6378465391389557E-2</c:v>
                </c:pt>
                <c:pt idx="796">
                  <c:v>6.6378466012100221E-2</c:v>
                </c:pt>
                <c:pt idx="797">
                  <c:v>6.6378466621613369E-2</c:v>
                </c:pt>
                <c:pt idx="798">
                  <c:v>6.6378467220131007E-2</c:v>
                </c:pt>
                <c:pt idx="799">
                  <c:v>6.6378467807851491E-2</c:v>
                </c:pt>
                <c:pt idx="800">
                  <c:v>6.6378468384969594E-2</c:v>
                </c:pt>
                <c:pt idx="801">
                  <c:v>6.6378468951676595E-2</c:v>
                </c:pt>
                <c:pt idx="802">
                  <c:v>6.6378469508160301E-2</c:v>
                </c:pt>
                <c:pt idx="803">
                  <c:v>6.6378470054605135E-2</c:v>
                </c:pt>
                <c:pt idx="804">
                  <c:v>6.6378470591192201E-2</c:v>
                </c:pt>
                <c:pt idx="805">
                  <c:v>6.637847111809933E-2</c:v>
                </c:pt>
                <c:pt idx="806">
                  <c:v>6.6378471635501146E-2</c:v>
                </c:pt>
                <c:pt idx="807">
                  <c:v>6.6378472143569123E-2</c:v>
                </c:pt>
                <c:pt idx="808">
                  <c:v>6.6378472642471639E-2</c:v>
                </c:pt>
                <c:pt idx="809">
                  <c:v>6.6378473132374036E-2</c:v>
                </c:pt>
                <c:pt idx="810">
                  <c:v>6.6378473613438682E-2</c:v>
                </c:pt>
                <c:pt idx="811">
                  <c:v>6.6378474085825007E-2</c:v>
                </c:pt>
                <c:pt idx="812">
                  <c:v>6.6378474549689551E-2</c:v>
                </c:pt>
                <c:pt idx="813">
                  <c:v>6.6378475005186066E-2</c:v>
                </c:pt>
                <c:pt idx="814">
                  <c:v>6.6378475452465502E-2</c:v>
                </c:pt>
                <c:pt idx="815">
                  <c:v>6.6378475891676086E-2</c:v>
                </c:pt>
                <c:pt idx="816">
                  <c:v>6.6378476322963398E-2</c:v>
                </c:pt>
                <c:pt idx="817">
                  <c:v>6.6378476746470363E-2</c:v>
                </c:pt>
                <c:pt idx="818">
                  <c:v>6.6378477162337329E-2</c:v>
                </c:pt>
                <c:pt idx="819">
                  <c:v>6.637847757070213E-2</c:v>
                </c:pt>
                <c:pt idx="820">
                  <c:v>6.6378477971700101E-2</c:v>
                </c:pt>
                <c:pt idx="821">
                  <c:v>6.6378478365464136E-2</c:v>
                </c:pt>
                <c:pt idx="822">
                  <c:v>6.6378478752124728E-2</c:v>
                </c:pt>
                <c:pt idx="823">
                  <c:v>6.6378479131810039E-2</c:v>
                </c:pt>
                <c:pt idx="824">
                  <c:v>6.6378479504645885E-2</c:v>
                </c:pt>
                <c:pt idx="825">
                  <c:v>6.6378479870755847E-2</c:v>
                </c:pt>
                <c:pt idx="826">
                  <c:v>6.6378480230261244E-2</c:v>
                </c:pt>
                <c:pt idx="827">
                  <c:v>6.6378480583281219E-2</c:v>
                </c:pt>
                <c:pt idx="828">
                  <c:v>6.6378480929932773E-2</c:v>
                </c:pt>
                <c:pt idx="829">
                  <c:v>6.6378481270330802E-2</c:v>
                </c:pt>
                <c:pt idx="830">
                  <c:v>6.6378481604588105E-2</c:v>
                </c:pt>
                <c:pt idx="831">
                  <c:v>6.6378481932815467E-2</c:v>
                </c:pt>
                <c:pt idx="832">
                  <c:v>6.6378482255121662E-2</c:v>
                </c:pt>
                <c:pt idx="833">
                  <c:v>6.6378482571613509E-2</c:v>
                </c:pt>
                <c:pt idx="834">
                  <c:v>6.6378482882395895E-2</c:v>
                </c:pt>
                <c:pt idx="835">
                  <c:v>6.6378483187571821E-2</c:v>
                </c:pt>
                <c:pt idx="836">
                  <c:v>6.6378483487242429E-2</c:v>
                </c:pt>
                <c:pt idx="837">
                  <c:v>6.6378483781507028E-2</c:v>
                </c:pt>
                <c:pt idx="838">
                  <c:v>6.6378484070463151E-2</c:v>
                </c:pt>
                <c:pt idx="839">
                  <c:v>6.6378484354206554E-2</c:v>
                </c:pt>
                <c:pt idx="840">
                  <c:v>6.6378484632831275E-2</c:v>
                </c:pt>
                <c:pt idx="841">
                  <c:v>6.6378484906429655E-2</c:v>
                </c:pt>
                <c:pt idx="842">
                  <c:v>6.6378485175092358E-2</c:v>
                </c:pt>
                <c:pt idx="843">
                  <c:v>6.6378485438908438E-2</c:v>
                </c:pt>
                <c:pt idx="844">
                  <c:v>6.6378485697965325E-2</c:v>
                </c:pt>
                <c:pt idx="845">
                  <c:v>6.6378485952348867E-2</c:v>
                </c:pt>
                <c:pt idx="846">
                  <c:v>6.6378486202143372E-2</c:v>
                </c:pt>
                <c:pt idx="847">
                  <c:v>6.637848644743162E-2</c:v>
                </c:pt>
                <c:pt idx="848">
                  <c:v>6.6378486688294921E-2</c:v>
                </c:pt>
                <c:pt idx="849">
                  <c:v>6.6378486924813088E-2</c:v>
                </c:pt>
                <c:pt idx="850">
                  <c:v>6.63784871570645E-2</c:v>
                </c:pt>
                <c:pt idx="851">
                  <c:v>6.6378487385126139E-2</c:v>
                </c:pt>
                <c:pt idx="852">
                  <c:v>6.6378487609073583E-2</c:v>
                </c:pt>
                <c:pt idx="853">
                  <c:v>6.6378487828981064E-2</c:v>
                </c:pt>
                <c:pt idx="854">
                  <c:v>6.6378488044921441E-2</c:v>
                </c:pt>
                <c:pt idx="855">
                  <c:v>6.6378488256966295E-2</c:v>
                </c:pt>
                <c:pt idx="856">
                  <c:v>6.6378488465185903E-2</c:v>
                </c:pt>
                <c:pt idx="857">
                  <c:v>6.6378488669649266E-2</c:v>
                </c:pt>
                <c:pt idx="858">
                  <c:v>6.6378488870424135E-2</c:v>
                </c:pt>
                <c:pt idx="859">
                  <c:v>6.6378489067577068E-2</c:v>
                </c:pt>
                <c:pt idx="860">
                  <c:v>6.6378489261173387E-2</c:v>
                </c:pt>
                <c:pt idx="861">
                  <c:v>6.6378489451277264E-2</c:v>
                </c:pt>
                <c:pt idx="862">
                  <c:v>6.6378489637951704E-2</c:v>
                </c:pt>
                <c:pt idx="863">
                  <c:v>6.6378489821258574E-2</c:v>
                </c:pt>
                <c:pt idx="864">
                  <c:v>6.6378490001258617E-2</c:v>
                </c:pt>
                <c:pt idx="865">
                  <c:v>6.6378490178011493E-2</c:v>
                </c:pt>
                <c:pt idx="866">
                  <c:v>6.6378490351575767E-2</c:v>
                </c:pt>
                <c:pt idx="867">
                  <c:v>6.6378490522008976E-2</c:v>
                </c:pt>
                <c:pt idx="868">
                  <c:v>6.6378490689367603E-2</c:v>
                </c:pt>
                <c:pt idx="869">
                  <c:v>6.6378490853707103E-2</c:v>
                </c:pt>
                <c:pt idx="870">
                  <c:v>6.6378491015081947E-2</c:v>
                </c:pt>
                <c:pt idx="871">
                  <c:v>6.637849117354562E-2</c:v>
                </c:pt>
                <c:pt idx="872">
                  <c:v>6.6378491329150635E-2</c:v>
                </c:pt>
                <c:pt idx="873">
                  <c:v>6.6378491481948562E-2</c:v>
                </c:pt>
                <c:pt idx="874">
                  <c:v>6.6378491631990041E-2</c:v>
                </c:pt>
                <c:pt idx="875">
                  <c:v>6.6378491779324797E-2</c:v>
                </c:pt>
                <c:pt idx="876">
                  <c:v>6.6378491924001665E-2</c:v>
                </c:pt>
                <c:pt idx="877">
                  <c:v>6.6378492066068578E-2</c:v>
                </c:pt>
                <c:pt idx="878">
                  <c:v>6.637849220557264E-2</c:v>
                </c:pt>
                <c:pt idx="879">
                  <c:v>6.6378492342560061E-2</c:v>
                </c:pt>
                <c:pt idx="880">
                  <c:v>6.6378492477076251E-2</c:v>
                </c:pt>
                <c:pt idx="881">
                  <c:v>6.6378492609165798E-2</c:v>
                </c:pt>
                <c:pt idx="882">
                  <c:v>6.6378492738872474E-2</c:v>
                </c:pt>
                <c:pt idx="883">
                  <c:v>6.6378492866239258E-2</c:v>
                </c:pt>
                <c:pt idx="884">
                  <c:v>6.6378492991308366E-2</c:v>
                </c:pt>
                <c:pt idx="885">
                  <c:v>6.6378493114121251E-2</c:v>
                </c:pt>
                <c:pt idx="886">
                  <c:v>6.6378493234718616E-2</c:v>
                </c:pt>
                <c:pt idx="887">
                  <c:v>6.637849335314043E-2</c:v>
                </c:pt>
                <c:pt idx="888">
                  <c:v>6.6378493469425925E-2</c:v>
                </c:pt>
                <c:pt idx="889">
                  <c:v>6.6378493583613654E-2</c:v>
                </c:pt>
                <c:pt idx="890">
                  <c:v>6.6378493695741461E-2</c:v>
                </c:pt>
                <c:pt idx="891">
                  <c:v>6.6378493805846497E-2</c:v>
                </c:pt>
                <c:pt idx="892">
                  <c:v>6.6378493913965261E-2</c:v>
                </c:pt>
                <c:pt idx="893">
                  <c:v>6.6378494020133572E-2</c:v>
                </c:pt>
                <c:pt idx="894">
                  <c:v>6.6378494124386636E-2</c:v>
                </c:pt>
                <c:pt idx="895">
                  <c:v>6.6378494226758983E-2</c:v>
                </c:pt>
                <c:pt idx="896">
                  <c:v>6.6378494327284557E-2</c:v>
                </c:pt>
                <c:pt idx="897">
                  <c:v>6.6378494425996665E-2</c:v>
                </c:pt>
                <c:pt idx="898">
                  <c:v>6.6378494522928017E-2</c:v>
                </c:pt>
                <c:pt idx="899">
                  <c:v>6.6378494618110753E-2</c:v>
                </c:pt>
                <c:pt idx="900">
                  <c:v>6.6378494711576405E-2</c:v>
                </c:pt>
                <c:pt idx="901">
                  <c:v>6.6378494803355961E-2</c:v>
                </c:pt>
                <c:pt idx="902">
                  <c:v>6.6378494893479828E-2</c:v>
                </c:pt>
                <c:pt idx="903">
                  <c:v>6.637849498197787E-2</c:v>
                </c:pt>
                <c:pt idx="904">
                  <c:v>6.6378495068879426E-2</c:v>
                </c:pt>
                <c:pt idx="905">
                  <c:v>6.6378495154213291E-2</c:v>
                </c:pt>
                <c:pt idx="906">
                  <c:v>6.6378495238007748E-2</c:v>
                </c:pt>
                <c:pt idx="907">
                  <c:v>6.6378495320290568E-2</c:v>
                </c:pt>
                <c:pt idx="908">
                  <c:v>6.6378495401089019E-2</c:v>
                </c:pt>
                <c:pt idx="909">
                  <c:v>6.6378495480429886E-2</c:v>
                </c:pt>
                <c:pt idx="910">
                  <c:v>6.6378495558339454E-2</c:v>
                </c:pt>
                <c:pt idx="911">
                  <c:v>6.6378495634843548E-2</c:v>
                </c:pt>
                <c:pt idx="912">
                  <c:v>6.6378495709967511E-2</c:v>
                </c:pt>
                <c:pt idx="913">
                  <c:v>6.6378495783736252E-2</c:v>
                </c:pt>
                <c:pt idx="914">
                  <c:v>6.6378495856174224E-2</c:v>
                </c:pt>
                <c:pt idx="915">
                  <c:v>6.6378495927305423E-2</c:v>
                </c:pt>
                <c:pt idx="916">
                  <c:v>6.6378495997153425E-2</c:v>
                </c:pt>
                <c:pt idx="917">
                  <c:v>6.637849606574138E-2</c:v>
                </c:pt>
                <c:pt idx="918">
                  <c:v>6.6378496133092033E-2</c:v>
                </c:pt>
                <c:pt idx="919">
                  <c:v>6.6378496199227685E-2</c:v>
                </c:pt>
                <c:pt idx="920">
                  <c:v>6.6378496264170264E-2</c:v>
                </c:pt>
                <c:pt idx="921">
                  <c:v>6.6378496327941294E-2</c:v>
                </c:pt>
                <c:pt idx="922">
                  <c:v>6.6378496390561897E-2</c:v>
                </c:pt>
                <c:pt idx="923">
                  <c:v>6.6378496452052835E-2</c:v>
                </c:pt>
                <c:pt idx="924">
                  <c:v>6.6378496512434493E-2</c:v>
                </c:pt>
                <c:pt idx="925">
                  <c:v>6.6378496571726869E-2</c:v>
                </c:pt>
                <c:pt idx="926">
                  <c:v>6.6378496629949629E-2</c:v>
                </c:pt>
                <c:pt idx="927">
                  <c:v>6.6378496687122063E-2</c:v>
                </c:pt>
                <c:pt idx="928">
                  <c:v>6.6378496743263113E-2</c:v>
                </c:pt>
                <c:pt idx="929">
                  <c:v>6.637849679839139E-2</c:v>
                </c:pt>
                <c:pt idx="930">
                  <c:v>6.6378496852525157E-2</c:v>
                </c:pt>
                <c:pt idx="931">
                  <c:v>6.6378496905682358E-2</c:v>
                </c:pt>
                <c:pt idx="932">
                  <c:v>6.6378496957880617E-2</c:v>
                </c:pt>
                <c:pt idx="933">
                  <c:v>6.6378497009137227E-2</c:v>
                </c:pt>
                <c:pt idx="934">
                  <c:v>6.6378497059469174E-2</c:v>
                </c:pt>
                <c:pt idx="935">
                  <c:v>6.6378497108893139E-2</c:v>
                </c:pt>
                <c:pt idx="936">
                  <c:v>6.6378497157425512E-2</c:v>
                </c:pt>
                <c:pt idx="937">
                  <c:v>6.6378497205082362E-2</c:v>
                </c:pt>
                <c:pt idx="938">
                  <c:v>6.6378497251879498E-2</c:v>
                </c:pt>
                <c:pt idx="939">
                  <c:v>6.637849729783242E-2</c:v>
                </c:pt>
                <c:pt idx="940">
                  <c:v>6.6378497342956352E-2</c:v>
                </c:pt>
                <c:pt idx="941">
                  <c:v>6.6378497387266255E-2</c:v>
                </c:pt>
                <c:pt idx="942">
                  <c:v>6.6378497430776826E-2</c:v>
                </c:pt>
                <c:pt idx="943">
                  <c:v>6.6378497473502468E-2</c:v>
                </c:pt>
                <c:pt idx="944">
                  <c:v>6.6378497515457352E-2</c:v>
                </c:pt>
                <c:pt idx="945">
                  <c:v>6.6378497556655369E-2</c:v>
                </c:pt>
                <c:pt idx="946">
                  <c:v>6.6378497597110189E-2</c:v>
                </c:pt>
                <c:pt idx="947">
                  <c:v>6.6378497636835204E-2</c:v>
                </c:pt>
                <c:pt idx="948">
                  <c:v>6.6378497675843584E-2</c:v>
                </c:pt>
                <c:pt idx="949">
                  <c:v>6.6378497714148263E-2</c:v>
                </c:pt>
                <c:pt idx="950">
                  <c:v>6.6378497751761939E-2</c:v>
                </c:pt>
                <c:pt idx="951">
                  <c:v>6.6378497788697061E-2</c:v>
                </c:pt>
                <c:pt idx="952">
                  <c:v>6.6378497824965882E-2</c:v>
                </c:pt>
                <c:pt idx="953">
                  <c:v>6.6378497860580421E-2</c:v>
                </c:pt>
                <c:pt idx="954">
                  <c:v>6.6378497895552474E-2</c:v>
                </c:pt>
                <c:pt idx="955">
                  <c:v>6.6378497929893643E-2</c:v>
                </c:pt>
                <c:pt idx="956">
                  <c:v>6.6378497963615307E-2</c:v>
                </c:pt>
                <c:pt idx="957">
                  <c:v>6.6378497996728639E-2</c:v>
                </c:pt>
                <c:pt idx="958">
                  <c:v>6.6378498029244615E-2</c:v>
                </c:pt>
                <c:pt idx="959">
                  <c:v>6.6378498061174004E-2</c:v>
                </c:pt>
                <c:pt idx="960">
                  <c:v>6.6378498092527397E-2</c:v>
                </c:pt>
                <c:pt idx="961">
                  <c:v>6.6378498123315172E-2</c:v>
                </c:pt>
                <c:pt idx="962">
                  <c:v>6.6378498153547544E-2</c:v>
                </c:pt>
                <c:pt idx="963">
                  <c:v>6.6378498183234533E-2</c:v>
                </c:pt>
                <c:pt idx="964">
                  <c:v>6.6378498212385964E-2</c:v>
                </c:pt>
                <c:pt idx="965">
                  <c:v>6.637849824101151E-2</c:v>
                </c:pt>
                <c:pt idx="966">
                  <c:v>6.6378498269120664E-2</c:v>
                </c:pt>
                <c:pt idx="967">
                  <c:v>6.6378498296722724E-2</c:v>
                </c:pt>
                <c:pt idx="968">
                  <c:v>6.6378498323826848E-2</c:v>
                </c:pt>
                <c:pt idx="969">
                  <c:v>6.6378498350442017E-2</c:v>
                </c:pt>
                <c:pt idx="970">
                  <c:v>6.6378498376577055E-2</c:v>
                </c:pt>
                <c:pt idx="971">
                  <c:v>6.6378498402240624E-2</c:v>
                </c:pt>
                <c:pt idx="972">
                  <c:v>6.6378498427441229E-2</c:v>
                </c:pt>
                <c:pt idx="973">
                  <c:v>6.6378498452187212E-2</c:v>
                </c:pt>
                <c:pt idx="974">
                  <c:v>6.6378498476486789E-2</c:v>
                </c:pt>
                <c:pt idx="975">
                  <c:v>6.6378498500348007E-2</c:v>
                </c:pt>
                <c:pt idx="976">
                  <c:v>6.6378498523778764E-2</c:v>
                </c:pt>
                <c:pt idx="977">
                  <c:v>6.6378498546786846E-2</c:v>
                </c:pt>
                <c:pt idx="978">
                  <c:v>6.6378498569379857E-2</c:v>
                </c:pt>
                <c:pt idx="979">
                  <c:v>6.6378498591565291E-2</c:v>
                </c:pt>
                <c:pt idx="980">
                  <c:v>6.6378498613350503E-2</c:v>
                </c:pt>
                <c:pt idx="981">
                  <c:v>6.6378498634742725E-2</c:v>
                </c:pt>
                <c:pt idx="982">
                  <c:v>6.6378498655749033E-2</c:v>
                </c:pt>
                <c:pt idx="983">
                  <c:v>6.6378498676376393E-2</c:v>
                </c:pt>
                <c:pt idx="984">
                  <c:v>6.6378498696631635E-2</c:v>
                </c:pt>
                <c:pt idx="985">
                  <c:v>6.6378498716521475E-2</c:v>
                </c:pt>
                <c:pt idx="986">
                  <c:v>6.6378498736052505E-2</c:v>
                </c:pt>
                <c:pt idx="987">
                  <c:v>6.6378498755231205E-2</c:v>
                </c:pt>
                <c:pt idx="988">
                  <c:v>6.6378498774063918E-2</c:v>
                </c:pt>
                <c:pt idx="989">
                  <c:v>6.6378498792556889E-2</c:v>
                </c:pt>
                <c:pt idx="990">
                  <c:v>6.6378498810716252E-2</c:v>
                </c:pt>
                <c:pt idx="991">
                  <c:v>6.637849882854803E-2</c:v>
                </c:pt>
                <c:pt idx="992">
                  <c:v>6.637849884605812E-2</c:v>
                </c:pt>
                <c:pt idx="993">
                  <c:v>6.6378498863252339E-2</c:v>
                </c:pt>
                <c:pt idx="994">
                  <c:v>6.6378498880136375E-2</c:v>
                </c:pt>
                <c:pt idx="995">
                  <c:v>6.6378498896715821E-2</c:v>
                </c:pt>
                <c:pt idx="996">
                  <c:v>6.6378498912996173E-2</c:v>
                </c:pt>
                <c:pt idx="997">
                  <c:v>6.6378498928982829E-2</c:v>
                </c:pt>
                <c:pt idx="998">
                  <c:v>6.6378498944681091E-2</c:v>
                </c:pt>
                <c:pt idx="999">
                  <c:v>6.6378498960096163E-2</c:v>
                </c:pt>
                <c:pt idx="1000">
                  <c:v>6.6378498975233152E-2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6C-42DD-ADCB-A4D884514D36}"/>
            </c:ext>
          </c:extLst>
        </c:ser>
        <c:ser>
          <c:idx val="1"/>
          <c:order val="1"/>
          <c:tx>
            <c:strRef>
              <c:f>Model!$T$24</c:f>
              <c:strCache>
                <c:ptCount val="1"/>
                <c:pt idx="0">
                  <c:v>TL 2: Crustaceans</c:v>
                </c:pt>
              </c:strCache>
            </c:strRef>
          </c:tx>
          <c:spPr>
            <a:ln w="22000">
              <a:solidFill>
                <a:srgbClr val="EDA100"/>
              </a:solidFill>
              <a:prstDash val="solid"/>
            </a:ln>
          </c:spPr>
          <c:marker>
            <c:symbol val="none"/>
          </c:marker>
          <c:xVal>
            <c:numRef>
              <c:f>Model!$R$25:$R$1025</c:f>
              <c:numCache>
                <c:formatCode>0.000</c:formatCode>
                <c:ptCount val="1001"/>
                <c:pt idx="0">
                  <c:v>0</c:v>
                </c:pt>
                <c:pt idx="1">
                  <c:v>0.08</c:v>
                </c:pt>
                <c:pt idx="2">
                  <c:v>0.16</c:v>
                </c:pt>
                <c:pt idx="3">
                  <c:v>0.24</c:v>
                </c:pt>
                <c:pt idx="4">
                  <c:v>0.32</c:v>
                </c:pt>
                <c:pt idx="5">
                  <c:v>0.4</c:v>
                </c:pt>
                <c:pt idx="6">
                  <c:v>0.48000000000000004</c:v>
                </c:pt>
                <c:pt idx="7">
                  <c:v>0.56000000000000005</c:v>
                </c:pt>
                <c:pt idx="8">
                  <c:v>0.64</c:v>
                </c:pt>
                <c:pt idx="9">
                  <c:v>0.72</c:v>
                </c:pt>
                <c:pt idx="10">
                  <c:v>0.79999999999999993</c:v>
                </c:pt>
                <c:pt idx="11">
                  <c:v>0.87999999999999989</c:v>
                </c:pt>
                <c:pt idx="12">
                  <c:v>0.95999999999999985</c:v>
                </c:pt>
                <c:pt idx="13">
                  <c:v>1.0399999999999998</c:v>
                </c:pt>
                <c:pt idx="14">
                  <c:v>1.1199999999999999</c:v>
                </c:pt>
                <c:pt idx="15">
                  <c:v>1.2</c:v>
                </c:pt>
                <c:pt idx="16">
                  <c:v>1.28</c:v>
                </c:pt>
                <c:pt idx="17">
                  <c:v>1.36</c:v>
                </c:pt>
                <c:pt idx="18">
                  <c:v>1.4400000000000002</c:v>
                </c:pt>
                <c:pt idx="19">
                  <c:v>1.5200000000000002</c:v>
                </c:pt>
                <c:pt idx="20">
                  <c:v>1.6000000000000003</c:v>
                </c:pt>
                <c:pt idx="21">
                  <c:v>1.6800000000000004</c:v>
                </c:pt>
                <c:pt idx="22">
                  <c:v>1.7600000000000005</c:v>
                </c:pt>
                <c:pt idx="23">
                  <c:v>1.8400000000000005</c:v>
                </c:pt>
                <c:pt idx="24">
                  <c:v>1.9200000000000006</c:v>
                </c:pt>
                <c:pt idx="25">
                  <c:v>2.0000000000000004</c:v>
                </c:pt>
                <c:pt idx="26">
                  <c:v>2.0800000000000005</c:v>
                </c:pt>
                <c:pt idx="27">
                  <c:v>2.1600000000000006</c:v>
                </c:pt>
                <c:pt idx="28">
                  <c:v>2.2400000000000007</c:v>
                </c:pt>
                <c:pt idx="29">
                  <c:v>2.3200000000000007</c:v>
                </c:pt>
                <c:pt idx="30">
                  <c:v>2.4000000000000008</c:v>
                </c:pt>
                <c:pt idx="31">
                  <c:v>2.4800000000000009</c:v>
                </c:pt>
                <c:pt idx="32">
                  <c:v>2.5600000000000009</c:v>
                </c:pt>
                <c:pt idx="33">
                  <c:v>2.640000000000001</c:v>
                </c:pt>
                <c:pt idx="34">
                  <c:v>2.7200000000000011</c:v>
                </c:pt>
                <c:pt idx="35">
                  <c:v>2.8000000000000012</c:v>
                </c:pt>
                <c:pt idx="36">
                  <c:v>2.8800000000000012</c:v>
                </c:pt>
                <c:pt idx="37">
                  <c:v>2.9600000000000013</c:v>
                </c:pt>
                <c:pt idx="38">
                  <c:v>3.0400000000000014</c:v>
                </c:pt>
                <c:pt idx="39">
                  <c:v>3.1200000000000014</c:v>
                </c:pt>
                <c:pt idx="40">
                  <c:v>3.2000000000000015</c:v>
                </c:pt>
                <c:pt idx="41">
                  <c:v>3.2800000000000016</c:v>
                </c:pt>
                <c:pt idx="42">
                  <c:v>3.3600000000000017</c:v>
                </c:pt>
                <c:pt idx="43">
                  <c:v>3.4400000000000017</c:v>
                </c:pt>
                <c:pt idx="44">
                  <c:v>3.5200000000000018</c:v>
                </c:pt>
                <c:pt idx="45">
                  <c:v>3.6000000000000019</c:v>
                </c:pt>
                <c:pt idx="46">
                  <c:v>3.6800000000000019</c:v>
                </c:pt>
                <c:pt idx="47">
                  <c:v>3.760000000000002</c:v>
                </c:pt>
                <c:pt idx="48">
                  <c:v>3.8400000000000021</c:v>
                </c:pt>
                <c:pt idx="49">
                  <c:v>3.9200000000000021</c:v>
                </c:pt>
                <c:pt idx="50">
                  <c:v>4.0000000000000018</c:v>
                </c:pt>
                <c:pt idx="51">
                  <c:v>4.0800000000000018</c:v>
                </c:pt>
                <c:pt idx="52">
                  <c:v>4.1600000000000019</c:v>
                </c:pt>
                <c:pt idx="53">
                  <c:v>4.240000000000002</c:v>
                </c:pt>
                <c:pt idx="54">
                  <c:v>4.3200000000000021</c:v>
                </c:pt>
                <c:pt idx="55">
                  <c:v>4.4000000000000021</c:v>
                </c:pt>
                <c:pt idx="56">
                  <c:v>4.4800000000000022</c:v>
                </c:pt>
                <c:pt idx="57">
                  <c:v>4.5600000000000023</c:v>
                </c:pt>
                <c:pt idx="58">
                  <c:v>4.6400000000000023</c:v>
                </c:pt>
                <c:pt idx="59">
                  <c:v>4.7200000000000024</c:v>
                </c:pt>
                <c:pt idx="60">
                  <c:v>4.8000000000000025</c:v>
                </c:pt>
                <c:pt idx="61">
                  <c:v>4.8800000000000026</c:v>
                </c:pt>
                <c:pt idx="62">
                  <c:v>4.9600000000000026</c:v>
                </c:pt>
                <c:pt idx="63">
                  <c:v>5.0400000000000027</c:v>
                </c:pt>
                <c:pt idx="64">
                  <c:v>5.1200000000000028</c:v>
                </c:pt>
                <c:pt idx="65">
                  <c:v>5.2000000000000028</c:v>
                </c:pt>
                <c:pt idx="66">
                  <c:v>5.2800000000000029</c:v>
                </c:pt>
                <c:pt idx="67">
                  <c:v>5.360000000000003</c:v>
                </c:pt>
                <c:pt idx="68">
                  <c:v>5.4400000000000031</c:v>
                </c:pt>
                <c:pt idx="69">
                  <c:v>5.5200000000000031</c:v>
                </c:pt>
                <c:pt idx="70">
                  <c:v>5.6000000000000032</c:v>
                </c:pt>
                <c:pt idx="71">
                  <c:v>5.6800000000000033</c:v>
                </c:pt>
                <c:pt idx="72">
                  <c:v>5.7600000000000033</c:v>
                </c:pt>
                <c:pt idx="73">
                  <c:v>5.8400000000000034</c:v>
                </c:pt>
                <c:pt idx="74">
                  <c:v>5.9200000000000035</c:v>
                </c:pt>
                <c:pt idx="75">
                  <c:v>6.0000000000000036</c:v>
                </c:pt>
                <c:pt idx="76">
                  <c:v>6.0800000000000036</c:v>
                </c:pt>
                <c:pt idx="77">
                  <c:v>6.1600000000000037</c:v>
                </c:pt>
                <c:pt idx="78">
                  <c:v>6.2400000000000038</c:v>
                </c:pt>
                <c:pt idx="79">
                  <c:v>6.3200000000000038</c:v>
                </c:pt>
                <c:pt idx="80">
                  <c:v>6.4000000000000039</c:v>
                </c:pt>
                <c:pt idx="81">
                  <c:v>6.480000000000004</c:v>
                </c:pt>
                <c:pt idx="82">
                  <c:v>6.5600000000000041</c:v>
                </c:pt>
                <c:pt idx="83">
                  <c:v>6.6400000000000041</c:v>
                </c:pt>
                <c:pt idx="84">
                  <c:v>6.7200000000000042</c:v>
                </c:pt>
                <c:pt idx="85">
                  <c:v>6.8000000000000043</c:v>
                </c:pt>
                <c:pt idx="86">
                  <c:v>6.8800000000000043</c:v>
                </c:pt>
                <c:pt idx="87">
                  <c:v>6.9600000000000044</c:v>
                </c:pt>
                <c:pt idx="88">
                  <c:v>7.0400000000000045</c:v>
                </c:pt>
                <c:pt idx="89">
                  <c:v>7.1200000000000045</c:v>
                </c:pt>
                <c:pt idx="90">
                  <c:v>7.2000000000000046</c:v>
                </c:pt>
                <c:pt idx="91">
                  <c:v>7.2800000000000047</c:v>
                </c:pt>
                <c:pt idx="92">
                  <c:v>7.3600000000000048</c:v>
                </c:pt>
                <c:pt idx="93">
                  <c:v>7.4400000000000048</c:v>
                </c:pt>
                <c:pt idx="94">
                  <c:v>7.5200000000000049</c:v>
                </c:pt>
                <c:pt idx="95">
                  <c:v>7.600000000000005</c:v>
                </c:pt>
                <c:pt idx="96">
                  <c:v>7.680000000000005</c:v>
                </c:pt>
                <c:pt idx="97">
                  <c:v>7.7600000000000051</c:v>
                </c:pt>
                <c:pt idx="98">
                  <c:v>7.8400000000000052</c:v>
                </c:pt>
                <c:pt idx="99">
                  <c:v>7.9200000000000053</c:v>
                </c:pt>
                <c:pt idx="100">
                  <c:v>8.0000000000000053</c:v>
                </c:pt>
                <c:pt idx="101">
                  <c:v>8.0800000000000054</c:v>
                </c:pt>
                <c:pt idx="102">
                  <c:v>8.1600000000000055</c:v>
                </c:pt>
                <c:pt idx="103">
                  <c:v>8.2400000000000055</c:v>
                </c:pt>
                <c:pt idx="104">
                  <c:v>8.3200000000000056</c:v>
                </c:pt>
                <c:pt idx="105">
                  <c:v>8.4000000000000057</c:v>
                </c:pt>
                <c:pt idx="106">
                  <c:v>8.4800000000000058</c:v>
                </c:pt>
                <c:pt idx="107">
                  <c:v>8.5600000000000058</c:v>
                </c:pt>
                <c:pt idx="108">
                  <c:v>8.6400000000000059</c:v>
                </c:pt>
                <c:pt idx="109">
                  <c:v>8.720000000000006</c:v>
                </c:pt>
                <c:pt idx="110">
                  <c:v>8.800000000000006</c:v>
                </c:pt>
                <c:pt idx="111">
                  <c:v>8.8800000000000061</c:v>
                </c:pt>
                <c:pt idx="112">
                  <c:v>8.9600000000000062</c:v>
                </c:pt>
                <c:pt idx="113">
                  <c:v>9.0400000000000063</c:v>
                </c:pt>
                <c:pt idx="114">
                  <c:v>9.1200000000000063</c:v>
                </c:pt>
                <c:pt idx="115">
                  <c:v>9.2000000000000064</c:v>
                </c:pt>
                <c:pt idx="116">
                  <c:v>9.2800000000000065</c:v>
                </c:pt>
                <c:pt idx="117">
                  <c:v>9.3600000000000065</c:v>
                </c:pt>
                <c:pt idx="118">
                  <c:v>9.4400000000000066</c:v>
                </c:pt>
                <c:pt idx="119">
                  <c:v>9.5200000000000067</c:v>
                </c:pt>
                <c:pt idx="120">
                  <c:v>9.6000000000000068</c:v>
                </c:pt>
                <c:pt idx="121">
                  <c:v>9.6800000000000068</c:v>
                </c:pt>
                <c:pt idx="122">
                  <c:v>9.7600000000000069</c:v>
                </c:pt>
                <c:pt idx="123">
                  <c:v>9.840000000000007</c:v>
                </c:pt>
                <c:pt idx="124">
                  <c:v>9.920000000000007</c:v>
                </c:pt>
                <c:pt idx="125">
                  <c:v>10.000000000000007</c:v>
                </c:pt>
                <c:pt idx="126">
                  <c:v>10.080000000000007</c:v>
                </c:pt>
                <c:pt idx="127">
                  <c:v>10.160000000000007</c:v>
                </c:pt>
                <c:pt idx="128">
                  <c:v>10.240000000000007</c:v>
                </c:pt>
                <c:pt idx="129">
                  <c:v>10.320000000000007</c:v>
                </c:pt>
                <c:pt idx="130">
                  <c:v>10.400000000000007</c:v>
                </c:pt>
                <c:pt idx="131">
                  <c:v>10.480000000000008</c:v>
                </c:pt>
                <c:pt idx="132">
                  <c:v>10.560000000000008</c:v>
                </c:pt>
                <c:pt idx="133">
                  <c:v>10.640000000000008</c:v>
                </c:pt>
                <c:pt idx="134">
                  <c:v>10.720000000000008</c:v>
                </c:pt>
                <c:pt idx="135">
                  <c:v>10.800000000000008</c:v>
                </c:pt>
                <c:pt idx="136">
                  <c:v>10.880000000000008</c:v>
                </c:pt>
                <c:pt idx="137">
                  <c:v>10.960000000000008</c:v>
                </c:pt>
                <c:pt idx="138">
                  <c:v>11.040000000000008</c:v>
                </c:pt>
                <c:pt idx="139">
                  <c:v>11.120000000000008</c:v>
                </c:pt>
                <c:pt idx="140">
                  <c:v>11.200000000000008</c:v>
                </c:pt>
                <c:pt idx="141">
                  <c:v>11.280000000000008</c:v>
                </c:pt>
                <c:pt idx="142">
                  <c:v>11.360000000000008</c:v>
                </c:pt>
                <c:pt idx="143">
                  <c:v>11.440000000000008</c:v>
                </c:pt>
                <c:pt idx="144">
                  <c:v>11.520000000000008</c:v>
                </c:pt>
                <c:pt idx="145">
                  <c:v>11.600000000000009</c:v>
                </c:pt>
                <c:pt idx="146">
                  <c:v>11.680000000000009</c:v>
                </c:pt>
                <c:pt idx="147">
                  <c:v>11.760000000000009</c:v>
                </c:pt>
                <c:pt idx="148">
                  <c:v>11.840000000000009</c:v>
                </c:pt>
                <c:pt idx="149">
                  <c:v>11.920000000000009</c:v>
                </c:pt>
                <c:pt idx="150">
                  <c:v>12.000000000000009</c:v>
                </c:pt>
                <c:pt idx="151">
                  <c:v>12.080000000000009</c:v>
                </c:pt>
                <c:pt idx="152">
                  <c:v>12.160000000000009</c:v>
                </c:pt>
                <c:pt idx="153">
                  <c:v>12.240000000000009</c:v>
                </c:pt>
                <c:pt idx="154">
                  <c:v>12.320000000000009</c:v>
                </c:pt>
                <c:pt idx="155">
                  <c:v>12.400000000000009</c:v>
                </c:pt>
                <c:pt idx="156">
                  <c:v>12.480000000000009</c:v>
                </c:pt>
                <c:pt idx="157">
                  <c:v>12.560000000000009</c:v>
                </c:pt>
                <c:pt idx="158">
                  <c:v>12.640000000000009</c:v>
                </c:pt>
                <c:pt idx="159">
                  <c:v>12.72000000000001</c:v>
                </c:pt>
                <c:pt idx="160">
                  <c:v>12.80000000000001</c:v>
                </c:pt>
                <c:pt idx="161">
                  <c:v>12.88000000000001</c:v>
                </c:pt>
                <c:pt idx="162">
                  <c:v>12.96000000000001</c:v>
                </c:pt>
                <c:pt idx="163">
                  <c:v>13.04000000000001</c:v>
                </c:pt>
                <c:pt idx="164">
                  <c:v>13.12000000000001</c:v>
                </c:pt>
                <c:pt idx="165">
                  <c:v>13.20000000000001</c:v>
                </c:pt>
                <c:pt idx="166">
                  <c:v>13.28000000000001</c:v>
                </c:pt>
                <c:pt idx="167">
                  <c:v>13.36000000000001</c:v>
                </c:pt>
                <c:pt idx="168">
                  <c:v>13.44000000000001</c:v>
                </c:pt>
                <c:pt idx="169">
                  <c:v>13.52000000000001</c:v>
                </c:pt>
                <c:pt idx="170">
                  <c:v>13.60000000000001</c:v>
                </c:pt>
                <c:pt idx="171">
                  <c:v>13.68000000000001</c:v>
                </c:pt>
                <c:pt idx="172">
                  <c:v>13.76000000000001</c:v>
                </c:pt>
                <c:pt idx="173">
                  <c:v>13.840000000000011</c:v>
                </c:pt>
                <c:pt idx="174">
                  <c:v>13.920000000000011</c:v>
                </c:pt>
                <c:pt idx="175">
                  <c:v>14.000000000000011</c:v>
                </c:pt>
                <c:pt idx="176">
                  <c:v>14.080000000000011</c:v>
                </c:pt>
                <c:pt idx="177">
                  <c:v>14.160000000000011</c:v>
                </c:pt>
                <c:pt idx="178">
                  <c:v>14.240000000000011</c:v>
                </c:pt>
                <c:pt idx="179">
                  <c:v>14.320000000000011</c:v>
                </c:pt>
                <c:pt idx="180">
                  <c:v>14.400000000000011</c:v>
                </c:pt>
                <c:pt idx="181">
                  <c:v>14.480000000000011</c:v>
                </c:pt>
                <c:pt idx="182">
                  <c:v>14.560000000000011</c:v>
                </c:pt>
                <c:pt idx="183">
                  <c:v>14.640000000000011</c:v>
                </c:pt>
                <c:pt idx="184">
                  <c:v>14.720000000000011</c:v>
                </c:pt>
                <c:pt idx="185">
                  <c:v>14.800000000000011</c:v>
                </c:pt>
                <c:pt idx="186">
                  <c:v>14.880000000000011</c:v>
                </c:pt>
                <c:pt idx="187">
                  <c:v>14.960000000000012</c:v>
                </c:pt>
                <c:pt idx="188">
                  <c:v>15.040000000000012</c:v>
                </c:pt>
                <c:pt idx="189">
                  <c:v>15.120000000000012</c:v>
                </c:pt>
                <c:pt idx="190">
                  <c:v>15.200000000000012</c:v>
                </c:pt>
                <c:pt idx="191">
                  <c:v>15.280000000000012</c:v>
                </c:pt>
                <c:pt idx="192">
                  <c:v>15.360000000000012</c:v>
                </c:pt>
                <c:pt idx="193">
                  <c:v>15.440000000000012</c:v>
                </c:pt>
                <c:pt idx="194">
                  <c:v>15.520000000000012</c:v>
                </c:pt>
                <c:pt idx="195">
                  <c:v>15.600000000000012</c:v>
                </c:pt>
                <c:pt idx="196">
                  <c:v>15.680000000000012</c:v>
                </c:pt>
                <c:pt idx="197">
                  <c:v>15.760000000000012</c:v>
                </c:pt>
                <c:pt idx="198">
                  <c:v>15.840000000000012</c:v>
                </c:pt>
                <c:pt idx="199">
                  <c:v>15.920000000000012</c:v>
                </c:pt>
                <c:pt idx="200">
                  <c:v>16.000000000000011</c:v>
                </c:pt>
                <c:pt idx="201">
                  <c:v>16.080000000000009</c:v>
                </c:pt>
                <c:pt idx="202">
                  <c:v>16.160000000000007</c:v>
                </c:pt>
                <c:pt idx="203">
                  <c:v>16.240000000000006</c:v>
                </c:pt>
                <c:pt idx="204">
                  <c:v>16.320000000000004</c:v>
                </c:pt>
                <c:pt idx="205">
                  <c:v>16.400000000000002</c:v>
                </c:pt>
                <c:pt idx="206">
                  <c:v>16.48</c:v>
                </c:pt>
                <c:pt idx="207">
                  <c:v>16.559999999999999</c:v>
                </c:pt>
                <c:pt idx="208">
                  <c:v>16.639999999999997</c:v>
                </c:pt>
                <c:pt idx="209">
                  <c:v>16.719999999999995</c:v>
                </c:pt>
                <c:pt idx="210">
                  <c:v>16.799999999999994</c:v>
                </c:pt>
                <c:pt idx="211">
                  <c:v>16.879999999999992</c:v>
                </c:pt>
                <c:pt idx="212">
                  <c:v>16.95999999999999</c:v>
                </c:pt>
                <c:pt idx="213">
                  <c:v>17.039999999999988</c:v>
                </c:pt>
                <c:pt idx="214">
                  <c:v>17.119999999999987</c:v>
                </c:pt>
                <c:pt idx="215">
                  <c:v>17.199999999999985</c:v>
                </c:pt>
                <c:pt idx="216">
                  <c:v>17.279999999999983</c:v>
                </c:pt>
                <c:pt idx="217">
                  <c:v>17.359999999999982</c:v>
                </c:pt>
                <c:pt idx="218">
                  <c:v>17.43999999999998</c:v>
                </c:pt>
                <c:pt idx="219">
                  <c:v>17.519999999999978</c:v>
                </c:pt>
                <c:pt idx="220">
                  <c:v>17.599999999999977</c:v>
                </c:pt>
                <c:pt idx="221">
                  <c:v>17.679999999999975</c:v>
                </c:pt>
                <c:pt idx="222">
                  <c:v>17.759999999999973</c:v>
                </c:pt>
                <c:pt idx="223">
                  <c:v>17.839999999999971</c:v>
                </c:pt>
                <c:pt idx="224">
                  <c:v>17.91999999999997</c:v>
                </c:pt>
                <c:pt idx="225">
                  <c:v>17.999999999999968</c:v>
                </c:pt>
                <c:pt idx="226">
                  <c:v>18.079999999999966</c:v>
                </c:pt>
                <c:pt idx="227">
                  <c:v>18.159999999999965</c:v>
                </c:pt>
                <c:pt idx="228">
                  <c:v>18.239999999999963</c:v>
                </c:pt>
                <c:pt idx="229">
                  <c:v>18.319999999999961</c:v>
                </c:pt>
                <c:pt idx="230">
                  <c:v>18.399999999999959</c:v>
                </c:pt>
                <c:pt idx="231">
                  <c:v>18.479999999999958</c:v>
                </c:pt>
                <c:pt idx="232">
                  <c:v>18.559999999999956</c:v>
                </c:pt>
                <c:pt idx="233">
                  <c:v>18.639999999999954</c:v>
                </c:pt>
                <c:pt idx="234">
                  <c:v>18.719999999999953</c:v>
                </c:pt>
                <c:pt idx="235">
                  <c:v>18.799999999999951</c:v>
                </c:pt>
                <c:pt idx="236">
                  <c:v>18.879999999999949</c:v>
                </c:pt>
                <c:pt idx="237">
                  <c:v>18.959999999999948</c:v>
                </c:pt>
                <c:pt idx="238">
                  <c:v>19.039999999999946</c:v>
                </c:pt>
                <c:pt idx="239">
                  <c:v>19.119999999999944</c:v>
                </c:pt>
                <c:pt idx="240">
                  <c:v>19.199999999999942</c:v>
                </c:pt>
                <c:pt idx="241">
                  <c:v>19.279999999999941</c:v>
                </c:pt>
                <c:pt idx="242">
                  <c:v>19.359999999999939</c:v>
                </c:pt>
                <c:pt idx="243">
                  <c:v>19.439999999999937</c:v>
                </c:pt>
                <c:pt idx="244">
                  <c:v>19.519999999999936</c:v>
                </c:pt>
                <c:pt idx="245">
                  <c:v>19.599999999999934</c:v>
                </c:pt>
                <c:pt idx="246">
                  <c:v>19.679999999999932</c:v>
                </c:pt>
                <c:pt idx="247">
                  <c:v>19.759999999999931</c:v>
                </c:pt>
                <c:pt idx="248">
                  <c:v>19.839999999999929</c:v>
                </c:pt>
                <c:pt idx="249">
                  <c:v>19.919999999999927</c:v>
                </c:pt>
                <c:pt idx="250">
                  <c:v>19.999999999999925</c:v>
                </c:pt>
                <c:pt idx="251">
                  <c:v>20.079999999999924</c:v>
                </c:pt>
                <c:pt idx="252">
                  <c:v>20.159999999999922</c:v>
                </c:pt>
                <c:pt idx="253">
                  <c:v>20.23999999999992</c:v>
                </c:pt>
                <c:pt idx="254">
                  <c:v>20.319999999999919</c:v>
                </c:pt>
                <c:pt idx="255">
                  <c:v>20.399999999999917</c:v>
                </c:pt>
                <c:pt idx="256">
                  <c:v>20.479999999999915</c:v>
                </c:pt>
                <c:pt idx="257">
                  <c:v>20.559999999999913</c:v>
                </c:pt>
                <c:pt idx="258">
                  <c:v>20.639999999999912</c:v>
                </c:pt>
                <c:pt idx="259">
                  <c:v>20.71999999999991</c:v>
                </c:pt>
                <c:pt idx="260">
                  <c:v>20.799999999999908</c:v>
                </c:pt>
                <c:pt idx="261">
                  <c:v>20.879999999999907</c:v>
                </c:pt>
                <c:pt idx="262">
                  <c:v>20.959999999999905</c:v>
                </c:pt>
                <c:pt idx="263">
                  <c:v>21.039999999999903</c:v>
                </c:pt>
                <c:pt idx="264">
                  <c:v>21.119999999999902</c:v>
                </c:pt>
                <c:pt idx="265">
                  <c:v>21.1999999999999</c:v>
                </c:pt>
                <c:pt idx="266">
                  <c:v>21.279999999999898</c:v>
                </c:pt>
                <c:pt idx="267">
                  <c:v>21.359999999999896</c:v>
                </c:pt>
                <c:pt idx="268">
                  <c:v>21.439999999999895</c:v>
                </c:pt>
                <c:pt idx="269">
                  <c:v>21.519999999999893</c:v>
                </c:pt>
                <c:pt idx="270">
                  <c:v>21.599999999999891</c:v>
                </c:pt>
                <c:pt idx="271">
                  <c:v>21.67999999999989</c:v>
                </c:pt>
                <c:pt idx="272">
                  <c:v>21.759999999999888</c:v>
                </c:pt>
                <c:pt idx="273">
                  <c:v>21.839999999999886</c:v>
                </c:pt>
                <c:pt idx="274">
                  <c:v>21.919999999999884</c:v>
                </c:pt>
                <c:pt idx="275">
                  <c:v>21.999999999999883</c:v>
                </c:pt>
                <c:pt idx="276">
                  <c:v>22.079999999999881</c:v>
                </c:pt>
                <c:pt idx="277">
                  <c:v>22.159999999999879</c:v>
                </c:pt>
                <c:pt idx="278">
                  <c:v>22.239999999999878</c:v>
                </c:pt>
                <c:pt idx="279">
                  <c:v>22.319999999999876</c:v>
                </c:pt>
                <c:pt idx="280">
                  <c:v>22.399999999999874</c:v>
                </c:pt>
                <c:pt idx="281">
                  <c:v>22.479999999999873</c:v>
                </c:pt>
                <c:pt idx="282">
                  <c:v>22.559999999999871</c:v>
                </c:pt>
                <c:pt idx="283">
                  <c:v>22.639999999999869</c:v>
                </c:pt>
                <c:pt idx="284">
                  <c:v>22.719999999999867</c:v>
                </c:pt>
                <c:pt idx="285">
                  <c:v>22.799999999999866</c:v>
                </c:pt>
                <c:pt idx="286">
                  <c:v>22.879999999999864</c:v>
                </c:pt>
                <c:pt idx="287">
                  <c:v>22.959999999999862</c:v>
                </c:pt>
                <c:pt idx="288">
                  <c:v>23.039999999999861</c:v>
                </c:pt>
                <c:pt idx="289">
                  <c:v>23.119999999999859</c:v>
                </c:pt>
                <c:pt idx="290">
                  <c:v>23.199999999999857</c:v>
                </c:pt>
                <c:pt idx="291">
                  <c:v>23.279999999999855</c:v>
                </c:pt>
                <c:pt idx="292">
                  <c:v>23.359999999999854</c:v>
                </c:pt>
                <c:pt idx="293">
                  <c:v>23.439999999999852</c:v>
                </c:pt>
                <c:pt idx="294">
                  <c:v>23.51999999999985</c:v>
                </c:pt>
                <c:pt idx="295">
                  <c:v>23.599999999999849</c:v>
                </c:pt>
                <c:pt idx="296">
                  <c:v>23.679999999999847</c:v>
                </c:pt>
                <c:pt idx="297">
                  <c:v>23.759999999999845</c:v>
                </c:pt>
                <c:pt idx="298">
                  <c:v>23.839999999999844</c:v>
                </c:pt>
                <c:pt idx="299">
                  <c:v>23.919999999999842</c:v>
                </c:pt>
                <c:pt idx="300">
                  <c:v>23.99999999999984</c:v>
                </c:pt>
                <c:pt idx="301">
                  <c:v>24.079999999999838</c:v>
                </c:pt>
                <c:pt idx="302">
                  <c:v>24.159999999999837</c:v>
                </c:pt>
                <c:pt idx="303">
                  <c:v>24.239999999999835</c:v>
                </c:pt>
                <c:pt idx="304">
                  <c:v>24.319999999999833</c:v>
                </c:pt>
                <c:pt idx="305">
                  <c:v>24.399999999999832</c:v>
                </c:pt>
                <c:pt idx="306">
                  <c:v>24.47999999999983</c:v>
                </c:pt>
                <c:pt idx="307">
                  <c:v>24.559999999999828</c:v>
                </c:pt>
                <c:pt idx="308">
                  <c:v>24.639999999999826</c:v>
                </c:pt>
                <c:pt idx="309">
                  <c:v>24.719999999999825</c:v>
                </c:pt>
                <c:pt idx="310">
                  <c:v>24.799999999999823</c:v>
                </c:pt>
                <c:pt idx="311">
                  <c:v>24.879999999999821</c:v>
                </c:pt>
                <c:pt idx="312">
                  <c:v>24.95999999999982</c:v>
                </c:pt>
                <c:pt idx="313">
                  <c:v>25.039999999999818</c:v>
                </c:pt>
                <c:pt idx="314">
                  <c:v>25.119999999999816</c:v>
                </c:pt>
                <c:pt idx="315">
                  <c:v>25.199999999999815</c:v>
                </c:pt>
                <c:pt idx="316">
                  <c:v>25.279999999999813</c:v>
                </c:pt>
                <c:pt idx="317">
                  <c:v>25.359999999999811</c:v>
                </c:pt>
                <c:pt idx="318">
                  <c:v>25.439999999999809</c:v>
                </c:pt>
                <c:pt idx="319">
                  <c:v>25.519999999999808</c:v>
                </c:pt>
                <c:pt idx="320">
                  <c:v>25.599999999999806</c:v>
                </c:pt>
                <c:pt idx="321">
                  <c:v>25.679999999999804</c:v>
                </c:pt>
                <c:pt idx="322">
                  <c:v>25.759999999999803</c:v>
                </c:pt>
                <c:pt idx="323">
                  <c:v>25.839999999999801</c:v>
                </c:pt>
                <c:pt idx="324">
                  <c:v>25.919999999999799</c:v>
                </c:pt>
                <c:pt idx="325">
                  <c:v>25.999999999999797</c:v>
                </c:pt>
                <c:pt idx="326">
                  <c:v>26.079999999999796</c:v>
                </c:pt>
                <c:pt idx="327">
                  <c:v>26.159999999999794</c:v>
                </c:pt>
                <c:pt idx="328">
                  <c:v>26.239999999999792</c:v>
                </c:pt>
                <c:pt idx="329">
                  <c:v>26.319999999999791</c:v>
                </c:pt>
                <c:pt idx="330">
                  <c:v>26.399999999999789</c:v>
                </c:pt>
                <c:pt idx="331">
                  <c:v>26.479999999999787</c:v>
                </c:pt>
                <c:pt idx="332">
                  <c:v>26.559999999999786</c:v>
                </c:pt>
                <c:pt idx="333">
                  <c:v>26.639999999999784</c:v>
                </c:pt>
                <c:pt idx="334">
                  <c:v>26.719999999999782</c:v>
                </c:pt>
                <c:pt idx="335">
                  <c:v>26.79999999999978</c:v>
                </c:pt>
                <c:pt idx="336">
                  <c:v>26.879999999999779</c:v>
                </c:pt>
                <c:pt idx="337">
                  <c:v>26.959999999999777</c:v>
                </c:pt>
                <c:pt idx="338">
                  <c:v>27.039999999999775</c:v>
                </c:pt>
                <c:pt idx="339">
                  <c:v>27.119999999999774</c:v>
                </c:pt>
                <c:pt idx="340">
                  <c:v>27.199999999999772</c:v>
                </c:pt>
                <c:pt idx="341">
                  <c:v>27.27999999999977</c:v>
                </c:pt>
                <c:pt idx="342">
                  <c:v>27.359999999999769</c:v>
                </c:pt>
                <c:pt idx="343">
                  <c:v>27.439999999999767</c:v>
                </c:pt>
                <c:pt idx="344">
                  <c:v>27.519999999999765</c:v>
                </c:pt>
                <c:pt idx="345">
                  <c:v>27.599999999999763</c:v>
                </c:pt>
                <c:pt idx="346">
                  <c:v>27.679999999999762</c:v>
                </c:pt>
                <c:pt idx="347">
                  <c:v>27.75999999999976</c:v>
                </c:pt>
                <c:pt idx="348">
                  <c:v>27.839999999999758</c:v>
                </c:pt>
                <c:pt idx="349">
                  <c:v>27.919999999999757</c:v>
                </c:pt>
                <c:pt idx="350">
                  <c:v>27.999999999999755</c:v>
                </c:pt>
                <c:pt idx="351">
                  <c:v>28.079999999999753</c:v>
                </c:pt>
                <c:pt idx="352">
                  <c:v>28.159999999999751</c:v>
                </c:pt>
                <c:pt idx="353">
                  <c:v>28.23999999999975</c:v>
                </c:pt>
                <c:pt idx="354">
                  <c:v>28.319999999999748</c:v>
                </c:pt>
                <c:pt idx="355">
                  <c:v>28.399999999999746</c:v>
                </c:pt>
                <c:pt idx="356">
                  <c:v>28.479999999999745</c:v>
                </c:pt>
                <c:pt idx="357">
                  <c:v>28.559999999999743</c:v>
                </c:pt>
                <c:pt idx="358">
                  <c:v>28.639999999999741</c:v>
                </c:pt>
                <c:pt idx="359">
                  <c:v>28.71999999999974</c:v>
                </c:pt>
                <c:pt idx="360">
                  <c:v>28.799999999999738</c:v>
                </c:pt>
                <c:pt idx="361">
                  <c:v>28.879999999999736</c:v>
                </c:pt>
                <c:pt idx="362">
                  <c:v>28.959999999999734</c:v>
                </c:pt>
                <c:pt idx="363">
                  <c:v>29.039999999999733</c:v>
                </c:pt>
                <c:pt idx="364">
                  <c:v>29.119999999999731</c:v>
                </c:pt>
                <c:pt idx="365">
                  <c:v>29.199999999999729</c:v>
                </c:pt>
                <c:pt idx="366">
                  <c:v>29.279999999999728</c:v>
                </c:pt>
                <c:pt idx="367">
                  <c:v>29.359999999999726</c:v>
                </c:pt>
                <c:pt idx="368">
                  <c:v>29.439999999999724</c:v>
                </c:pt>
                <c:pt idx="369">
                  <c:v>29.519999999999722</c:v>
                </c:pt>
                <c:pt idx="370">
                  <c:v>29.599999999999721</c:v>
                </c:pt>
                <c:pt idx="371">
                  <c:v>29.679999999999719</c:v>
                </c:pt>
                <c:pt idx="372">
                  <c:v>29.759999999999717</c:v>
                </c:pt>
                <c:pt idx="373">
                  <c:v>29.839999999999716</c:v>
                </c:pt>
                <c:pt idx="374">
                  <c:v>29.919999999999714</c:v>
                </c:pt>
                <c:pt idx="375">
                  <c:v>29.999999999999712</c:v>
                </c:pt>
                <c:pt idx="376">
                  <c:v>30.079999999999711</c:v>
                </c:pt>
                <c:pt idx="377">
                  <c:v>30.159999999999709</c:v>
                </c:pt>
                <c:pt idx="378">
                  <c:v>30.239999999999707</c:v>
                </c:pt>
                <c:pt idx="379">
                  <c:v>30.319999999999705</c:v>
                </c:pt>
                <c:pt idx="380">
                  <c:v>30.399999999999704</c:v>
                </c:pt>
                <c:pt idx="381">
                  <c:v>30.479999999999702</c:v>
                </c:pt>
                <c:pt idx="382">
                  <c:v>30.5599999999997</c:v>
                </c:pt>
                <c:pt idx="383">
                  <c:v>30.639999999999699</c:v>
                </c:pt>
                <c:pt idx="384">
                  <c:v>30.719999999999697</c:v>
                </c:pt>
                <c:pt idx="385">
                  <c:v>30.799999999999695</c:v>
                </c:pt>
                <c:pt idx="386">
                  <c:v>30.879999999999693</c:v>
                </c:pt>
                <c:pt idx="387">
                  <c:v>30.959999999999692</c:v>
                </c:pt>
                <c:pt idx="388">
                  <c:v>31.03999999999969</c:v>
                </c:pt>
                <c:pt idx="389">
                  <c:v>31.119999999999688</c:v>
                </c:pt>
                <c:pt idx="390">
                  <c:v>31.199999999999687</c:v>
                </c:pt>
                <c:pt idx="391">
                  <c:v>31.279999999999685</c:v>
                </c:pt>
                <c:pt idx="392">
                  <c:v>31.359999999999683</c:v>
                </c:pt>
                <c:pt idx="393">
                  <c:v>31.439999999999682</c:v>
                </c:pt>
                <c:pt idx="394">
                  <c:v>31.51999999999968</c:v>
                </c:pt>
                <c:pt idx="395">
                  <c:v>31.599999999999678</c:v>
                </c:pt>
                <c:pt idx="396">
                  <c:v>31.679999999999676</c:v>
                </c:pt>
                <c:pt idx="397">
                  <c:v>31.759999999999675</c:v>
                </c:pt>
                <c:pt idx="398">
                  <c:v>31.839999999999673</c:v>
                </c:pt>
                <c:pt idx="399">
                  <c:v>31.919999999999671</c:v>
                </c:pt>
                <c:pt idx="400">
                  <c:v>31.99999999999967</c:v>
                </c:pt>
                <c:pt idx="401">
                  <c:v>32.079999999999671</c:v>
                </c:pt>
                <c:pt idx="402">
                  <c:v>32.15999999999967</c:v>
                </c:pt>
                <c:pt idx="403">
                  <c:v>32.239999999999668</c:v>
                </c:pt>
                <c:pt idx="404">
                  <c:v>32.319999999999666</c:v>
                </c:pt>
                <c:pt idx="405">
                  <c:v>32.399999999999665</c:v>
                </c:pt>
                <c:pt idx="406">
                  <c:v>32.479999999999663</c:v>
                </c:pt>
                <c:pt idx="407">
                  <c:v>32.559999999999661</c:v>
                </c:pt>
                <c:pt idx="408">
                  <c:v>32.63999999999966</c:v>
                </c:pt>
                <c:pt idx="409">
                  <c:v>32.719999999999658</c:v>
                </c:pt>
                <c:pt idx="410">
                  <c:v>32.799999999999656</c:v>
                </c:pt>
                <c:pt idx="411">
                  <c:v>32.879999999999654</c:v>
                </c:pt>
                <c:pt idx="412">
                  <c:v>32.959999999999653</c:v>
                </c:pt>
                <c:pt idx="413">
                  <c:v>33.039999999999651</c:v>
                </c:pt>
                <c:pt idx="414">
                  <c:v>33.119999999999649</c:v>
                </c:pt>
                <c:pt idx="415">
                  <c:v>33.199999999999648</c:v>
                </c:pt>
                <c:pt idx="416">
                  <c:v>33.279999999999646</c:v>
                </c:pt>
                <c:pt idx="417">
                  <c:v>33.359999999999644</c:v>
                </c:pt>
                <c:pt idx="418">
                  <c:v>33.439999999999642</c:v>
                </c:pt>
                <c:pt idx="419">
                  <c:v>33.519999999999641</c:v>
                </c:pt>
                <c:pt idx="420">
                  <c:v>33.599999999999639</c:v>
                </c:pt>
                <c:pt idx="421">
                  <c:v>33.679999999999637</c:v>
                </c:pt>
                <c:pt idx="422">
                  <c:v>33.759999999999636</c:v>
                </c:pt>
                <c:pt idx="423">
                  <c:v>33.839999999999634</c:v>
                </c:pt>
                <c:pt idx="424">
                  <c:v>33.919999999999632</c:v>
                </c:pt>
                <c:pt idx="425">
                  <c:v>33.999999999999631</c:v>
                </c:pt>
                <c:pt idx="426">
                  <c:v>34.079999999999629</c:v>
                </c:pt>
                <c:pt idx="427">
                  <c:v>34.159999999999627</c:v>
                </c:pt>
                <c:pt idx="428">
                  <c:v>34.239999999999625</c:v>
                </c:pt>
                <c:pt idx="429">
                  <c:v>34.319999999999624</c:v>
                </c:pt>
                <c:pt idx="430">
                  <c:v>34.399999999999622</c:v>
                </c:pt>
                <c:pt idx="431">
                  <c:v>34.47999999999962</c:v>
                </c:pt>
                <c:pt idx="432">
                  <c:v>34.559999999999619</c:v>
                </c:pt>
                <c:pt idx="433">
                  <c:v>34.639999999999617</c:v>
                </c:pt>
                <c:pt idx="434">
                  <c:v>34.719999999999615</c:v>
                </c:pt>
                <c:pt idx="435">
                  <c:v>34.799999999999613</c:v>
                </c:pt>
                <c:pt idx="436">
                  <c:v>34.879999999999612</c:v>
                </c:pt>
                <c:pt idx="437">
                  <c:v>34.95999999999961</c:v>
                </c:pt>
                <c:pt idx="438">
                  <c:v>35.039999999999608</c:v>
                </c:pt>
                <c:pt idx="439">
                  <c:v>35.119999999999607</c:v>
                </c:pt>
                <c:pt idx="440">
                  <c:v>35.199999999999605</c:v>
                </c:pt>
                <c:pt idx="441">
                  <c:v>35.279999999999603</c:v>
                </c:pt>
                <c:pt idx="442">
                  <c:v>35.359999999999602</c:v>
                </c:pt>
                <c:pt idx="443">
                  <c:v>35.4399999999996</c:v>
                </c:pt>
                <c:pt idx="444">
                  <c:v>35.519999999999598</c:v>
                </c:pt>
                <c:pt idx="445">
                  <c:v>35.599999999999596</c:v>
                </c:pt>
                <c:pt idx="446">
                  <c:v>35.679999999999595</c:v>
                </c:pt>
                <c:pt idx="447">
                  <c:v>35.759999999999593</c:v>
                </c:pt>
                <c:pt idx="448">
                  <c:v>35.839999999999591</c:v>
                </c:pt>
                <c:pt idx="449">
                  <c:v>35.91999999999959</c:v>
                </c:pt>
                <c:pt idx="450">
                  <c:v>35.999999999999588</c:v>
                </c:pt>
                <c:pt idx="451">
                  <c:v>36.079999999999586</c:v>
                </c:pt>
                <c:pt idx="452">
                  <c:v>36.159999999999584</c:v>
                </c:pt>
                <c:pt idx="453">
                  <c:v>36.239999999999583</c:v>
                </c:pt>
                <c:pt idx="454">
                  <c:v>36.319999999999581</c:v>
                </c:pt>
                <c:pt idx="455">
                  <c:v>36.399999999999579</c:v>
                </c:pt>
                <c:pt idx="456">
                  <c:v>36.479999999999578</c:v>
                </c:pt>
                <c:pt idx="457">
                  <c:v>36.559999999999576</c:v>
                </c:pt>
                <c:pt idx="458">
                  <c:v>36.639999999999574</c:v>
                </c:pt>
                <c:pt idx="459">
                  <c:v>36.719999999999573</c:v>
                </c:pt>
                <c:pt idx="460">
                  <c:v>36.799999999999571</c:v>
                </c:pt>
                <c:pt idx="461">
                  <c:v>36.879999999999569</c:v>
                </c:pt>
                <c:pt idx="462">
                  <c:v>36.959999999999567</c:v>
                </c:pt>
                <c:pt idx="463">
                  <c:v>37.039999999999566</c:v>
                </c:pt>
                <c:pt idx="464">
                  <c:v>37.119999999999564</c:v>
                </c:pt>
                <c:pt idx="465">
                  <c:v>37.199999999999562</c:v>
                </c:pt>
                <c:pt idx="466">
                  <c:v>37.279999999999561</c:v>
                </c:pt>
                <c:pt idx="467">
                  <c:v>37.359999999999559</c:v>
                </c:pt>
                <c:pt idx="468">
                  <c:v>37.439999999999557</c:v>
                </c:pt>
                <c:pt idx="469">
                  <c:v>37.519999999999555</c:v>
                </c:pt>
                <c:pt idx="470">
                  <c:v>37.599999999999554</c:v>
                </c:pt>
                <c:pt idx="471">
                  <c:v>37.679999999999552</c:v>
                </c:pt>
                <c:pt idx="472">
                  <c:v>37.75999999999955</c:v>
                </c:pt>
                <c:pt idx="473">
                  <c:v>37.839999999999549</c:v>
                </c:pt>
                <c:pt idx="474">
                  <c:v>37.919999999999547</c:v>
                </c:pt>
                <c:pt idx="475">
                  <c:v>37.999999999999545</c:v>
                </c:pt>
                <c:pt idx="476">
                  <c:v>38.079999999999544</c:v>
                </c:pt>
                <c:pt idx="477">
                  <c:v>38.159999999999542</c:v>
                </c:pt>
                <c:pt idx="478">
                  <c:v>38.23999999999954</c:v>
                </c:pt>
                <c:pt idx="479">
                  <c:v>38.319999999999538</c:v>
                </c:pt>
                <c:pt idx="480">
                  <c:v>38.399999999999537</c:v>
                </c:pt>
                <c:pt idx="481">
                  <c:v>38.479999999999535</c:v>
                </c:pt>
                <c:pt idx="482">
                  <c:v>38.559999999999533</c:v>
                </c:pt>
                <c:pt idx="483">
                  <c:v>38.639999999999532</c:v>
                </c:pt>
                <c:pt idx="484">
                  <c:v>38.71999999999953</c:v>
                </c:pt>
                <c:pt idx="485">
                  <c:v>38.799999999999528</c:v>
                </c:pt>
                <c:pt idx="486">
                  <c:v>38.879999999999526</c:v>
                </c:pt>
                <c:pt idx="487">
                  <c:v>38.959999999999525</c:v>
                </c:pt>
                <c:pt idx="488">
                  <c:v>39.039999999999523</c:v>
                </c:pt>
                <c:pt idx="489">
                  <c:v>39.119999999999521</c:v>
                </c:pt>
                <c:pt idx="490">
                  <c:v>39.19999999999952</c:v>
                </c:pt>
                <c:pt idx="491">
                  <c:v>39.279999999999518</c:v>
                </c:pt>
                <c:pt idx="492">
                  <c:v>39.359999999999516</c:v>
                </c:pt>
                <c:pt idx="493">
                  <c:v>39.439999999999515</c:v>
                </c:pt>
                <c:pt idx="494">
                  <c:v>39.519999999999513</c:v>
                </c:pt>
                <c:pt idx="495">
                  <c:v>39.599999999999511</c:v>
                </c:pt>
                <c:pt idx="496">
                  <c:v>39.679999999999509</c:v>
                </c:pt>
                <c:pt idx="497">
                  <c:v>39.759999999999508</c:v>
                </c:pt>
                <c:pt idx="498">
                  <c:v>39.839999999999506</c:v>
                </c:pt>
                <c:pt idx="499">
                  <c:v>39.919999999999504</c:v>
                </c:pt>
                <c:pt idx="500">
                  <c:v>39.999999999999503</c:v>
                </c:pt>
                <c:pt idx="501">
                  <c:v>40.079999999999501</c:v>
                </c:pt>
                <c:pt idx="502">
                  <c:v>40.159999999999499</c:v>
                </c:pt>
                <c:pt idx="503">
                  <c:v>40.239999999999498</c:v>
                </c:pt>
                <c:pt idx="504">
                  <c:v>40.319999999999496</c:v>
                </c:pt>
                <c:pt idx="505">
                  <c:v>40.399999999999494</c:v>
                </c:pt>
                <c:pt idx="506">
                  <c:v>40.479999999999492</c:v>
                </c:pt>
                <c:pt idx="507">
                  <c:v>40.559999999999491</c:v>
                </c:pt>
                <c:pt idx="508">
                  <c:v>40.639999999999489</c:v>
                </c:pt>
                <c:pt idx="509">
                  <c:v>40.719999999999487</c:v>
                </c:pt>
                <c:pt idx="510">
                  <c:v>40.799999999999486</c:v>
                </c:pt>
                <c:pt idx="511">
                  <c:v>40.879999999999484</c:v>
                </c:pt>
                <c:pt idx="512">
                  <c:v>40.959999999999482</c:v>
                </c:pt>
                <c:pt idx="513">
                  <c:v>41.03999999999948</c:v>
                </c:pt>
                <c:pt idx="514">
                  <c:v>41.119999999999479</c:v>
                </c:pt>
                <c:pt idx="515">
                  <c:v>41.199999999999477</c:v>
                </c:pt>
                <c:pt idx="516">
                  <c:v>41.279999999999475</c:v>
                </c:pt>
                <c:pt idx="517">
                  <c:v>41.359999999999474</c:v>
                </c:pt>
                <c:pt idx="518">
                  <c:v>41.439999999999472</c:v>
                </c:pt>
                <c:pt idx="519">
                  <c:v>41.51999999999947</c:v>
                </c:pt>
                <c:pt idx="520">
                  <c:v>41.599999999999469</c:v>
                </c:pt>
                <c:pt idx="521">
                  <c:v>41.679999999999467</c:v>
                </c:pt>
                <c:pt idx="522">
                  <c:v>41.759999999999465</c:v>
                </c:pt>
                <c:pt idx="523">
                  <c:v>41.839999999999463</c:v>
                </c:pt>
                <c:pt idx="524">
                  <c:v>41.919999999999462</c:v>
                </c:pt>
                <c:pt idx="525">
                  <c:v>41.99999999999946</c:v>
                </c:pt>
                <c:pt idx="526">
                  <c:v>42.079999999999458</c:v>
                </c:pt>
                <c:pt idx="527">
                  <c:v>42.159999999999457</c:v>
                </c:pt>
                <c:pt idx="528">
                  <c:v>42.239999999999455</c:v>
                </c:pt>
                <c:pt idx="529">
                  <c:v>42.319999999999453</c:v>
                </c:pt>
                <c:pt idx="530">
                  <c:v>42.399999999999451</c:v>
                </c:pt>
                <c:pt idx="531">
                  <c:v>42.47999999999945</c:v>
                </c:pt>
                <c:pt idx="532">
                  <c:v>42.559999999999448</c:v>
                </c:pt>
                <c:pt idx="533">
                  <c:v>42.639999999999446</c:v>
                </c:pt>
                <c:pt idx="534">
                  <c:v>42.719999999999445</c:v>
                </c:pt>
                <c:pt idx="535">
                  <c:v>42.799999999999443</c:v>
                </c:pt>
                <c:pt idx="536">
                  <c:v>42.879999999999441</c:v>
                </c:pt>
                <c:pt idx="537">
                  <c:v>42.95999999999944</c:v>
                </c:pt>
                <c:pt idx="538">
                  <c:v>43.039999999999438</c:v>
                </c:pt>
                <c:pt idx="539">
                  <c:v>43.119999999999436</c:v>
                </c:pt>
                <c:pt idx="540">
                  <c:v>43.199999999999434</c:v>
                </c:pt>
                <c:pt idx="541">
                  <c:v>43.279999999999433</c:v>
                </c:pt>
                <c:pt idx="542">
                  <c:v>43.359999999999431</c:v>
                </c:pt>
                <c:pt idx="543">
                  <c:v>43.439999999999429</c:v>
                </c:pt>
                <c:pt idx="544">
                  <c:v>43.519999999999428</c:v>
                </c:pt>
                <c:pt idx="545">
                  <c:v>43.599999999999426</c:v>
                </c:pt>
                <c:pt idx="546">
                  <c:v>43.679999999999424</c:v>
                </c:pt>
                <c:pt idx="547">
                  <c:v>43.759999999999422</c:v>
                </c:pt>
                <c:pt idx="548">
                  <c:v>43.839999999999421</c:v>
                </c:pt>
                <c:pt idx="549">
                  <c:v>43.919999999999419</c:v>
                </c:pt>
                <c:pt idx="550">
                  <c:v>43.999999999999417</c:v>
                </c:pt>
                <c:pt idx="551">
                  <c:v>44.079999999999416</c:v>
                </c:pt>
                <c:pt idx="552">
                  <c:v>44.159999999999414</c:v>
                </c:pt>
                <c:pt idx="553">
                  <c:v>44.239999999999412</c:v>
                </c:pt>
                <c:pt idx="554">
                  <c:v>44.319999999999411</c:v>
                </c:pt>
                <c:pt idx="555">
                  <c:v>44.399999999999409</c:v>
                </c:pt>
                <c:pt idx="556">
                  <c:v>44.479999999999407</c:v>
                </c:pt>
                <c:pt idx="557">
                  <c:v>44.559999999999405</c:v>
                </c:pt>
                <c:pt idx="558">
                  <c:v>44.639999999999404</c:v>
                </c:pt>
                <c:pt idx="559">
                  <c:v>44.719999999999402</c:v>
                </c:pt>
                <c:pt idx="560">
                  <c:v>44.7999999999994</c:v>
                </c:pt>
                <c:pt idx="561">
                  <c:v>44.879999999999399</c:v>
                </c:pt>
                <c:pt idx="562">
                  <c:v>44.959999999999397</c:v>
                </c:pt>
                <c:pt idx="563">
                  <c:v>45.039999999999395</c:v>
                </c:pt>
                <c:pt idx="564">
                  <c:v>45.119999999999393</c:v>
                </c:pt>
                <c:pt idx="565">
                  <c:v>45.199999999999392</c:v>
                </c:pt>
                <c:pt idx="566">
                  <c:v>45.27999999999939</c:v>
                </c:pt>
                <c:pt idx="567">
                  <c:v>45.359999999999388</c:v>
                </c:pt>
                <c:pt idx="568">
                  <c:v>45.439999999999387</c:v>
                </c:pt>
                <c:pt idx="569">
                  <c:v>45.519999999999385</c:v>
                </c:pt>
                <c:pt idx="570">
                  <c:v>45.599999999999383</c:v>
                </c:pt>
                <c:pt idx="571">
                  <c:v>45.679999999999382</c:v>
                </c:pt>
                <c:pt idx="572">
                  <c:v>45.75999999999938</c:v>
                </c:pt>
                <c:pt idx="573">
                  <c:v>45.839999999999378</c:v>
                </c:pt>
                <c:pt idx="574">
                  <c:v>45.919999999999376</c:v>
                </c:pt>
                <c:pt idx="575">
                  <c:v>45.999999999999375</c:v>
                </c:pt>
                <c:pt idx="576">
                  <c:v>46.079999999999373</c:v>
                </c:pt>
                <c:pt idx="577">
                  <c:v>46.159999999999371</c:v>
                </c:pt>
                <c:pt idx="578">
                  <c:v>46.23999999999937</c:v>
                </c:pt>
                <c:pt idx="579">
                  <c:v>46.319999999999368</c:v>
                </c:pt>
                <c:pt idx="580">
                  <c:v>46.399999999999366</c:v>
                </c:pt>
                <c:pt idx="581">
                  <c:v>46.479999999999364</c:v>
                </c:pt>
                <c:pt idx="582">
                  <c:v>46.559999999999363</c:v>
                </c:pt>
                <c:pt idx="583">
                  <c:v>46.639999999999361</c:v>
                </c:pt>
                <c:pt idx="584">
                  <c:v>46.719999999999359</c:v>
                </c:pt>
                <c:pt idx="585">
                  <c:v>46.799999999999358</c:v>
                </c:pt>
                <c:pt idx="586">
                  <c:v>46.879999999999356</c:v>
                </c:pt>
                <c:pt idx="587">
                  <c:v>46.959999999999354</c:v>
                </c:pt>
                <c:pt idx="588">
                  <c:v>47.039999999999353</c:v>
                </c:pt>
                <c:pt idx="589">
                  <c:v>47.119999999999351</c:v>
                </c:pt>
                <c:pt idx="590">
                  <c:v>47.199999999999349</c:v>
                </c:pt>
                <c:pt idx="591">
                  <c:v>47.279999999999347</c:v>
                </c:pt>
                <c:pt idx="592">
                  <c:v>47.359999999999346</c:v>
                </c:pt>
                <c:pt idx="593">
                  <c:v>47.439999999999344</c:v>
                </c:pt>
                <c:pt idx="594">
                  <c:v>47.519999999999342</c:v>
                </c:pt>
                <c:pt idx="595">
                  <c:v>47.599999999999341</c:v>
                </c:pt>
                <c:pt idx="596">
                  <c:v>47.679999999999339</c:v>
                </c:pt>
                <c:pt idx="597">
                  <c:v>47.759999999999337</c:v>
                </c:pt>
                <c:pt idx="598">
                  <c:v>47.839999999999336</c:v>
                </c:pt>
                <c:pt idx="599">
                  <c:v>47.919999999999334</c:v>
                </c:pt>
                <c:pt idx="600">
                  <c:v>47.999999999999332</c:v>
                </c:pt>
                <c:pt idx="601">
                  <c:v>48.07999999999933</c:v>
                </c:pt>
                <c:pt idx="602">
                  <c:v>48.159999999999329</c:v>
                </c:pt>
                <c:pt idx="603">
                  <c:v>48.239999999999327</c:v>
                </c:pt>
                <c:pt idx="604">
                  <c:v>48.319999999999325</c:v>
                </c:pt>
                <c:pt idx="605">
                  <c:v>48.399999999999324</c:v>
                </c:pt>
                <c:pt idx="606">
                  <c:v>48.479999999999322</c:v>
                </c:pt>
                <c:pt idx="607">
                  <c:v>48.55999999999932</c:v>
                </c:pt>
                <c:pt idx="608">
                  <c:v>48.639999999999318</c:v>
                </c:pt>
                <c:pt idx="609">
                  <c:v>48.719999999999317</c:v>
                </c:pt>
                <c:pt idx="610">
                  <c:v>48.799999999999315</c:v>
                </c:pt>
                <c:pt idx="611">
                  <c:v>48.879999999999313</c:v>
                </c:pt>
                <c:pt idx="612">
                  <c:v>48.959999999999312</c:v>
                </c:pt>
                <c:pt idx="613">
                  <c:v>49.03999999999931</c:v>
                </c:pt>
                <c:pt idx="614">
                  <c:v>49.119999999999308</c:v>
                </c:pt>
                <c:pt idx="615">
                  <c:v>49.199999999999307</c:v>
                </c:pt>
                <c:pt idx="616">
                  <c:v>49.279999999999305</c:v>
                </c:pt>
                <c:pt idx="617">
                  <c:v>49.359999999999303</c:v>
                </c:pt>
                <c:pt idx="618">
                  <c:v>49.439999999999301</c:v>
                </c:pt>
                <c:pt idx="619">
                  <c:v>49.5199999999993</c:v>
                </c:pt>
                <c:pt idx="620">
                  <c:v>49.599999999999298</c:v>
                </c:pt>
                <c:pt idx="621">
                  <c:v>49.679999999999296</c:v>
                </c:pt>
                <c:pt idx="622">
                  <c:v>49.759999999999295</c:v>
                </c:pt>
                <c:pt idx="623">
                  <c:v>49.839999999999293</c:v>
                </c:pt>
                <c:pt idx="624">
                  <c:v>49.919999999999291</c:v>
                </c:pt>
                <c:pt idx="625">
                  <c:v>49.999999999999289</c:v>
                </c:pt>
                <c:pt idx="626">
                  <c:v>50.079999999999288</c:v>
                </c:pt>
                <c:pt idx="627">
                  <c:v>50.159999999999286</c:v>
                </c:pt>
                <c:pt idx="628">
                  <c:v>50.239999999999284</c:v>
                </c:pt>
                <c:pt idx="629">
                  <c:v>50.319999999999283</c:v>
                </c:pt>
                <c:pt idx="630">
                  <c:v>50.399999999999281</c:v>
                </c:pt>
                <c:pt idx="631">
                  <c:v>50.479999999999279</c:v>
                </c:pt>
                <c:pt idx="632">
                  <c:v>50.559999999999278</c:v>
                </c:pt>
                <c:pt idx="633">
                  <c:v>50.639999999999276</c:v>
                </c:pt>
                <c:pt idx="634">
                  <c:v>50.719999999999274</c:v>
                </c:pt>
                <c:pt idx="635">
                  <c:v>50.799999999999272</c:v>
                </c:pt>
                <c:pt idx="636">
                  <c:v>50.879999999999271</c:v>
                </c:pt>
                <c:pt idx="637">
                  <c:v>50.959999999999269</c:v>
                </c:pt>
                <c:pt idx="638">
                  <c:v>51.039999999999267</c:v>
                </c:pt>
                <c:pt idx="639">
                  <c:v>51.119999999999266</c:v>
                </c:pt>
                <c:pt idx="640">
                  <c:v>51.199999999999264</c:v>
                </c:pt>
                <c:pt idx="641">
                  <c:v>51.279999999999262</c:v>
                </c:pt>
                <c:pt idx="642">
                  <c:v>51.35999999999926</c:v>
                </c:pt>
                <c:pt idx="643">
                  <c:v>51.439999999999259</c:v>
                </c:pt>
                <c:pt idx="644">
                  <c:v>51.519999999999257</c:v>
                </c:pt>
                <c:pt idx="645">
                  <c:v>51.599999999999255</c:v>
                </c:pt>
                <c:pt idx="646">
                  <c:v>51.679999999999254</c:v>
                </c:pt>
                <c:pt idx="647">
                  <c:v>51.759999999999252</c:v>
                </c:pt>
                <c:pt idx="648">
                  <c:v>51.83999999999925</c:v>
                </c:pt>
                <c:pt idx="649">
                  <c:v>51.919999999999249</c:v>
                </c:pt>
                <c:pt idx="650">
                  <c:v>51.999999999999247</c:v>
                </c:pt>
                <c:pt idx="651">
                  <c:v>52.079999999999245</c:v>
                </c:pt>
                <c:pt idx="652">
                  <c:v>52.159999999999243</c:v>
                </c:pt>
                <c:pt idx="653">
                  <c:v>52.239999999999242</c:v>
                </c:pt>
                <c:pt idx="654">
                  <c:v>52.31999999999924</c:v>
                </c:pt>
                <c:pt idx="655">
                  <c:v>52.399999999999238</c:v>
                </c:pt>
                <c:pt idx="656">
                  <c:v>52.479999999999237</c:v>
                </c:pt>
                <c:pt idx="657">
                  <c:v>52.559999999999235</c:v>
                </c:pt>
                <c:pt idx="658">
                  <c:v>52.639999999999233</c:v>
                </c:pt>
                <c:pt idx="659">
                  <c:v>52.719999999999231</c:v>
                </c:pt>
                <c:pt idx="660">
                  <c:v>52.79999999999923</c:v>
                </c:pt>
                <c:pt idx="661">
                  <c:v>52.879999999999228</c:v>
                </c:pt>
                <c:pt idx="662">
                  <c:v>52.959999999999226</c:v>
                </c:pt>
                <c:pt idx="663">
                  <c:v>53.039999999999225</c:v>
                </c:pt>
                <c:pt idx="664">
                  <c:v>53.119999999999223</c:v>
                </c:pt>
                <c:pt idx="665">
                  <c:v>53.199999999999221</c:v>
                </c:pt>
                <c:pt idx="666">
                  <c:v>53.27999999999922</c:v>
                </c:pt>
                <c:pt idx="667">
                  <c:v>53.359999999999218</c:v>
                </c:pt>
                <c:pt idx="668">
                  <c:v>53.439999999999216</c:v>
                </c:pt>
                <c:pt idx="669">
                  <c:v>53.519999999999214</c:v>
                </c:pt>
                <c:pt idx="670">
                  <c:v>53.599999999999213</c:v>
                </c:pt>
                <c:pt idx="671">
                  <c:v>53.679999999999211</c:v>
                </c:pt>
                <c:pt idx="672">
                  <c:v>53.759999999999209</c:v>
                </c:pt>
                <c:pt idx="673">
                  <c:v>53.839999999999208</c:v>
                </c:pt>
                <c:pt idx="674">
                  <c:v>53.919999999999206</c:v>
                </c:pt>
                <c:pt idx="675">
                  <c:v>53.999999999999204</c:v>
                </c:pt>
                <c:pt idx="676">
                  <c:v>54.079999999999202</c:v>
                </c:pt>
                <c:pt idx="677">
                  <c:v>54.159999999999201</c:v>
                </c:pt>
                <c:pt idx="678">
                  <c:v>54.239999999999199</c:v>
                </c:pt>
                <c:pt idx="679">
                  <c:v>54.319999999999197</c:v>
                </c:pt>
                <c:pt idx="680">
                  <c:v>54.399999999999196</c:v>
                </c:pt>
                <c:pt idx="681">
                  <c:v>54.479999999999194</c:v>
                </c:pt>
                <c:pt idx="682">
                  <c:v>54.559999999999192</c:v>
                </c:pt>
                <c:pt idx="683">
                  <c:v>54.639999999999191</c:v>
                </c:pt>
                <c:pt idx="684">
                  <c:v>54.719999999999189</c:v>
                </c:pt>
                <c:pt idx="685">
                  <c:v>54.799999999999187</c:v>
                </c:pt>
                <c:pt idx="686">
                  <c:v>54.879999999999185</c:v>
                </c:pt>
                <c:pt idx="687">
                  <c:v>54.959999999999184</c:v>
                </c:pt>
                <c:pt idx="688">
                  <c:v>55.039999999999182</c:v>
                </c:pt>
                <c:pt idx="689">
                  <c:v>55.11999999999918</c:v>
                </c:pt>
                <c:pt idx="690">
                  <c:v>55.199999999999179</c:v>
                </c:pt>
                <c:pt idx="691">
                  <c:v>55.279999999999177</c:v>
                </c:pt>
                <c:pt idx="692">
                  <c:v>55.359999999999175</c:v>
                </c:pt>
                <c:pt idx="693">
                  <c:v>55.439999999999173</c:v>
                </c:pt>
                <c:pt idx="694">
                  <c:v>55.519999999999172</c:v>
                </c:pt>
                <c:pt idx="695">
                  <c:v>55.59999999999917</c:v>
                </c:pt>
                <c:pt idx="696">
                  <c:v>55.679999999999168</c:v>
                </c:pt>
                <c:pt idx="697">
                  <c:v>55.759999999999167</c:v>
                </c:pt>
                <c:pt idx="698">
                  <c:v>55.839999999999165</c:v>
                </c:pt>
                <c:pt idx="699">
                  <c:v>55.919999999999163</c:v>
                </c:pt>
                <c:pt idx="700">
                  <c:v>55.999999999999162</c:v>
                </c:pt>
                <c:pt idx="701">
                  <c:v>56.07999999999916</c:v>
                </c:pt>
                <c:pt idx="702">
                  <c:v>56.159999999999158</c:v>
                </c:pt>
                <c:pt idx="703">
                  <c:v>56.239999999999156</c:v>
                </c:pt>
                <c:pt idx="704">
                  <c:v>56.319999999999155</c:v>
                </c:pt>
                <c:pt idx="705">
                  <c:v>56.399999999999153</c:v>
                </c:pt>
                <c:pt idx="706">
                  <c:v>56.479999999999151</c:v>
                </c:pt>
                <c:pt idx="707">
                  <c:v>56.55999999999915</c:v>
                </c:pt>
                <c:pt idx="708">
                  <c:v>56.639999999999148</c:v>
                </c:pt>
                <c:pt idx="709">
                  <c:v>56.719999999999146</c:v>
                </c:pt>
                <c:pt idx="710">
                  <c:v>56.799999999999145</c:v>
                </c:pt>
                <c:pt idx="711">
                  <c:v>56.879999999999143</c:v>
                </c:pt>
                <c:pt idx="712">
                  <c:v>56.959999999999141</c:v>
                </c:pt>
                <c:pt idx="713">
                  <c:v>57.039999999999139</c:v>
                </c:pt>
                <c:pt idx="714">
                  <c:v>57.119999999999138</c:v>
                </c:pt>
                <c:pt idx="715">
                  <c:v>57.199999999999136</c:v>
                </c:pt>
                <c:pt idx="716">
                  <c:v>57.279999999999134</c:v>
                </c:pt>
                <c:pt idx="717">
                  <c:v>57.359999999999133</c:v>
                </c:pt>
                <c:pt idx="718">
                  <c:v>57.439999999999131</c:v>
                </c:pt>
                <c:pt idx="719">
                  <c:v>57.519999999999129</c:v>
                </c:pt>
                <c:pt idx="720">
                  <c:v>57.599999999999127</c:v>
                </c:pt>
                <c:pt idx="721">
                  <c:v>57.679999999999126</c:v>
                </c:pt>
                <c:pt idx="722">
                  <c:v>57.759999999999124</c:v>
                </c:pt>
                <c:pt idx="723">
                  <c:v>57.839999999999122</c:v>
                </c:pt>
                <c:pt idx="724">
                  <c:v>57.919999999999121</c:v>
                </c:pt>
                <c:pt idx="725">
                  <c:v>57.999999999999119</c:v>
                </c:pt>
                <c:pt idx="726">
                  <c:v>58.079999999999117</c:v>
                </c:pt>
                <c:pt idx="727">
                  <c:v>58.159999999999116</c:v>
                </c:pt>
                <c:pt idx="728">
                  <c:v>58.239999999999114</c:v>
                </c:pt>
                <c:pt idx="729">
                  <c:v>58.319999999999112</c:v>
                </c:pt>
                <c:pt idx="730">
                  <c:v>58.39999999999911</c:v>
                </c:pt>
                <c:pt idx="731">
                  <c:v>58.479999999999109</c:v>
                </c:pt>
                <c:pt idx="732">
                  <c:v>58.559999999999107</c:v>
                </c:pt>
                <c:pt idx="733">
                  <c:v>58.639999999999105</c:v>
                </c:pt>
                <c:pt idx="734">
                  <c:v>58.719999999999104</c:v>
                </c:pt>
                <c:pt idx="735">
                  <c:v>58.799999999999102</c:v>
                </c:pt>
                <c:pt idx="736">
                  <c:v>58.8799999999991</c:v>
                </c:pt>
                <c:pt idx="737">
                  <c:v>58.959999999999098</c:v>
                </c:pt>
                <c:pt idx="738">
                  <c:v>59.039999999999097</c:v>
                </c:pt>
                <c:pt idx="739">
                  <c:v>59.119999999999095</c:v>
                </c:pt>
                <c:pt idx="740">
                  <c:v>59.199999999999093</c:v>
                </c:pt>
                <c:pt idx="741">
                  <c:v>59.279999999999092</c:v>
                </c:pt>
                <c:pt idx="742">
                  <c:v>59.35999999999909</c:v>
                </c:pt>
                <c:pt idx="743">
                  <c:v>59.439999999999088</c:v>
                </c:pt>
                <c:pt idx="744">
                  <c:v>59.519999999999087</c:v>
                </c:pt>
                <c:pt idx="745">
                  <c:v>59.599999999999085</c:v>
                </c:pt>
                <c:pt idx="746">
                  <c:v>59.679999999999083</c:v>
                </c:pt>
                <c:pt idx="747">
                  <c:v>59.759999999999081</c:v>
                </c:pt>
                <c:pt idx="748">
                  <c:v>59.83999999999908</c:v>
                </c:pt>
                <c:pt idx="749">
                  <c:v>59.919999999999078</c:v>
                </c:pt>
                <c:pt idx="750">
                  <c:v>59.999999999999076</c:v>
                </c:pt>
                <c:pt idx="751">
                  <c:v>60.079999999999075</c:v>
                </c:pt>
                <c:pt idx="752">
                  <c:v>60.159999999999073</c:v>
                </c:pt>
                <c:pt idx="753">
                  <c:v>60.239999999999071</c:v>
                </c:pt>
                <c:pt idx="754">
                  <c:v>60.319999999999069</c:v>
                </c:pt>
                <c:pt idx="755">
                  <c:v>60.399999999999068</c:v>
                </c:pt>
                <c:pt idx="756">
                  <c:v>60.479999999999066</c:v>
                </c:pt>
                <c:pt idx="757">
                  <c:v>60.559999999999064</c:v>
                </c:pt>
                <c:pt idx="758">
                  <c:v>60.639999999999063</c:v>
                </c:pt>
                <c:pt idx="759">
                  <c:v>60.719999999999061</c:v>
                </c:pt>
                <c:pt idx="760">
                  <c:v>60.799999999999059</c:v>
                </c:pt>
                <c:pt idx="761">
                  <c:v>60.879999999999058</c:v>
                </c:pt>
                <c:pt idx="762">
                  <c:v>60.959999999999056</c:v>
                </c:pt>
                <c:pt idx="763">
                  <c:v>61.039999999999054</c:v>
                </c:pt>
                <c:pt idx="764">
                  <c:v>61.119999999999052</c:v>
                </c:pt>
                <c:pt idx="765">
                  <c:v>61.199999999999051</c:v>
                </c:pt>
                <c:pt idx="766">
                  <c:v>61.279999999999049</c:v>
                </c:pt>
                <c:pt idx="767">
                  <c:v>61.359999999999047</c:v>
                </c:pt>
                <c:pt idx="768">
                  <c:v>61.439999999999046</c:v>
                </c:pt>
                <c:pt idx="769">
                  <c:v>61.519999999999044</c:v>
                </c:pt>
                <c:pt idx="770">
                  <c:v>61.599999999999042</c:v>
                </c:pt>
                <c:pt idx="771">
                  <c:v>61.67999999999904</c:v>
                </c:pt>
                <c:pt idx="772">
                  <c:v>61.759999999999039</c:v>
                </c:pt>
                <c:pt idx="773">
                  <c:v>61.839999999999037</c:v>
                </c:pt>
                <c:pt idx="774">
                  <c:v>61.919999999999035</c:v>
                </c:pt>
                <c:pt idx="775">
                  <c:v>61.999999999999034</c:v>
                </c:pt>
                <c:pt idx="776">
                  <c:v>62.079999999999032</c:v>
                </c:pt>
                <c:pt idx="777">
                  <c:v>62.15999999999903</c:v>
                </c:pt>
                <c:pt idx="778">
                  <c:v>62.239999999999029</c:v>
                </c:pt>
                <c:pt idx="779">
                  <c:v>62.319999999999027</c:v>
                </c:pt>
                <c:pt idx="780">
                  <c:v>62.399999999999025</c:v>
                </c:pt>
                <c:pt idx="781">
                  <c:v>62.479999999999023</c:v>
                </c:pt>
                <c:pt idx="782">
                  <c:v>62.559999999999022</c:v>
                </c:pt>
                <c:pt idx="783">
                  <c:v>62.63999999999902</c:v>
                </c:pt>
                <c:pt idx="784">
                  <c:v>62.719999999999018</c:v>
                </c:pt>
                <c:pt idx="785">
                  <c:v>62.799999999999017</c:v>
                </c:pt>
                <c:pt idx="786">
                  <c:v>62.879999999999015</c:v>
                </c:pt>
                <c:pt idx="787">
                  <c:v>62.959999999999013</c:v>
                </c:pt>
                <c:pt idx="788">
                  <c:v>63.039999999999011</c:v>
                </c:pt>
                <c:pt idx="789">
                  <c:v>63.11999999999901</c:v>
                </c:pt>
                <c:pt idx="790">
                  <c:v>63.199999999999008</c:v>
                </c:pt>
                <c:pt idx="791">
                  <c:v>63.279999999999006</c:v>
                </c:pt>
                <c:pt idx="792">
                  <c:v>63.359999999999005</c:v>
                </c:pt>
                <c:pt idx="793">
                  <c:v>63.439999999999003</c:v>
                </c:pt>
                <c:pt idx="794">
                  <c:v>63.519999999999001</c:v>
                </c:pt>
                <c:pt idx="795">
                  <c:v>63.599999999999</c:v>
                </c:pt>
                <c:pt idx="796">
                  <c:v>63.679999999998998</c:v>
                </c:pt>
                <c:pt idx="797">
                  <c:v>63.759999999998996</c:v>
                </c:pt>
                <c:pt idx="798">
                  <c:v>63.839999999998994</c:v>
                </c:pt>
                <c:pt idx="799">
                  <c:v>63.919999999998993</c:v>
                </c:pt>
                <c:pt idx="800">
                  <c:v>63.999999999998991</c:v>
                </c:pt>
                <c:pt idx="801">
                  <c:v>64.079999999998989</c:v>
                </c:pt>
                <c:pt idx="802">
                  <c:v>64.159999999998988</c:v>
                </c:pt>
                <c:pt idx="803">
                  <c:v>64.239999999998986</c:v>
                </c:pt>
                <c:pt idx="804">
                  <c:v>64.319999999998984</c:v>
                </c:pt>
                <c:pt idx="805">
                  <c:v>64.399999999998983</c:v>
                </c:pt>
                <c:pt idx="806">
                  <c:v>64.479999999998981</c:v>
                </c:pt>
                <c:pt idx="807">
                  <c:v>64.559999999998979</c:v>
                </c:pt>
                <c:pt idx="808">
                  <c:v>64.639999999998977</c:v>
                </c:pt>
                <c:pt idx="809">
                  <c:v>64.719999999998976</c:v>
                </c:pt>
                <c:pt idx="810">
                  <c:v>64.799999999998974</c:v>
                </c:pt>
                <c:pt idx="811">
                  <c:v>64.879999999998972</c:v>
                </c:pt>
                <c:pt idx="812">
                  <c:v>64.959999999998971</c:v>
                </c:pt>
                <c:pt idx="813">
                  <c:v>65.039999999998969</c:v>
                </c:pt>
                <c:pt idx="814">
                  <c:v>65.119999999998967</c:v>
                </c:pt>
                <c:pt idx="815">
                  <c:v>65.199999999998965</c:v>
                </c:pt>
                <c:pt idx="816">
                  <c:v>65.279999999998964</c:v>
                </c:pt>
                <c:pt idx="817">
                  <c:v>65.359999999998962</c:v>
                </c:pt>
                <c:pt idx="818">
                  <c:v>65.43999999999896</c:v>
                </c:pt>
                <c:pt idx="819">
                  <c:v>65.519999999998959</c:v>
                </c:pt>
                <c:pt idx="820">
                  <c:v>65.599999999998957</c:v>
                </c:pt>
                <c:pt idx="821">
                  <c:v>65.679999999998955</c:v>
                </c:pt>
                <c:pt idx="822">
                  <c:v>65.759999999998954</c:v>
                </c:pt>
                <c:pt idx="823">
                  <c:v>65.839999999998952</c:v>
                </c:pt>
                <c:pt idx="824">
                  <c:v>65.91999999999895</c:v>
                </c:pt>
                <c:pt idx="825">
                  <c:v>65.999999999998948</c:v>
                </c:pt>
                <c:pt idx="826">
                  <c:v>66.079999999998947</c:v>
                </c:pt>
                <c:pt idx="827">
                  <c:v>66.159999999998945</c:v>
                </c:pt>
                <c:pt idx="828">
                  <c:v>66.239999999998943</c:v>
                </c:pt>
                <c:pt idx="829">
                  <c:v>66.319999999998942</c:v>
                </c:pt>
                <c:pt idx="830">
                  <c:v>66.39999999999894</c:v>
                </c:pt>
                <c:pt idx="831">
                  <c:v>66.479999999998938</c:v>
                </c:pt>
                <c:pt idx="832">
                  <c:v>66.559999999998936</c:v>
                </c:pt>
                <c:pt idx="833">
                  <c:v>66.639999999998935</c:v>
                </c:pt>
                <c:pt idx="834">
                  <c:v>66.719999999998933</c:v>
                </c:pt>
                <c:pt idx="835">
                  <c:v>66.799999999998931</c:v>
                </c:pt>
                <c:pt idx="836">
                  <c:v>66.87999999999893</c:v>
                </c:pt>
                <c:pt idx="837">
                  <c:v>66.959999999998928</c:v>
                </c:pt>
                <c:pt idx="838">
                  <c:v>67.039999999998926</c:v>
                </c:pt>
                <c:pt idx="839">
                  <c:v>67.119999999998925</c:v>
                </c:pt>
                <c:pt idx="840">
                  <c:v>67.199999999998923</c:v>
                </c:pt>
                <c:pt idx="841">
                  <c:v>67.279999999998921</c:v>
                </c:pt>
                <c:pt idx="842">
                  <c:v>67.359999999998919</c:v>
                </c:pt>
                <c:pt idx="843">
                  <c:v>67.439999999998918</c:v>
                </c:pt>
                <c:pt idx="844">
                  <c:v>67.519999999998916</c:v>
                </c:pt>
                <c:pt idx="845">
                  <c:v>67.599999999998914</c:v>
                </c:pt>
                <c:pt idx="846">
                  <c:v>67.679999999998913</c:v>
                </c:pt>
                <c:pt idx="847">
                  <c:v>67.759999999998911</c:v>
                </c:pt>
                <c:pt idx="848">
                  <c:v>67.839999999998909</c:v>
                </c:pt>
                <c:pt idx="849">
                  <c:v>67.919999999998907</c:v>
                </c:pt>
                <c:pt idx="850">
                  <c:v>67.999999999998906</c:v>
                </c:pt>
                <c:pt idx="851">
                  <c:v>68.079999999998904</c:v>
                </c:pt>
                <c:pt idx="852">
                  <c:v>68.159999999998902</c:v>
                </c:pt>
                <c:pt idx="853">
                  <c:v>68.239999999998901</c:v>
                </c:pt>
                <c:pt idx="854">
                  <c:v>68.319999999998899</c:v>
                </c:pt>
                <c:pt idx="855">
                  <c:v>68.399999999998897</c:v>
                </c:pt>
                <c:pt idx="856">
                  <c:v>68.479999999998896</c:v>
                </c:pt>
                <c:pt idx="857">
                  <c:v>68.559999999998894</c:v>
                </c:pt>
                <c:pt idx="858">
                  <c:v>68.639999999998892</c:v>
                </c:pt>
                <c:pt idx="859">
                  <c:v>68.71999999999889</c:v>
                </c:pt>
                <c:pt idx="860">
                  <c:v>68.799999999998889</c:v>
                </c:pt>
                <c:pt idx="861">
                  <c:v>68.879999999998887</c:v>
                </c:pt>
                <c:pt idx="862">
                  <c:v>68.959999999998885</c:v>
                </c:pt>
                <c:pt idx="863">
                  <c:v>69.039999999998884</c:v>
                </c:pt>
                <c:pt idx="864">
                  <c:v>69.119999999998882</c:v>
                </c:pt>
                <c:pt idx="865">
                  <c:v>69.19999999999888</c:v>
                </c:pt>
                <c:pt idx="866">
                  <c:v>69.279999999998878</c:v>
                </c:pt>
                <c:pt idx="867">
                  <c:v>69.359999999998877</c:v>
                </c:pt>
                <c:pt idx="868">
                  <c:v>69.439999999998875</c:v>
                </c:pt>
                <c:pt idx="869">
                  <c:v>69.519999999998873</c:v>
                </c:pt>
                <c:pt idx="870">
                  <c:v>69.599999999998872</c:v>
                </c:pt>
                <c:pt idx="871">
                  <c:v>69.67999999999887</c:v>
                </c:pt>
                <c:pt idx="872">
                  <c:v>69.759999999998868</c:v>
                </c:pt>
                <c:pt idx="873">
                  <c:v>69.839999999998867</c:v>
                </c:pt>
                <c:pt idx="874">
                  <c:v>69.919999999998865</c:v>
                </c:pt>
                <c:pt idx="875">
                  <c:v>69.999999999998863</c:v>
                </c:pt>
                <c:pt idx="876">
                  <c:v>70.079999999998861</c:v>
                </c:pt>
                <c:pt idx="877">
                  <c:v>70.15999999999886</c:v>
                </c:pt>
                <c:pt idx="878">
                  <c:v>70.239999999998858</c:v>
                </c:pt>
                <c:pt idx="879">
                  <c:v>70.319999999998856</c:v>
                </c:pt>
                <c:pt idx="880">
                  <c:v>70.399999999998855</c:v>
                </c:pt>
                <c:pt idx="881">
                  <c:v>70.479999999998853</c:v>
                </c:pt>
                <c:pt idx="882">
                  <c:v>70.559999999998851</c:v>
                </c:pt>
                <c:pt idx="883">
                  <c:v>70.639999999998849</c:v>
                </c:pt>
                <c:pt idx="884">
                  <c:v>70.719999999998848</c:v>
                </c:pt>
                <c:pt idx="885">
                  <c:v>70.799999999998846</c:v>
                </c:pt>
                <c:pt idx="886">
                  <c:v>70.879999999998844</c:v>
                </c:pt>
                <c:pt idx="887">
                  <c:v>70.959999999998843</c:v>
                </c:pt>
                <c:pt idx="888">
                  <c:v>71.039999999998841</c:v>
                </c:pt>
                <c:pt idx="889">
                  <c:v>71.119999999998839</c:v>
                </c:pt>
                <c:pt idx="890">
                  <c:v>71.199999999998838</c:v>
                </c:pt>
                <c:pt idx="891">
                  <c:v>71.279999999998836</c:v>
                </c:pt>
                <c:pt idx="892">
                  <c:v>71.359999999998834</c:v>
                </c:pt>
                <c:pt idx="893">
                  <c:v>71.439999999998832</c:v>
                </c:pt>
                <c:pt idx="894">
                  <c:v>71.519999999998831</c:v>
                </c:pt>
                <c:pt idx="895">
                  <c:v>71.599999999998829</c:v>
                </c:pt>
                <c:pt idx="896">
                  <c:v>71.679999999998827</c:v>
                </c:pt>
                <c:pt idx="897">
                  <c:v>71.759999999998826</c:v>
                </c:pt>
                <c:pt idx="898">
                  <c:v>71.839999999998824</c:v>
                </c:pt>
                <c:pt idx="899">
                  <c:v>71.919999999998822</c:v>
                </c:pt>
                <c:pt idx="900">
                  <c:v>71.99999999999882</c:v>
                </c:pt>
                <c:pt idx="901">
                  <c:v>72.079999999998819</c:v>
                </c:pt>
                <c:pt idx="902">
                  <c:v>72.159999999998817</c:v>
                </c:pt>
                <c:pt idx="903">
                  <c:v>72.239999999998815</c:v>
                </c:pt>
                <c:pt idx="904">
                  <c:v>72.319999999998814</c:v>
                </c:pt>
                <c:pt idx="905">
                  <c:v>72.399999999998812</c:v>
                </c:pt>
                <c:pt idx="906">
                  <c:v>72.47999999999881</c:v>
                </c:pt>
                <c:pt idx="907">
                  <c:v>72.559999999998809</c:v>
                </c:pt>
                <c:pt idx="908">
                  <c:v>72.639999999998807</c:v>
                </c:pt>
                <c:pt idx="909">
                  <c:v>72.719999999998805</c:v>
                </c:pt>
                <c:pt idx="910">
                  <c:v>72.799999999998803</c:v>
                </c:pt>
                <c:pt idx="911">
                  <c:v>72.879999999998802</c:v>
                </c:pt>
                <c:pt idx="912">
                  <c:v>72.9599999999988</c:v>
                </c:pt>
                <c:pt idx="913">
                  <c:v>73.039999999998798</c:v>
                </c:pt>
                <c:pt idx="914">
                  <c:v>73.119999999998797</c:v>
                </c:pt>
                <c:pt idx="915">
                  <c:v>73.199999999998795</c:v>
                </c:pt>
                <c:pt idx="916">
                  <c:v>73.279999999998793</c:v>
                </c:pt>
                <c:pt idx="917">
                  <c:v>73.359999999998792</c:v>
                </c:pt>
                <c:pt idx="918">
                  <c:v>73.43999999999879</c:v>
                </c:pt>
                <c:pt idx="919">
                  <c:v>73.519999999998788</c:v>
                </c:pt>
                <c:pt idx="920">
                  <c:v>73.599999999998786</c:v>
                </c:pt>
                <c:pt idx="921">
                  <c:v>73.679999999998785</c:v>
                </c:pt>
                <c:pt idx="922">
                  <c:v>73.759999999998783</c:v>
                </c:pt>
                <c:pt idx="923">
                  <c:v>73.839999999998781</c:v>
                </c:pt>
                <c:pt idx="924">
                  <c:v>73.91999999999878</c:v>
                </c:pt>
                <c:pt idx="925">
                  <c:v>73.999999999998778</c:v>
                </c:pt>
                <c:pt idx="926">
                  <c:v>74.079999999998776</c:v>
                </c:pt>
                <c:pt idx="927">
                  <c:v>74.159999999998774</c:v>
                </c:pt>
                <c:pt idx="928">
                  <c:v>74.239999999998773</c:v>
                </c:pt>
                <c:pt idx="929">
                  <c:v>74.319999999998771</c:v>
                </c:pt>
                <c:pt idx="930">
                  <c:v>74.399999999998769</c:v>
                </c:pt>
                <c:pt idx="931">
                  <c:v>74.479999999998768</c:v>
                </c:pt>
                <c:pt idx="932">
                  <c:v>74.559999999998766</c:v>
                </c:pt>
                <c:pt idx="933">
                  <c:v>74.639999999998764</c:v>
                </c:pt>
                <c:pt idx="934">
                  <c:v>74.719999999998763</c:v>
                </c:pt>
                <c:pt idx="935">
                  <c:v>74.799999999998761</c:v>
                </c:pt>
                <c:pt idx="936">
                  <c:v>74.879999999998759</c:v>
                </c:pt>
                <c:pt idx="937">
                  <c:v>74.959999999998757</c:v>
                </c:pt>
                <c:pt idx="938">
                  <c:v>75.039999999998756</c:v>
                </c:pt>
                <c:pt idx="939">
                  <c:v>75.119999999998754</c:v>
                </c:pt>
                <c:pt idx="940">
                  <c:v>75.199999999998752</c:v>
                </c:pt>
                <c:pt idx="941">
                  <c:v>75.279999999998751</c:v>
                </c:pt>
                <c:pt idx="942">
                  <c:v>75.359999999998749</c:v>
                </c:pt>
                <c:pt idx="943">
                  <c:v>75.439999999998747</c:v>
                </c:pt>
                <c:pt idx="944">
                  <c:v>75.519999999998745</c:v>
                </c:pt>
                <c:pt idx="945">
                  <c:v>75.599999999998744</c:v>
                </c:pt>
                <c:pt idx="946">
                  <c:v>75.679999999998742</c:v>
                </c:pt>
                <c:pt idx="947">
                  <c:v>75.75999999999874</c:v>
                </c:pt>
                <c:pt idx="948">
                  <c:v>75.839999999998739</c:v>
                </c:pt>
                <c:pt idx="949">
                  <c:v>75.919999999998737</c:v>
                </c:pt>
                <c:pt idx="950">
                  <c:v>75.999999999998735</c:v>
                </c:pt>
                <c:pt idx="951">
                  <c:v>76.079999999998734</c:v>
                </c:pt>
                <c:pt idx="952">
                  <c:v>76.159999999998732</c:v>
                </c:pt>
                <c:pt idx="953">
                  <c:v>76.23999999999873</c:v>
                </c:pt>
                <c:pt idx="954">
                  <c:v>76.319999999998728</c:v>
                </c:pt>
                <c:pt idx="955">
                  <c:v>76.399999999998727</c:v>
                </c:pt>
                <c:pt idx="956">
                  <c:v>76.479999999998725</c:v>
                </c:pt>
                <c:pt idx="957">
                  <c:v>76.559999999998723</c:v>
                </c:pt>
                <c:pt idx="958">
                  <c:v>76.639999999998722</c:v>
                </c:pt>
                <c:pt idx="959">
                  <c:v>76.71999999999872</c:v>
                </c:pt>
                <c:pt idx="960">
                  <c:v>76.799999999998718</c:v>
                </c:pt>
                <c:pt idx="961">
                  <c:v>76.879999999998716</c:v>
                </c:pt>
                <c:pt idx="962">
                  <c:v>76.959999999998715</c:v>
                </c:pt>
                <c:pt idx="963">
                  <c:v>77.039999999998713</c:v>
                </c:pt>
                <c:pt idx="964">
                  <c:v>77.119999999998711</c:v>
                </c:pt>
                <c:pt idx="965">
                  <c:v>77.19999999999871</c:v>
                </c:pt>
                <c:pt idx="966">
                  <c:v>77.279999999998708</c:v>
                </c:pt>
                <c:pt idx="967">
                  <c:v>77.359999999998706</c:v>
                </c:pt>
                <c:pt idx="968">
                  <c:v>77.439999999998705</c:v>
                </c:pt>
                <c:pt idx="969">
                  <c:v>77.519999999998703</c:v>
                </c:pt>
                <c:pt idx="970">
                  <c:v>77.599999999998701</c:v>
                </c:pt>
                <c:pt idx="971">
                  <c:v>77.679999999998699</c:v>
                </c:pt>
                <c:pt idx="972">
                  <c:v>77.759999999998698</c:v>
                </c:pt>
                <c:pt idx="973">
                  <c:v>77.839999999998696</c:v>
                </c:pt>
                <c:pt idx="974">
                  <c:v>77.919999999998694</c:v>
                </c:pt>
                <c:pt idx="975">
                  <c:v>77.999999999998693</c:v>
                </c:pt>
                <c:pt idx="976">
                  <c:v>78.079999999998691</c:v>
                </c:pt>
                <c:pt idx="977">
                  <c:v>78.159999999998689</c:v>
                </c:pt>
                <c:pt idx="978">
                  <c:v>78.239999999998687</c:v>
                </c:pt>
                <c:pt idx="979">
                  <c:v>78.319999999998686</c:v>
                </c:pt>
                <c:pt idx="980">
                  <c:v>78.399999999998684</c:v>
                </c:pt>
                <c:pt idx="981">
                  <c:v>78.479999999998682</c:v>
                </c:pt>
                <c:pt idx="982">
                  <c:v>78.559999999998681</c:v>
                </c:pt>
                <c:pt idx="983">
                  <c:v>78.639999999998679</c:v>
                </c:pt>
                <c:pt idx="984">
                  <c:v>78.719999999998677</c:v>
                </c:pt>
                <c:pt idx="985">
                  <c:v>78.799999999998676</c:v>
                </c:pt>
                <c:pt idx="986">
                  <c:v>78.879999999998674</c:v>
                </c:pt>
                <c:pt idx="987">
                  <c:v>78.959999999998672</c:v>
                </c:pt>
                <c:pt idx="988">
                  <c:v>79.03999999999867</c:v>
                </c:pt>
                <c:pt idx="989">
                  <c:v>79.119999999998669</c:v>
                </c:pt>
                <c:pt idx="990">
                  <c:v>79.199999999998667</c:v>
                </c:pt>
                <c:pt idx="991">
                  <c:v>79.279999999998665</c:v>
                </c:pt>
                <c:pt idx="992">
                  <c:v>79.359999999998664</c:v>
                </c:pt>
                <c:pt idx="993">
                  <c:v>79.439999999998662</c:v>
                </c:pt>
                <c:pt idx="994">
                  <c:v>79.51999999999866</c:v>
                </c:pt>
                <c:pt idx="995">
                  <c:v>79.599999999998658</c:v>
                </c:pt>
                <c:pt idx="996">
                  <c:v>79.679999999998657</c:v>
                </c:pt>
                <c:pt idx="997">
                  <c:v>79.759999999998655</c:v>
                </c:pt>
                <c:pt idx="998">
                  <c:v>79.839999999998653</c:v>
                </c:pt>
                <c:pt idx="999">
                  <c:v>79.919999999998652</c:v>
                </c:pt>
                <c:pt idx="1000">
                  <c:v>79.99999999999865</c:v>
                </c:pt>
              </c:numCache>
            </c:numRef>
          </c:xVal>
          <c:yVal>
            <c:numRef>
              <c:f>Model!$T$25:$T$1025</c:f>
              <c:numCache>
                <c:formatCode>0.00E+00</c:formatCode>
                <c:ptCount val="1001"/>
                <c:pt idx="0">
                  <c:v>0</c:v>
                </c:pt>
                <c:pt idx="1">
                  <c:v>1.3965162682274065E-2</c:v>
                </c:pt>
                <c:pt idx="2">
                  <c:v>2.6853781292111419E-2</c:v>
                </c:pt>
                <c:pt idx="3">
                  <c:v>3.8748860202360874E-2</c:v>
                </c:pt>
                <c:pt idx="4">
                  <c:v>4.9727003643518633E-2</c:v>
                </c:pt>
                <c:pt idx="5">
                  <c:v>5.985890919884311E-2</c:v>
                </c:pt>
                <c:pt idx="6">
                  <c:v>6.9209823247499427E-2</c:v>
                </c:pt>
                <c:pt idx="7">
                  <c:v>7.7839961289811757E-2</c:v>
                </c:pt>
                <c:pt idx="8">
                  <c:v>8.5804895862463468E-2</c:v>
                </c:pt>
                <c:pt idx="9">
                  <c:v>9.3155914542691065E-2</c:v>
                </c:pt>
                <c:pt idx="10">
                  <c:v>9.9940350347823809E-2</c:v>
                </c:pt>
                <c:pt idx="11">
                  <c:v>0.10620188665868439</c:v>
                </c:pt>
                <c:pt idx="12">
                  <c:v>0.11198083863124277</c:v>
                </c:pt>
                <c:pt idx="13">
                  <c:v>0.11731441290944611</c:v>
                </c:pt>
                <c:pt idx="14">
                  <c:v>0.12223694731235893</c:v>
                </c:pt>
                <c:pt idx="15">
                  <c:v>0.12678013203973656</c:v>
                </c:pt>
                <c:pt idx="16">
                  <c:v>0.13097321382109248</c:v>
                </c:pt>
                <c:pt idx="17">
                  <c:v>0.13484318432343737</c:v>
                </c:pt>
                <c:pt idx="18">
                  <c:v>0.13841495403145859</c:v>
                </c:pt>
                <c:pt idx="19">
                  <c:v>0.14171151272031812</c:v>
                </c:pt>
                <c:pt idx="20">
                  <c:v>0.14475407755487338</c:v>
                </c:pt>
                <c:pt idx="21">
                  <c:v>0.147562229769412</c:v>
                </c:pt>
                <c:pt idx="22">
                  <c:v>0.15015404080842382</c:v>
                </c:pt>
                <c:pt idx="23">
                  <c:v>0.15254618874103917</c:v>
                </c:pt>
                <c:pt idx="24">
                  <c:v>0.15475406569910308</c:v>
                </c:pt>
                <c:pt idx="25">
                  <c:v>0.15679187703102623</c:v>
                </c:pt>
                <c:pt idx="26">
                  <c:v>0.15867273281018596</c:v>
                </c:pt>
                <c:pt idx="27">
                  <c:v>0.16040873228739494</c:v>
                </c:pt>
                <c:pt idx="28">
                  <c:v>0.1620110418315005</c:v>
                </c:pt>
                <c:pt idx="29">
                  <c:v>0.16348996686022568</c:v>
                </c:pt>
                <c:pt idx="30">
                  <c:v>0.16485501822464704</c:v>
                </c:pt>
                <c:pt idx="31">
                  <c:v>0.166114973474973</c:v>
                </c:pt>
                <c:pt idx="32">
                  <c:v>0.1672779334023109</c:v>
                </c:pt>
                <c:pt idx="33">
                  <c:v>0.16835137422067728</c:v>
                </c:pt>
                <c:pt idx="34">
                  <c:v>0.16934219572541967</c:v>
                </c:pt>
                <c:pt idx="35">
                  <c:v>0.17025676573829662</c:v>
                </c:pt>
                <c:pt idx="36">
                  <c:v>0.1711009611255413</c:v>
                </c:pt>
                <c:pt idx="37">
                  <c:v>0.17188020565315554</c:v>
                </c:pt>
                <c:pt idx="38">
                  <c:v>0.17259950492330617</c:v>
                </c:pt>
                <c:pt idx="39">
                  <c:v>0.17326347861689134</c:v>
                </c:pt>
                <c:pt idx="40">
                  <c:v>0.17387639024998996</c:v>
                </c:pt>
                <c:pt idx="41">
                  <c:v>0.17444217463589154</c:v>
                </c:pt>
                <c:pt idx="42">
                  <c:v>0.17496446322962195</c:v>
                </c:pt>
                <c:pt idx="43">
                  <c:v>0.17544660751823993</c:v>
                </c:pt>
                <c:pt idx="44">
                  <c:v>0.17589170060758899</c:v>
                </c:pt>
                <c:pt idx="45">
                  <c:v>0.17630259714457031</c:v>
                </c:pt>
                <c:pt idx="46">
                  <c:v>0.17668193170328012</c:v>
                </c:pt>
                <c:pt idx="47">
                  <c:v>0.17703213575345791</c:v>
                </c:pt>
                <c:pt idx="48">
                  <c:v>0.17735545332055952</c:v>
                </c:pt>
                <c:pt idx="49">
                  <c:v>0.17765395543833959</c:v>
                </c:pt>
                <c:pt idx="50">
                  <c:v>0.17792955348704961</c:v>
                </c:pt>
                <c:pt idx="51">
                  <c:v>0.1781840115031782</c:v>
                </c:pt>
                <c:pt idx="52">
                  <c:v>0.17841895754003476</c:v>
                </c:pt>
                <c:pt idx="53">
                  <c:v>0.17863589415236317</c:v>
                </c:pt>
                <c:pt idx="54">
                  <c:v>0.17883620807252873</c:v>
                </c:pt>
                <c:pt idx="55">
                  <c:v>0.17902117914061377</c:v>
                </c:pt>
                <c:pt idx="56">
                  <c:v>0.17919198854595042</c:v>
                </c:pt>
                <c:pt idx="57">
                  <c:v>0.17934972643318384</c:v>
                </c:pt>
                <c:pt idx="58">
                  <c:v>0.17949539892186453</c:v>
                </c:pt>
                <c:pt idx="59">
                  <c:v>0.17962993458479087</c:v>
                </c:pt>
                <c:pt idx="60">
                  <c:v>0.17975419042683596</c:v>
                </c:pt>
                <c:pt idx="61">
                  <c:v>0.17986895740277448</c:v>
                </c:pt>
                <c:pt idx="62">
                  <c:v>0.17997496550965614</c:v>
                </c:pt>
                <c:pt idx="63">
                  <c:v>0.18007288848653094</c:v>
                </c:pt>
                <c:pt idx="64">
                  <c:v>0.18016334815180177</c:v>
                </c:pt>
                <c:pt idx="65">
                  <c:v>0.18024691840614604</c:v>
                </c:pt>
                <c:pt idx="66">
                  <c:v>0.18032412892679306</c:v>
                </c:pt>
                <c:pt idx="67">
                  <c:v>0.18039546857695551</c:v>
                </c:pt>
                <c:pt idx="68">
                  <c:v>0.18046138855237881</c:v>
                </c:pt>
                <c:pt idx="69">
                  <c:v>0.18052230528527796</c:v>
                </c:pt>
                <c:pt idx="70">
                  <c:v>0.1805786031243691</c:v>
                </c:pt>
                <c:pt idx="71">
                  <c:v>0.1806306368082603</c:v>
                </c:pt>
                <c:pt idx="72">
                  <c:v>0.18067873374813465</c:v>
                </c:pt>
                <c:pt idx="73">
                  <c:v>0.18072319613443083</c:v>
                </c:pt>
                <c:pt idx="74">
                  <c:v>0.18076430288109174</c:v>
                </c:pt>
                <c:pt idx="75">
                  <c:v>0.18080231141990571</c:v>
                </c:pt>
                <c:pt idx="76">
                  <c:v>0.18083745935649942</c:v>
                </c:pt>
                <c:pt idx="77">
                  <c:v>0.18086996599864946</c:v>
                </c:pt>
                <c:pt idx="78">
                  <c:v>0.1809000337667582</c:v>
                </c:pt>
                <c:pt idx="79">
                  <c:v>0.18092784949557916</c:v>
                </c:pt>
                <c:pt idx="80">
                  <c:v>0.18095358563557767</c:v>
                </c:pt>
                <c:pt idx="81">
                  <c:v>0.18097740136166521</c:v>
                </c:pt>
                <c:pt idx="82">
                  <c:v>0.18099944359644968</c:v>
                </c:pt>
                <c:pt idx="83">
                  <c:v>0.18101984795459269</c:v>
                </c:pt>
                <c:pt idx="84">
                  <c:v>0.18103873961435721</c:v>
                </c:pt>
                <c:pt idx="85">
                  <c:v>0.18105623412195923</c:v>
                </c:pt>
                <c:pt idx="86">
                  <c:v>0.18107243813390508</c:v>
                </c:pt>
                <c:pt idx="87">
                  <c:v>0.18108745010209557</c:v>
                </c:pt>
                <c:pt idx="88">
                  <c:v>0.18110136090611018</c:v>
                </c:pt>
                <c:pt idx="89">
                  <c:v>0.18111425443674403</c:v>
                </c:pt>
                <c:pt idx="90">
                  <c:v>0.18112620813455602</c:v>
                </c:pt>
                <c:pt idx="91">
                  <c:v>0.18113729348689725</c:v>
                </c:pt>
                <c:pt idx="92">
                  <c:v>0.18114757648662091</c:v>
                </c:pt>
                <c:pt idx="93">
                  <c:v>0.18115711805542825</c:v>
                </c:pt>
                <c:pt idx="94">
                  <c:v>0.18116597443457733</c:v>
                </c:pt>
                <c:pt idx="95">
                  <c:v>0.18117419754547084</c:v>
                </c:pt>
                <c:pt idx="96">
                  <c:v>0.18118183532244583</c:v>
                </c:pt>
                <c:pt idx="97">
                  <c:v>0.18118893201990821</c:v>
                </c:pt>
                <c:pt idx="98">
                  <c:v>0.18119552849579043</c:v>
                </c:pt>
                <c:pt idx="99">
                  <c:v>0.18120166247315778</c:v>
                </c:pt>
                <c:pt idx="100">
                  <c:v>0.18120736878164809</c:v>
                </c:pt>
                <c:pt idx="101">
                  <c:v>0.18121267958029993</c:v>
                </c:pt>
                <c:pt idx="102">
                  <c:v>0.18121762456320398</c:v>
                </c:pt>
                <c:pt idx="103">
                  <c:v>0.18122223114930208</c:v>
                </c:pt>
                <c:pt idx="104">
                  <c:v>0.18122652465755634</c:v>
                </c:pt>
                <c:pt idx="105">
                  <c:v>0.18123052846861615</c:v>
                </c:pt>
                <c:pt idx="106">
                  <c:v>0.18123426417402405</c:v>
                </c:pt>
                <c:pt idx="107">
                  <c:v>0.1812377517139214</c:v>
                </c:pt>
                <c:pt idx="108">
                  <c:v>0.18124100950414029</c:v>
                </c:pt>
                <c:pt idx="109">
                  <c:v>0.18124405455350034</c:v>
                </c:pt>
                <c:pt idx="110">
                  <c:v>0.18124690257206516</c:v>
                </c:pt>
                <c:pt idx="111">
                  <c:v>0.18124956807105586</c:v>
                </c:pt>
                <c:pt idx="112">
                  <c:v>0.18125206445506453</c:v>
                </c:pt>
                <c:pt idx="113">
                  <c:v>0.18125440410716157</c:v>
                </c:pt>
                <c:pt idx="114">
                  <c:v>0.1812565984674446</c:v>
                </c:pt>
                <c:pt idx="115">
                  <c:v>0.18125865810553465</c:v>
                </c:pt>
                <c:pt idx="116">
                  <c:v>0.18126059278748616</c:v>
                </c:pt>
                <c:pt idx="117">
                  <c:v>0.18126241153754155</c:v>
                </c:pt>
                <c:pt idx="118">
                  <c:v>0.1812641226951279</c:v>
                </c:pt>
                <c:pt idx="119">
                  <c:v>0.18126573396746218</c:v>
                </c:pt>
                <c:pt idx="120">
                  <c:v>0.18126725247810418</c:v>
                </c:pt>
                <c:pt idx="121">
                  <c:v>0.18126868481176886</c:v>
                </c:pt>
                <c:pt idx="122">
                  <c:v>0.18127003705568692</c:v>
                </c:pt>
                <c:pt idx="123">
                  <c:v>0.1812713148377797</c:v>
                </c:pt>
                <c:pt idx="124">
                  <c:v>0.18127252336189367</c:v>
                </c:pt>
                <c:pt idx="125">
                  <c:v>0.18127366744032139</c:v>
                </c:pt>
                <c:pt idx="126">
                  <c:v>0.18127475152381822</c:v>
                </c:pt>
                <c:pt idx="127">
                  <c:v>0.1812757797293075</c:v>
                </c:pt>
                <c:pt idx="128">
                  <c:v>0.18127675586545275</c:v>
                </c:pt>
                <c:pt idx="129">
                  <c:v>0.18127768345626097</c:v>
                </c:pt>
                <c:pt idx="130">
                  <c:v>0.18127856576286899</c:v>
                </c:pt>
                <c:pt idx="131">
                  <c:v>0.1812794058036529</c:v>
                </c:pt>
                <c:pt idx="132">
                  <c:v>0.18128020637278972</c:v>
                </c:pt>
                <c:pt idx="133">
                  <c:v>0.18128097005739074</c:v>
                </c:pt>
                <c:pt idx="134">
                  <c:v>0.18128169925331655</c:v>
                </c:pt>
                <c:pt idx="135">
                  <c:v>0.18128239617977515</c:v>
                </c:pt>
                <c:pt idx="136">
                  <c:v>0.18128306289279741</c:v>
                </c:pt>
                <c:pt idx="137">
                  <c:v>0.18128370129767588</c:v>
                </c:pt>
                <c:pt idx="138">
                  <c:v>0.18128431316044719</c:v>
                </c:pt>
                <c:pt idx="139">
                  <c:v>0.18128490011849147</c:v>
                </c:pt>
                <c:pt idx="140">
                  <c:v>0.18128546369031728</c:v>
                </c:pt>
                <c:pt idx="141">
                  <c:v>0.1812860052845941</c:v>
                </c:pt>
                <c:pt idx="142">
                  <c:v>0.18128652620849092</c:v>
                </c:pt>
                <c:pt idx="143">
                  <c:v>0.18128702767537444</c:v>
                </c:pt>
                <c:pt idx="144">
                  <c:v>0.1812875108119156</c:v>
                </c:pt>
                <c:pt idx="145">
                  <c:v>0.18128797666465077</c:v>
                </c:pt>
                <c:pt idx="146">
                  <c:v>0.18128842620603897</c:v>
                </c:pt>
                <c:pt idx="147">
                  <c:v>0.18128886034005454</c:v>
                </c:pt>
                <c:pt idx="148">
                  <c:v>0.18128927990735041</c:v>
                </c:pt>
                <c:pt idx="149">
                  <c:v>0.18128968569002565</c:v>
                </c:pt>
                <c:pt idx="150">
                  <c:v>0.18129007841602721</c:v>
                </c:pt>
                <c:pt idx="151">
                  <c:v>0.18129045876321453</c:v>
                </c:pt>
                <c:pt idx="152">
                  <c:v>0.18129082736311256</c:v>
                </c:pt>
                <c:pt idx="153">
                  <c:v>0.18129118480437756</c:v>
                </c:pt>
                <c:pt idx="154">
                  <c:v>0.18129153163599732</c:v>
                </c:pt>
                <c:pt idx="155">
                  <c:v>0.18129186837024686</c:v>
                </c:pt>
                <c:pt idx="156">
                  <c:v>0.1812921954854177</c:v>
                </c:pt>
                <c:pt idx="157">
                  <c:v>0.18129251342833883</c:v>
                </c:pt>
                <c:pt idx="158">
                  <c:v>0.18129282261670498</c:v>
                </c:pt>
                <c:pt idx="159">
                  <c:v>0.18129312344122708</c:v>
                </c:pt>
                <c:pt idx="160">
                  <c:v>0.18129341626761869</c:v>
                </c:pt>
                <c:pt idx="161">
                  <c:v>0.1812937014384309</c:v>
                </c:pt>
                <c:pt idx="162">
                  <c:v>0.18129397927474752</c:v>
                </c:pt>
                <c:pt idx="163">
                  <c:v>0.18129425007775113</c:v>
                </c:pt>
                <c:pt idx="164">
                  <c:v>0.18129451413016992</c:v>
                </c:pt>
                <c:pt idx="165">
                  <c:v>0.18129477169761474</c:v>
                </c:pt>
                <c:pt idx="166">
                  <c:v>0.18129502302981443</c:v>
                </c:pt>
                <c:pt idx="167">
                  <c:v>0.18129526836175744</c:v>
                </c:pt>
                <c:pt idx="168">
                  <c:v>0.18129550791474711</c:v>
                </c:pt>
                <c:pt idx="169">
                  <c:v>0.18129574189737666</c:v>
                </c:pt>
                <c:pt idx="170">
                  <c:v>0.18129597050643087</c:v>
                </c:pt>
                <c:pt idx="171">
                  <c:v>0.18129619392771945</c:v>
                </c:pt>
                <c:pt idx="172">
                  <c:v>0.18129641233684746</c:v>
                </c:pt>
                <c:pt idx="173">
                  <c:v>0.1812966258999279</c:v>
                </c:pt>
                <c:pt idx="174">
                  <c:v>0.18129683477424052</c:v>
                </c:pt>
                <c:pt idx="175">
                  <c:v>0.18129703910884121</c:v>
                </c:pt>
                <c:pt idx="176">
                  <c:v>0.18129723904512571</c:v>
                </c:pt>
                <c:pt idx="177">
                  <c:v>0.18129743471735119</c:v>
                </c:pt>
                <c:pt idx="178">
                  <c:v>0.18129762625311863</c:v>
                </c:pt>
                <c:pt idx="179">
                  <c:v>0.18129781377381951</c:v>
                </c:pt>
                <c:pt idx="180">
                  <c:v>0.18129799739504907</c:v>
                </c:pt>
                <c:pt idx="181">
                  <c:v>0.18129817722698899</c:v>
                </c:pt>
                <c:pt idx="182">
                  <c:v>0.18129835337476163</c:v>
                </c:pt>
                <c:pt idx="183">
                  <c:v>0.1812985259387582</c:v>
                </c:pt>
                <c:pt idx="184">
                  <c:v>0.18129869501494267</c:v>
                </c:pt>
                <c:pt idx="185">
                  <c:v>0.18129886069513335</c:v>
                </c:pt>
                <c:pt idx="186">
                  <c:v>0.18129902306726386</c:v>
                </c:pt>
                <c:pt idx="187">
                  <c:v>0.18129918221562505</c:v>
                </c:pt>
                <c:pt idx="188">
                  <c:v>0.18129933822108923</c:v>
                </c:pt>
                <c:pt idx="189">
                  <c:v>0.18129949116131822</c:v>
                </c:pt>
                <c:pt idx="190">
                  <c:v>0.18129964111095631</c:v>
                </c:pt>
                <c:pt idx="191">
                  <c:v>0.18129978814180941</c:v>
                </c:pt>
                <c:pt idx="192">
                  <c:v>0.18129993232301117</c:v>
                </c:pt>
                <c:pt idx="193">
                  <c:v>0.18130007372117743</c:v>
                </c:pt>
                <c:pt idx="194">
                  <c:v>0.18130021240054961</c:v>
                </c:pt>
                <c:pt idx="195">
                  <c:v>0.18130034842312789</c:v>
                </c:pt>
                <c:pt idx="196">
                  <c:v>0.1813004818487953</c:v>
                </c:pt>
                <c:pt idx="197">
                  <c:v>0.1813006127354326</c:v>
                </c:pt>
                <c:pt idx="198">
                  <c:v>0.18130074113902586</c:v>
                </c:pt>
                <c:pt idx="199">
                  <c:v>0.18130086711376589</c:v>
                </c:pt>
                <c:pt idx="200">
                  <c:v>0.18130099071214137</c:v>
                </c:pt>
                <c:pt idx="201">
                  <c:v>0.18130111198502541</c:v>
                </c:pt>
                <c:pt idx="202">
                  <c:v>0.18130123098175616</c:v>
                </c:pt>
                <c:pt idx="203">
                  <c:v>0.1813013477502122</c:v>
                </c:pt>
                <c:pt idx="204">
                  <c:v>0.18130146233688271</c:v>
                </c:pt>
                <c:pt idx="205">
                  <c:v>0.1813015747869331</c:v>
                </c:pt>
                <c:pt idx="206">
                  <c:v>0.18130168514426626</c:v>
                </c:pt>
                <c:pt idx="207">
                  <c:v>0.18130179345157998</c:v>
                </c:pt>
                <c:pt idx="208">
                  <c:v>0.18130189975042038</c:v>
                </c:pt>
                <c:pt idx="209">
                  <c:v>0.18130200408123218</c:v>
                </c:pt>
                <c:pt idx="210">
                  <c:v>0.18130210648340567</c:v>
                </c:pt>
                <c:pt idx="211">
                  <c:v>0.18130220699532087</c:v>
                </c:pt>
                <c:pt idx="212">
                  <c:v>0.18130230565438873</c:v>
                </c:pt>
                <c:pt idx="213">
                  <c:v>0.18130240249709006</c:v>
                </c:pt>
                <c:pt idx="214">
                  <c:v>0.18130249755901187</c:v>
                </c:pt>
                <c:pt idx="215">
                  <c:v>0.18130259087488179</c:v>
                </c:pt>
                <c:pt idx="216">
                  <c:v>0.18130268247860029</c:v>
                </c:pt>
                <c:pt idx="217">
                  <c:v>0.18130277240327106</c:v>
                </c:pt>
                <c:pt idx="218">
                  <c:v>0.18130286068122964</c:v>
                </c:pt>
                <c:pt idx="219">
                  <c:v>0.18130294734407054</c:v>
                </c:pt>
                <c:pt idx="220">
                  <c:v>0.18130303242267273</c:v>
                </c:pt>
                <c:pt idx="221">
                  <c:v>0.18130311594722376</c:v>
                </c:pt>
                <c:pt idx="222">
                  <c:v>0.18130319794724256</c:v>
                </c:pt>
                <c:pt idx="223">
                  <c:v>0.18130327845160116</c:v>
                </c:pt>
                <c:pt idx="224">
                  <c:v>0.18130335748854506</c:v>
                </c:pt>
                <c:pt idx="225">
                  <c:v>0.18130343508571287</c:v>
                </c:pt>
                <c:pt idx="226">
                  <c:v>0.18130351127015454</c:v>
                </c:pt>
                <c:pt idx="227">
                  <c:v>0.18130358606834904</c:v>
                </c:pt>
                <c:pt idx="228">
                  <c:v>0.18130365950622107</c:v>
                </c:pt>
                <c:pt idx="229">
                  <c:v>0.18130373160915692</c:v>
                </c:pt>
                <c:pt idx="230">
                  <c:v>0.18130380240201968</c:v>
                </c:pt>
                <c:pt idx="231">
                  <c:v>0.18130387190916369</c:v>
                </c:pt>
                <c:pt idx="232">
                  <c:v>0.18130394015444837</c:v>
                </c:pt>
                <c:pt idx="233">
                  <c:v>0.18130400716125139</c:v>
                </c:pt>
                <c:pt idx="234">
                  <c:v>0.18130407295248138</c:v>
                </c:pt>
                <c:pt idx="235">
                  <c:v>0.18130413755058999</c:v>
                </c:pt>
                <c:pt idx="236">
                  <c:v>0.18130420097758351</c:v>
                </c:pt>
                <c:pt idx="237">
                  <c:v>0.18130426325503407</c:v>
                </c:pt>
                <c:pt idx="238">
                  <c:v>0.18130432440409028</c:v>
                </c:pt>
                <c:pt idx="239">
                  <c:v>0.18130438444548755</c:v>
                </c:pt>
                <c:pt idx="240">
                  <c:v>0.18130444339955792</c:v>
                </c:pt>
                <c:pt idx="241">
                  <c:v>0.18130450128623976</c:v>
                </c:pt>
                <c:pt idx="242">
                  <c:v>0.1813045581250867</c:v>
                </c:pt>
                <c:pt idx="243">
                  <c:v>0.18130461393527672</c:v>
                </c:pt>
                <c:pt idx="244">
                  <c:v>0.18130466873562062</c:v>
                </c:pt>
                <c:pt idx="245">
                  <c:v>0.18130472254457025</c:v>
                </c:pt>
                <c:pt idx="246">
                  <c:v>0.18130477538022652</c:v>
                </c:pt>
                <c:pt idx="247">
                  <c:v>0.18130482726034711</c:v>
                </c:pt>
                <c:pt idx="248">
                  <c:v>0.18130487820235394</c:v>
                </c:pt>
                <c:pt idx="249">
                  <c:v>0.18130492822334052</c:v>
                </c:pt>
                <c:pt idx="250">
                  <c:v>0.1813049773400788</c:v>
                </c:pt>
                <c:pt idx="251">
                  <c:v>0.18130502556902608</c:v>
                </c:pt>
                <c:pt idx="252">
                  <c:v>0.18130507292633166</c:v>
                </c:pt>
                <c:pt idx="253">
                  <c:v>0.18130511942784314</c:v>
                </c:pt>
                <c:pt idx="254">
                  <c:v>0.18130516508911274</c:v>
                </c:pt>
                <c:pt idx="255">
                  <c:v>0.18130520992540336</c:v>
                </c:pt>
                <c:pt idx="256">
                  <c:v>0.18130525395169442</c:v>
                </c:pt>
                <c:pt idx="257">
                  <c:v>0.18130529718268767</c:v>
                </c:pt>
                <c:pt idx="258">
                  <c:v>0.18130533963281278</c:v>
                </c:pt>
                <c:pt idx="259">
                  <c:v>0.18130538131623267</c:v>
                </c:pt>
                <c:pt idx="260">
                  <c:v>0.18130542224684887</c:v>
                </c:pt>
                <c:pt idx="261">
                  <c:v>0.18130546243830681</c:v>
                </c:pt>
                <c:pt idx="262">
                  <c:v>0.18130550190400066</c:v>
                </c:pt>
                <c:pt idx="263">
                  <c:v>0.18130554065707838</c:v>
                </c:pt>
                <c:pt idx="264">
                  <c:v>0.18130557871044647</c:v>
                </c:pt>
                <c:pt idx="265">
                  <c:v>0.18130561607677467</c:v>
                </c:pt>
                <c:pt idx="266">
                  <c:v>0.18130565276850052</c:v>
                </c:pt>
                <c:pt idx="267">
                  <c:v>0.18130568879783387</c:v>
                </c:pt>
                <c:pt idx="268">
                  <c:v>0.18130572417676116</c:v>
                </c:pt>
                <c:pt idx="269">
                  <c:v>0.18130575891704978</c:v>
                </c:pt>
                <c:pt idx="270">
                  <c:v>0.18130579303025218</c:v>
                </c:pt>
                <c:pt idx="271">
                  <c:v>0.18130582652770999</c:v>
                </c:pt>
                <c:pt idx="272">
                  <c:v>0.18130585942055799</c:v>
                </c:pt>
                <c:pt idx="273">
                  <c:v>0.18130589171972805</c:v>
                </c:pt>
                <c:pt idx="274">
                  <c:v>0.18130592343595284</c:v>
                </c:pt>
                <c:pt idx="275">
                  <c:v>0.18130595457976972</c:v>
                </c:pt>
                <c:pt idx="276">
                  <c:v>0.18130598516152435</c:v>
                </c:pt>
                <c:pt idx="277">
                  <c:v>0.18130601519137418</c:v>
                </c:pt>
                <c:pt idx="278">
                  <c:v>0.18130604467929209</c:v>
                </c:pt>
                <c:pt idx="279">
                  <c:v>0.18130607363506976</c:v>
                </c:pt>
                <c:pt idx="280">
                  <c:v>0.18130610206832101</c:v>
                </c:pt>
                <c:pt idx="281">
                  <c:v>0.18130612998848519</c:v>
                </c:pt>
                <c:pt idx="282">
                  <c:v>0.18130615740483033</c:v>
                </c:pt>
                <c:pt idx="283">
                  <c:v>0.18130618432645637</c:v>
                </c:pt>
                <c:pt idx="284">
                  <c:v>0.18130621076229819</c:v>
                </c:pt>
                <c:pt idx="285">
                  <c:v>0.18130623672112872</c:v>
                </c:pt>
                <c:pt idx="286">
                  <c:v>0.18130626221156193</c:v>
                </c:pt>
                <c:pt idx="287">
                  <c:v>0.18130628724205564</c:v>
                </c:pt>
                <c:pt idx="288">
                  <c:v>0.1813063118209145</c:v>
                </c:pt>
                <c:pt idx="289">
                  <c:v>0.18130633595629286</c:v>
                </c:pt>
                <c:pt idx="290">
                  <c:v>0.18130635965619732</c:v>
                </c:pt>
                <c:pt idx="291">
                  <c:v>0.18130638292848961</c:v>
                </c:pt>
                <c:pt idx="292">
                  <c:v>0.18130640578088916</c:v>
                </c:pt>
                <c:pt idx="293">
                  <c:v>0.18130642822097576</c:v>
                </c:pt>
                <c:pt idx="294">
                  <c:v>0.18130645025619205</c:v>
                </c:pt>
                <c:pt idx="295">
                  <c:v>0.18130647189384605</c:v>
                </c:pt>
                <c:pt idx="296">
                  <c:v>0.18130649314111369</c:v>
                </c:pt>
                <c:pt idx="297">
                  <c:v>0.18130651400504103</c:v>
                </c:pt>
                <c:pt idx="298">
                  <c:v>0.1813065344925468</c:v>
                </c:pt>
                <c:pt idx="299">
                  <c:v>0.18130655461042469</c:v>
                </c:pt>
                <c:pt idx="300">
                  <c:v>0.18130657436534553</c:v>
                </c:pt>
                <c:pt idx="301">
                  <c:v>0.18130659376385963</c:v>
                </c:pt>
                <c:pt idx="302">
                  <c:v>0.18130661281239893</c:v>
                </c:pt>
                <c:pt idx="303">
                  <c:v>0.18130663151727913</c:v>
                </c:pt>
                <c:pt idx="304">
                  <c:v>0.18130664988470188</c:v>
                </c:pt>
                <c:pt idx="305">
                  <c:v>0.18130666792075673</c:v>
                </c:pt>
                <c:pt idx="306">
                  <c:v>0.18130668563142327</c:v>
                </c:pt>
                <c:pt idx="307">
                  <c:v>0.18130670302257304</c:v>
                </c:pt>
                <c:pt idx="308">
                  <c:v>0.18130672009997159</c:v>
                </c:pt>
                <c:pt idx="309">
                  <c:v>0.18130673686928031</c:v>
                </c:pt>
                <c:pt idx="310">
                  <c:v>0.18130675333605833</c:v>
                </c:pt>
                <c:pt idx="311">
                  <c:v>0.18130676950576446</c:v>
                </c:pt>
                <c:pt idx="312">
                  <c:v>0.18130678538375891</c:v>
                </c:pt>
                <c:pt idx="313">
                  <c:v>0.1813068009753051</c:v>
                </c:pt>
                <c:pt idx="314">
                  <c:v>0.18130681628557144</c:v>
                </c:pt>
                <c:pt idx="315">
                  <c:v>0.18130683131963299</c:v>
                </c:pt>
                <c:pt idx="316">
                  <c:v>0.18130684608247327</c:v>
                </c:pt>
                <c:pt idx="317">
                  <c:v>0.18130686057898576</c:v>
                </c:pt>
                <c:pt idx="318">
                  <c:v>0.18130687481397564</c:v>
                </c:pt>
                <c:pt idx="319">
                  <c:v>0.18130688879216136</c:v>
                </c:pt>
                <c:pt idx="320">
                  <c:v>0.18130690251817622</c:v>
                </c:pt>
                <c:pt idx="321">
                  <c:v>0.18130691599656981</c:v>
                </c:pt>
                <c:pt idx="322">
                  <c:v>0.18130692923180969</c:v>
                </c:pt>
                <c:pt idx="323">
                  <c:v>0.18130694222828275</c:v>
                </c:pt>
                <c:pt idx="324">
                  <c:v>0.18130695499029673</c:v>
                </c:pt>
                <c:pt idx="325">
                  <c:v>0.18130696752208159</c:v>
                </c:pt>
                <c:pt idx="326">
                  <c:v>0.18130697982779101</c:v>
                </c:pt>
                <c:pt idx="327">
                  <c:v>0.18130699191150362</c:v>
                </c:pt>
                <c:pt idx="328">
                  <c:v>0.18130700377722458</c:v>
                </c:pt>
                <c:pt idx="329">
                  <c:v>0.18130701542888664</c:v>
                </c:pt>
                <c:pt idx="330">
                  <c:v>0.18130702687035169</c:v>
                </c:pt>
                <c:pt idx="331">
                  <c:v>0.18130703810541182</c:v>
                </c:pt>
                <c:pt idx="332">
                  <c:v>0.1813070491377908</c:v>
                </c:pt>
                <c:pt idx="333">
                  <c:v>0.18130705997114518</c:v>
                </c:pt>
                <c:pt idx="334">
                  <c:v>0.18130707060906548</c:v>
                </c:pt>
                <c:pt idx="335">
                  <c:v>0.18130708105507748</c:v>
                </c:pt>
                <c:pt idx="336">
                  <c:v>0.18130709131264333</c:v>
                </c:pt>
                <c:pt idx="337">
                  <c:v>0.18130710138516273</c:v>
                </c:pt>
                <c:pt idx="338">
                  <c:v>0.18130711127597401</c:v>
                </c:pt>
                <c:pt idx="339">
                  <c:v>0.18130712098835527</c:v>
                </c:pt>
                <c:pt idx="340">
                  <c:v>0.18130713052552547</c:v>
                </c:pt>
                <c:pt idx="341">
                  <c:v>0.18130713989064551</c:v>
                </c:pt>
                <c:pt idx="342">
                  <c:v>0.18130714908681922</c:v>
                </c:pt>
                <c:pt idx="343">
                  <c:v>0.18130715811709444</c:v>
                </c:pt>
                <c:pt idx="344">
                  <c:v>0.18130716698446409</c:v>
                </c:pt>
                <c:pt idx="345">
                  <c:v>0.18130717569186697</c:v>
                </c:pt>
                <c:pt idx="346">
                  <c:v>0.18130718424218897</c:v>
                </c:pt>
                <c:pt idx="347">
                  <c:v>0.18130719263826386</c:v>
                </c:pt>
                <c:pt idx="348">
                  <c:v>0.18130720088287428</c:v>
                </c:pt>
                <c:pt idx="349">
                  <c:v>0.18130720897875269</c:v>
                </c:pt>
                <c:pt idx="350">
                  <c:v>0.1813072169285822</c:v>
                </c:pt>
                <c:pt idx="351">
                  <c:v>0.18130722473499761</c:v>
                </c:pt>
                <c:pt idx="352">
                  <c:v>0.1813072324005861</c:v>
                </c:pt>
                <c:pt idx="353">
                  <c:v>0.18130723992788822</c:v>
                </c:pt>
                <c:pt idx="354">
                  <c:v>0.18130724731939868</c:v>
                </c:pt>
                <c:pt idx="355">
                  <c:v>0.18130725457756713</c:v>
                </c:pt>
                <c:pt idx="356">
                  <c:v>0.18130726170479911</c:v>
                </c:pt>
                <c:pt idx="357">
                  <c:v>0.18130726870345668</c:v>
                </c:pt>
                <c:pt idx="358">
                  <c:v>0.18130727557585935</c:v>
                </c:pt>
                <c:pt idx="359">
                  <c:v>0.18130728232428478</c:v>
                </c:pt>
                <c:pt idx="360">
                  <c:v>0.18130728895096948</c:v>
                </c:pt>
                <c:pt idx="361">
                  <c:v>0.1813072954581097</c:v>
                </c:pt>
                <c:pt idx="362">
                  <c:v>0.18130730184786198</c:v>
                </c:pt>
                <c:pt idx="363">
                  <c:v>0.18130730812234402</c:v>
                </c:pt>
                <c:pt idx="364">
                  <c:v>0.18130731428363531</c:v>
                </c:pt>
                <c:pt idx="365">
                  <c:v>0.18130732033377775</c:v>
                </c:pt>
                <c:pt idx="366">
                  <c:v>0.1813073262747765</c:v>
                </c:pt>
                <c:pt idx="367">
                  <c:v>0.18130733210860051</c:v>
                </c:pt>
                <c:pt idx="368">
                  <c:v>0.18130733783718317</c:v>
                </c:pt>
                <c:pt idx="369">
                  <c:v>0.18130734346242305</c:v>
                </c:pt>
                <c:pt idx="370">
                  <c:v>0.18130734898618447</c:v>
                </c:pt>
                <c:pt idx="371">
                  <c:v>0.18130735441029808</c:v>
                </c:pt>
                <c:pt idx="372">
                  <c:v>0.18130735973656148</c:v>
                </c:pt>
                <c:pt idx="373">
                  <c:v>0.18130736496673994</c:v>
                </c:pt>
                <c:pt idx="374">
                  <c:v>0.18130737010256676</c:v>
                </c:pt>
                <c:pt idx="375">
                  <c:v>0.18130737514574408</c:v>
                </c:pt>
                <c:pt idx="376">
                  <c:v>0.18130738009794325</c:v>
                </c:pt>
                <c:pt idx="377">
                  <c:v>0.18130738496080556</c:v>
                </c:pt>
                <c:pt idx="378">
                  <c:v>0.18130738973594263</c:v>
                </c:pt>
                <c:pt idx="379">
                  <c:v>0.18130739442493696</c:v>
                </c:pt>
                <c:pt idx="380">
                  <c:v>0.18130739902934259</c:v>
                </c:pt>
                <c:pt idx="381">
                  <c:v>0.18130740355068548</c:v>
                </c:pt>
                <c:pt idx="382">
                  <c:v>0.18130740799046408</c:v>
                </c:pt>
                <c:pt idx="383">
                  <c:v>0.1813074123501498</c:v>
                </c:pt>
                <c:pt idx="384">
                  <c:v>0.18130741663118752</c:v>
                </c:pt>
                <c:pt idx="385">
                  <c:v>0.18130742083499601</c:v>
                </c:pt>
                <c:pt idx="386">
                  <c:v>0.18130742496296848</c:v>
                </c:pt>
                <c:pt idx="387">
                  <c:v>0.18130742901647298</c:v>
                </c:pt>
                <c:pt idx="388">
                  <c:v>0.18130743299685295</c:v>
                </c:pt>
                <c:pt idx="389">
                  <c:v>0.18130743690542753</c:v>
                </c:pt>
                <c:pt idx="390">
                  <c:v>0.18130744074349206</c:v>
                </c:pt>
                <c:pt idx="391">
                  <c:v>0.18130744451231853</c:v>
                </c:pt>
                <c:pt idx="392">
                  <c:v>0.18130744821315603</c:v>
                </c:pt>
                <c:pt idx="393">
                  <c:v>0.18130745184723104</c:v>
                </c:pt>
                <c:pt idx="394">
                  <c:v>0.18130745541574791</c:v>
                </c:pt>
                <c:pt idx="395">
                  <c:v>0.18130745891988936</c:v>
                </c:pt>
                <c:pt idx="396">
                  <c:v>0.18130746236081668</c:v>
                </c:pt>
                <c:pt idx="397">
                  <c:v>0.18130746573967027</c:v>
                </c:pt>
                <c:pt idx="398">
                  <c:v>0.18130746905756992</c:v>
                </c:pt>
                <c:pt idx="399">
                  <c:v>0.1813074723156152</c:v>
                </c:pt>
                <c:pt idx="400">
                  <c:v>0.18130747551488588</c:v>
                </c:pt>
                <c:pt idx="401">
                  <c:v>0.18130747865644228</c:v>
                </c:pt>
                <c:pt idx="402">
                  <c:v>0.18130748174132552</c:v>
                </c:pt>
                <c:pt idx="403">
                  <c:v>0.181307484770558</c:v>
                </c:pt>
                <c:pt idx="404">
                  <c:v>0.18130748774514363</c:v>
                </c:pt>
                <c:pt idx="405">
                  <c:v>0.18130749066606824</c:v>
                </c:pt>
                <c:pt idx="406">
                  <c:v>0.18130749353429987</c:v>
                </c:pt>
                <c:pt idx="407">
                  <c:v>0.1813074963507891</c:v>
                </c:pt>
                <c:pt idx="408">
                  <c:v>0.18130749911646935</c:v>
                </c:pt>
                <c:pt idx="409">
                  <c:v>0.18130750183225716</c:v>
                </c:pt>
                <c:pt idx="410">
                  <c:v>0.18130750449905264</c:v>
                </c:pt>
                <c:pt idx="411">
                  <c:v>0.18130750711773957</c:v>
                </c:pt>
                <c:pt idx="412">
                  <c:v>0.18130750968918585</c:v>
                </c:pt>
                <c:pt idx="413">
                  <c:v>0.18130751221424368</c:v>
                </c:pt>
                <c:pt idx="414">
                  <c:v>0.18130751469374989</c:v>
                </c:pt>
                <c:pt idx="415">
                  <c:v>0.18130751712852625</c:v>
                </c:pt>
                <c:pt idx="416">
                  <c:v>0.18130751951937965</c:v>
                </c:pt>
                <c:pt idx="417">
                  <c:v>0.18130752186710244</c:v>
                </c:pt>
                <c:pt idx="418">
                  <c:v>0.18130752417247273</c:v>
                </c:pt>
                <c:pt idx="419">
                  <c:v>0.18130752643625456</c:v>
                </c:pt>
                <c:pt idx="420">
                  <c:v>0.18130752865919814</c:v>
                </c:pt>
                <c:pt idx="421">
                  <c:v>0.18130753084204018</c:v>
                </c:pt>
                <c:pt idx="422">
                  <c:v>0.18130753298550414</c:v>
                </c:pt>
                <c:pt idx="423">
                  <c:v>0.1813075350903004</c:v>
                </c:pt>
                <c:pt idx="424">
                  <c:v>0.1813075371571265</c:v>
                </c:pt>
                <c:pt idx="425">
                  <c:v>0.18130753918666737</c:v>
                </c:pt>
                <c:pt idx="426">
                  <c:v>0.18130754117959569</c:v>
                </c:pt>
                <c:pt idx="427">
                  <c:v>0.18130754313657191</c:v>
                </c:pt>
                <c:pt idx="428">
                  <c:v>0.18130754505824465</c:v>
                </c:pt>
                <c:pt idx="429">
                  <c:v>0.18130754694525072</c:v>
                </c:pt>
                <c:pt idx="430">
                  <c:v>0.18130754879821553</c:v>
                </c:pt>
                <c:pt idx="431">
                  <c:v>0.18130755061775317</c:v>
                </c:pt>
                <c:pt idx="432">
                  <c:v>0.18130755240446667</c:v>
                </c:pt>
                <c:pt idx="433">
                  <c:v>0.18130755415894814</c:v>
                </c:pt>
                <c:pt idx="434">
                  <c:v>0.1813075558817791</c:v>
                </c:pt>
                <c:pt idx="435">
                  <c:v>0.18130755757353045</c:v>
                </c:pt>
                <c:pt idx="436">
                  <c:v>0.18130755923476294</c:v>
                </c:pt>
                <c:pt idx="437">
                  <c:v>0.18130756086602706</c:v>
                </c:pt>
                <c:pt idx="438">
                  <c:v>0.18130756246786348</c:v>
                </c:pt>
                <c:pt idx="439">
                  <c:v>0.18130756404080303</c:v>
                </c:pt>
                <c:pt idx="440">
                  <c:v>0.18130756558536701</c:v>
                </c:pt>
                <c:pt idx="441">
                  <c:v>0.18130756710206733</c:v>
                </c:pt>
                <c:pt idx="442">
                  <c:v>0.18130756859140665</c:v>
                </c:pt>
                <c:pt idx="443">
                  <c:v>0.18130757005387851</c:v>
                </c:pt>
                <c:pt idx="444">
                  <c:v>0.18130757148996765</c:v>
                </c:pt>
                <c:pt idx="445">
                  <c:v>0.18130757290014998</c:v>
                </c:pt>
                <c:pt idx="446">
                  <c:v>0.18130757428489286</c:v>
                </c:pt>
                <c:pt idx="447">
                  <c:v>0.18130757564465524</c:v>
                </c:pt>
                <c:pt idx="448">
                  <c:v>0.18130757697988772</c:v>
                </c:pt>
                <c:pt idx="449">
                  <c:v>0.18130757829103286</c:v>
                </c:pt>
                <c:pt idx="450">
                  <c:v>0.18130757957852517</c:v>
                </c:pt>
                <c:pt idx="451">
                  <c:v>0.1813075808427913</c:v>
                </c:pt>
                <c:pt idx="452">
                  <c:v>0.18130758208425032</c:v>
                </c:pt>
                <c:pt idx="453">
                  <c:v>0.18130758330331362</c:v>
                </c:pt>
                <c:pt idx="454">
                  <c:v>0.18130758450038523</c:v>
                </c:pt>
                <c:pt idx="455">
                  <c:v>0.18130758567586189</c:v>
                </c:pt>
                <c:pt idx="456">
                  <c:v>0.18130758683013312</c:v>
                </c:pt>
                <c:pt idx="457">
                  <c:v>0.18130758796358151</c:v>
                </c:pt>
                <c:pt idx="458">
                  <c:v>0.18130758907658268</c:v>
                </c:pt>
                <c:pt idx="459">
                  <c:v>0.18130759016950551</c:v>
                </c:pt>
                <c:pt idx="460">
                  <c:v>0.18130759124271217</c:v>
                </c:pt>
                <c:pt idx="461">
                  <c:v>0.18130759229655841</c:v>
                </c:pt>
                <c:pt idx="462">
                  <c:v>0.18130759333139343</c:v>
                </c:pt>
                <c:pt idx="463">
                  <c:v>0.18130759434756019</c:v>
                </c:pt>
                <c:pt idx="464">
                  <c:v>0.18130759534539548</c:v>
                </c:pt>
                <c:pt idx="465">
                  <c:v>0.18130759632523</c:v>
                </c:pt>
                <c:pt idx="466">
                  <c:v>0.18130759728738849</c:v>
                </c:pt>
                <c:pt idx="467">
                  <c:v>0.18130759823218981</c:v>
                </c:pt>
                <c:pt idx="468">
                  <c:v>0.18130759915994704</c:v>
                </c:pt>
                <c:pt idx="469">
                  <c:v>0.18130760007096772</c:v>
                </c:pt>
                <c:pt idx="470">
                  <c:v>0.18130760096555373</c:v>
                </c:pt>
                <c:pt idx="471">
                  <c:v>0.18130760184400158</c:v>
                </c:pt>
                <c:pt idx="472">
                  <c:v>0.18130760270660237</c:v>
                </c:pt>
                <c:pt idx="473">
                  <c:v>0.181307603553642</c:v>
                </c:pt>
                <c:pt idx="474">
                  <c:v>0.18130760438540117</c:v>
                </c:pt>
                <c:pt idx="475">
                  <c:v>0.18130760520215553</c:v>
                </c:pt>
                <c:pt idx="476">
                  <c:v>0.18130760600417578</c:v>
                </c:pt>
                <c:pt idx="477">
                  <c:v>0.18130760679172775</c:v>
                </c:pt>
                <c:pt idx="478">
                  <c:v>0.18130760756507242</c:v>
                </c:pt>
                <c:pt idx="479">
                  <c:v>0.18130760832446607</c:v>
                </c:pt>
                <c:pt idx="480">
                  <c:v>0.18130760907016039</c:v>
                </c:pt>
                <c:pt idx="481">
                  <c:v>0.18130760980240254</c:v>
                </c:pt>
                <c:pt idx="482">
                  <c:v>0.18130761052143515</c:v>
                </c:pt>
                <c:pt idx="483">
                  <c:v>0.18130761122749656</c:v>
                </c:pt>
                <c:pt idx="484">
                  <c:v>0.1813076119208207</c:v>
                </c:pt>
                <c:pt idx="485">
                  <c:v>0.18130761260163741</c:v>
                </c:pt>
                <c:pt idx="486">
                  <c:v>0.18130761327017231</c:v>
                </c:pt>
                <c:pt idx="487">
                  <c:v>0.18130761392664693</c:v>
                </c:pt>
                <c:pt idx="488">
                  <c:v>0.18130761457127889</c:v>
                </c:pt>
                <c:pt idx="489">
                  <c:v>0.18130761520428179</c:v>
                </c:pt>
                <c:pt idx="490">
                  <c:v>0.18130761582586544</c:v>
                </c:pt>
                <c:pt idx="491">
                  <c:v>0.1813076164362358</c:v>
                </c:pt>
                <c:pt idx="492">
                  <c:v>0.1813076170355952</c:v>
                </c:pt>
                <c:pt idx="493">
                  <c:v>0.18130761762414224</c:v>
                </c:pt>
                <c:pt idx="494">
                  <c:v>0.18130761820207203</c:v>
                </c:pt>
                <c:pt idx="495">
                  <c:v>0.18130761876957605</c:v>
                </c:pt>
                <c:pt idx="496">
                  <c:v>0.18130761932684239</c:v>
                </c:pt>
                <c:pt idx="497">
                  <c:v>0.18130761987405575</c:v>
                </c:pt>
                <c:pt idx="498">
                  <c:v>0.18130762041139745</c:v>
                </c:pt>
                <c:pt idx="499">
                  <c:v>0.18130762093904559</c:v>
                </c:pt>
                <c:pt idx="500">
                  <c:v>0.18130762145717508</c:v>
                </c:pt>
                <c:pt idx="501">
                  <c:v>0.18130762196595759</c:v>
                </c:pt>
                <c:pt idx="502">
                  <c:v>0.18130762246556179</c:v>
                </c:pt>
                <c:pt idx="503">
                  <c:v>0.18130762295615316</c:v>
                </c:pt>
                <c:pt idx="504">
                  <c:v>0.18130762343789439</c:v>
                </c:pt>
                <c:pt idx="505">
                  <c:v>0.18130762391094507</c:v>
                </c:pt>
                <c:pt idx="506">
                  <c:v>0.181307624375462</c:v>
                </c:pt>
                <c:pt idx="507">
                  <c:v>0.18130762483159912</c:v>
                </c:pt>
                <c:pt idx="508">
                  <c:v>0.18130762527950761</c:v>
                </c:pt>
                <c:pt idx="509">
                  <c:v>0.1813076257193359</c:v>
                </c:pt>
                <c:pt idx="510">
                  <c:v>0.18130762615122978</c:v>
                </c:pt>
                <c:pt idx="511">
                  <c:v>0.18130762657533236</c:v>
                </c:pt>
                <c:pt idx="512">
                  <c:v>0.18130762699178421</c:v>
                </c:pt>
                <c:pt idx="513">
                  <c:v>0.18130762740072334</c:v>
                </c:pt>
                <c:pt idx="514">
                  <c:v>0.18130762780228526</c:v>
                </c:pt>
                <c:pt idx="515">
                  <c:v>0.18130762819660309</c:v>
                </c:pt>
                <c:pt idx="516">
                  <c:v>0.1813076285838075</c:v>
                </c:pt>
                <c:pt idx="517">
                  <c:v>0.1813076289640268</c:v>
                </c:pt>
                <c:pt idx="518">
                  <c:v>0.18130762933738701</c:v>
                </c:pt>
                <c:pt idx="519">
                  <c:v>0.18130762970401185</c:v>
                </c:pt>
                <c:pt idx="520">
                  <c:v>0.18130763006402284</c:v>
                </c:pt>
                <c:pt idx="521">
                  <c:v>0.18130763041753933</c:v>
                </c:pt>
                <c:pt idx="522">
                  <c:v>0.18130763076467843</c:v>
                </c:pt>
                <c:pt idx="523">
                  <c:v>0.1813076311055552</c:v>
                </c:pt>
                <c:pt idx="524">
                  <c:v>0.18130763144028261</c:v>
                </c:pt>
                <c:pt idx="525">
                  <c:v>0.18130763176897161</c:v>
                </c:pt>
                <c:pt idx="526">
                  <c:v>0.18130763209173112</c:v>
                </c:pt>
                <c:pt idx="527">
                  <c:v>0.1813076324086681</c:v>
                </c:pt>
                <c:pt idx="528">
                  <c:v>0.18130763271988756</c:v>
                </c:pt>
                <c:pt idx="529">
                  <c:v>0.18130763302549269</c:v>
                </c:pt>
                <c:pt idx="530">
                  <c:v>0.18130763332558478</c:v>
                </c:pt>
                <c:pt idx="531">
                  <c:v>0.18130763362026323</c:v>
                </c:pt>
                <c:pt idx="532">
                  <c:v>0.18130763390962573</c:v>
                </c:pt>
                <c:pt idx="533">
                  <c:v>0.18130763419376819</c:v>
                </c:pt>
                <c:pt idx="534">
                  <c:v>0.18130763447278475</c:v>
                </c:pt>
                <c:pt idx="535">
                  <c:v>0.18130763474676792</c:v>
                </c:pt>
                <c:pt idx="536">
                  <c:v>0.18130763501580846</c:v>
                </c:pt>
                <c:pt idx="537">
                  <c:v>0.18130763527999558</c:v>
                </c:pt>
                <c:pt idx="538">
                  <c:v>0.18130763553941678</c:v>
                </c:pt>
                <c:pt idx="539">
                  <c:v>0.1813076357941581</c:v>
                </c:pt>
                <c:pt idx="540">
                  <c:v>0.18130763604430392</c:v>
                </c:pt>
                <c:pt idx="541">
                  <c:v>0.18130763628993715</c:v>
                </c:pt>
                <c:pt idx="542">
                  <c:v>0.18130763653113918</c:v>
                </c:pt>
                <c:pt idx="543">
                  <c:v>0.18130763676798997</c:v>
                </c:pt>
                <c:pt idx="544">
                  <c:v>0.18130763700056801</c:v>
                </c:pt>
                <c:pt idx="545">
                  <c:v>0.18130763722895041</c:v>
                </c:pt>
                <c:pt idx="546">
                  <c:v>0.18130763745321282</c:v>
                </c:pt>
                <c:pt idx="547">
                  <c:v>0.18130763767342958</c:v>
                </c:pt>
                <c:pt idx="548">
                  <c:v>0.18130763788967366</c:v>
                </c:pt>
                <c:pt idx="549">
                  <c:v>0.18130763810201675</c:v>
                </c:pt>
                <c:pt idx="550">
                  <c:v>0.18130763831052921</c:v>
                </c:pt>
                <c:pt idx="551">
                  <c:v>0.18130763851528015</c:v>
                </c:pt>
                <c:pt idx="552">
                  <c:v>0.1813076387163374</c:v>
                </c:pt>
                <c:pt idx="553">
                  <c:v>0.18130763891376761</c:v>
                </c:pt>
                <c:pt idx="554">
                  <c:v>0.18130763910763623</c:v>
                </c:pt>
                <c:pt idx="555">
                  <c:v>0.18130763929800747</c:v>
                </c:pt>
                <c:pt idx="556">
                  <c:v>0.18130763948494444</c:v>
                </c:pt>
                <c:pt idx="557">
                  <c:v>0.1813076396685091</c:v>
                </c:pt>
                <c:pt idx="558">
                  <c:v>0.1813076398487623</c:v>
                </c:pt>
                <c:pt idx="559">
                  <c:v>0.18130764002576377</c:v>
                </c:pt>
                <c:pt idx="560">
                  <c:v>0.18130764019957216</c:v>
                </c:pt>
                <c:pt idx="561">
                  <c:v>0.18130764037024508</c:v>
                </c:pt>
                <c:pt idx="562">
                  <c:v>0.18130764053783907</c:v>
                </c:pt>
                <c:pt idx="563">
                  <c:v>0.18130764070240971</c:v>
                </c:pt>
                <c:pt idx="564">
                  <c:v>0.18130764086401152</c:v>
                </c:pt>
                <c:pt idx="565">
                  <c:v>0.18130764102269806</c:v>
                </c:pt>
                <c:pt idx="566">
                  <c:v>0.18130764117852191</c:v>
                </c:pt>
                <c:pt idx="567">
                  <c:v>0.18130764133153474</c:v>
                </c:pt>
                <c:pt idx="568">
                  <c:v>0.18130764148178724</c:v>
                </c:pt>
                <c:pt idx="569">
                  <c:v>0.18130764162932922</c:v>
                </c:pt>
                <c:pt idx="570">
                  <c:v>0.18130764177420955</c:v>
                </c:pt>
                <c:pt idx="571">
                  <c:v>0.18130764191647628</c:v>
                </c:pt>
                <c:pt idx="572">
                  <c:v>0.18130764205617653</c:v>
                </c:pt>
                <c:pt idx="573">
                  <c:v>0.18130764219335663</c:v>
                </c:pt>
                <c:pt idx="574">
                  <c:v>0.18130764232806201</c:v>
                </c:pt>
                <c:pt idx="575">
                  <c:v>0.18130764246033734</c:v>
                </c:pt>
                <c:pt idx="576">
                  <c:v>0.18130764259022644</c:v>
                </c:pt>
                <c:pt idx="577">
                  <c:v>0.18130764271777236</c:v>
                </c:pt>
                <c:pt idx="578">
                  <c:v>0.18130764284301737</c:v>
                </c:pt>
                <c:pt idx="579">
                  <c:v>0.18130764296600299</c:v>
                </c:pt>
                <c:pt idx="580">
                  <c:v>0.18130764308676994</c:v>
                </c:pt>
                <c:pt idx="581">
                  <c:v>0.1813076432053583</c:v>
                </c:pt>
                <c:pt idx="582">
                  <c:v>0.18130764332180732</c:v>
                </c:pt>
                <c:pt idx="583">
                  <c:v>0.18130764343615563</c:v>
                </c:pt>
                <c:pt idx="584">
                  <c:v>0.18130764354844114</c:v>
                </c:pt>
                <c:pt idx="585">
                  <c:v>0.18130764365870103</c:v>
                </c:pt>
                <c:pt idx="586">
                  <c:v>0.18130764376697184</c:v>
                </c:pt>
                <c:pt idx="587">
                  <c:v>0.18130764387328946</c:v>
                </c:pt>
                <c:pt idx="588">
                  <c:v>0.18130764397768914</c:v>
                </c:pt>
                <c:pt idx="589">
                  <c:v>0.18130764408020547</c:v>
                </c:pt>
                <c:pt idx="590">
                  <c:v>0.18130764418087242</c:v>
                </c:pt>
                <c:pt idx="591">
                  <c:v>0.18130764427972335</c:v>
                </c:pt>
                <c:pt idx="592">
                  <c:v>0.18130764437679103</c:v>
                </c:pt>
                <c:pt idx="593">
                  <c:v>0.18130764447210762</c:v>
                </c:pt>
                <c:pt idx="594">
                  <c:v>0.18130764456570472</c:v>
                </c:pt>
                <c:pt idx="595">
                  <c:v>0.18130764465761334</c:v>
                </c:pt>
                <c:pt idx="596">
                  <c:v>0.18130764474786396</c:v>
                </c:pt>
                <c:pt idx="597">
                  <c:v>0.18130764483648645</c:v>
                </c:pt>
                <c:pt idx="598">
                  <c:v>0.18130764492351023</c:v>
                </c:pt>
                <c:pt idx="599">
                  <c:v>0.18130764500896412</c:v>
                </c:pt>
                <c:pt idx="600">
                  <c:v>0.18130764509287642</c:v>
                </c:pt>
                <c:pt idx="601">
                  <c:v>0.18130764517527498</c:v>
                </c:pt>
                <c:pt idx="602">
                  <c:v>0.18130764525618706</c:v>
                </c:pt>
                <c:pt idx="603">
                  <c:v>0.18130764533563951</c:v>
                </c:pt>
                <c:pt idx="604">
                  <c:v>0.18130764541365865</c:v>
                </c:pt>
                <c:pt idx="605">
                  <c:v>0.18130764549027034</c:v>
                </c:pt>
                <c:pt idx="606">
                  <c:v>0.18130764556549994</c:v>
                </c:pt>
                <c:pt idx="607">
                  <c:v>0.18130764563937246</c:v>
                </c:pt>
                <c:pt idx="608">
                  <c:v>0.1813076457119123</c:v>
                </c:pt>
                <c:pt idx="609">
                  <c:v>0.18130764578314354</c:v>
                </c:pt>
                <c:pt idx="610">
                  <c:v>0.18130764585308978</c:v>
                </c:pt>
                <c:pt idx="611">
                  <c:v>0.1813076459217742</c:v>
                </c:pt>
                <c:pt idx="612">
                  <c:v>0.18130764598921956</c:v>
                </c:pt>
                <c:pt idx="613">
                  <c:v>0.18130764605544825</c:v>
                </c:pt>
                <c:pt idx="614">
                  <c:v>0.18130764612048214</c:v>
                </c:pt>
                <c:pt idx="615">
                  <c:v>0.18130764618434286</c:v>
                </c:pt>
                <c:pt idx="616">
                  <c:v>0.18130764624705153</c:v>
                </c:pt>
                <c:pt idx="617">
                  <c:v>0.18130764630862894</c:v>
                </c:pt>
                <c:pt idx="618">
                  <c:v>0.18130764636909552</c:v>
                </c:pt>
                <c:pt idx="619">
                  <c:v>0.1813076464284713</c:v>
                </c:pt>
                <c:pt idx="620">
                  <c:v>0.18130764648677594</c:v>
                </c:pt>
                <c:pt idx="621">
                  <c:v>0.18130764654402876</c:v>
                </c:pt>
                <c:pt idx="622">
                  <c:v>0.18130764660024878</c:v>
                </c:pt>
                <c:pt idx="623">
                  <c:v>0.1813076466554546</c:v>
                </c:pt>
                <c:pt idx="624">
                  <c:v>0.18130764670966448</c:v>
                </c:pt>
                <c:pt idx="625">
                  <c:v>0.18130764676289646</c:v>
                </c:pt>
                <c:pt idx="626">
                  <c:v>0.18130764681516812</c:v>
                </c:pt>
                <c:pt idx="627">
                  <c:v>0.18130764686649684</c:v>
                </c:pt>
                <c:pt idx="628">
                  <c:v>0.18130764691689957</c:v>
                </c:pt>
                <c:pt idx="629">
                  <c:v>0.18130764696639307</c:v>
                </c:pt>
                <c:pt idx="630">
                  <c:v>0.18130764701499369</c:v>
                </c:pt>
                <c:pt idx="631">
                  <c:v>0.18130764706271757</c:v>
                </c:pt>
                <c:pt idx="632">
                  <c:v>0.18130764710958053</c:v>
                </c:pt>
                <c:pt idx="633">
                  <c:v>0.18130764715559808</c:v>
                </c:pt>
                <c:pt idx="634">
                  <c:v>0.18130764720078549</c:v>
                </c:pt>
                <c:pt idx="635">
                  <c:v>0.18130764724515772</c:v>
                </c:pt>
                <c:pt idx="636">
                  <c:v>0.18130764728872947</c:v>
                </c:pt>
                <c:pt idx="637">
                  <c:v>0.18130764733151519</c:v>
                </c:pt>
                <c:pt idx="638">
                  <c:v>0.18130764737352906</c:v>
                </c:pt>
                <c:pt idx="639">
                  <c:v>0.181307647414785</c:v>
                </c:pt>
                <c:pt idx="640">
                  <c:v>0.18130764745529671</c:v>
                </c:pt>
                <c:pt idx="641">
                  <c:v>0.18130764749507761</c:v>
                </c:pt>
                <c:pt idx="642">
                  <c:v>0.18130764753414086</c:v>
                </c:pt>
                <c:pt idx="643">
                  <c:v>0.1813076475724994</c:v>
                </c:pt>
                <c:pt idx="644">
                  <c:v>0.18130764761016596</c:v>
                </c:pt>
                <c:pt idx="645">
                  <c:v>0.18130764764715304</c:v>
                </c:pt>
                <c:pt idx="646">
                  <c:v>0.18130764768347288</c:v>
                </c:pt>
                <c:pt idx="647">
                  <c:v>0.18130764771913749</c:v>
                </c:pt>
                <c:pt idx="648">
                  <c:v>0.18130764775415872</c:v>
                </c:pt>
                <c:pt idx="649">
                  <c:v>0.18130764778854822</c:v>
                </c:pt>
                <c:pt idx="650">
                  <c:v>0.18130764782231731</c:v>
                </c:pt>
                <c:pt idx="651">
                  <c:v>0.18130764785547721</c:v>
                </c:pt>
                <c:pt idx="652">
                  <c:v>0.18130764788803891</c:v>
                </c:pt>
                <c:pt idx="653">
                  <c:v>0.18130764792001319</c:v>
                </c:pt>
                <c:pt idx="654">
                  <c:v>0.18130764795141066</c:v>
                </c:pt>
                <c:pt idx="655">
                  <c:v>0.18130764798224175</c:v>
                </c:pt>
                <c:pt idx="656">
                  <c:v>0.18130764801251664</c:v>
                </c:pt>
                <c:pt idx="657">
                  <c:v>0.18130764804224536</c:v>
                </c:pt>
                <c:pt idx="658">
                  <c:v>0.18130764807143782</c:v>
                </c:pt>
                <c:pt idx="659">
                  <c:v>0.18130764810010364</c:v>
                </c:pt>
                <c:pt idx="660">
                  <c:v>0.18130764812825231</c:v>
                </c:pt>
                <c:pt idx="661">
                  <c:v>0.1813076481558932</c:v>
                </c:pt>
                <c:pt idx="662">
                  <c:v>0.18130764818303544</c:v>
                </c:pt>
                <c:pt idx="663">
                  <c:v>0.18130764820968803</c:v>
                </c:pt>
                <c:pt idx="664">
                  <c:v>0.18130764823585982</c:v>
                </c:pt>
                <c:pt idx="665">
                  <c:v>0.18130764826155948</c:v>
                </c:pt>
                <c:pt idx="666">
                  <c:v>0.18130764828679552</c:v>
                </c:pt>
                <c:pt idx="667">
                  <c:v>0.18130764831157631</c:v>
                </c:pt>
                <c:pt idx="668">
                  <c:v>0.18130764833591007</c:v>
                </c:pt>
                <c:pt idx="669">
                  <c:v>0.18130764835980484</c:v>
                </c:pt>
                <c:pt idx="670">
                  <c:v>0.18130764838326857</c:v>
                </c:pt>
                <c:pt idx="671">
                  <c:v>0.18130764840630903</c:v>
                </c:pt>
                <c:pt idx="672">
                  <c:v>0.18130764842893382</c:v>
                </c:pt>
                <c:pt idx="673">
                  <c:v>0.18130764845115047</c:v>
                </c:pt>
                <c:pt idx="674">
                  <c:v>0.18130764847296632</c:v>
                </c:pt>
                <c:pt idx="675">
                  <c:v>0.1813076484943886</c:v>
                </c:pt>
                <c:pt idx="676">
                  <c:v>0.18130764851542447</c:v>
                </c:pt>
                <c:pt idx="677">
                  <c:v>0.18130764853608083</c:v>
                </c:pt>
                <c:pt idx="678">
                  <c:v>0.18130764855636455</c:v>
                </c:pt>
                <c:pt idx="679">
                  <c:v>0.18130764857628237</c:v>
                </c:pt>
                <c:pt idx="680">
                  <c:v>0.18130764859584086</c:v>
                </c:pt>
                <c:pt idx="681">
                  <c:v>0.18130764861504653</c:v>
                </c:pt>
                <c:pt idx="682">
                  <c:v>0.18130764863390575</c:v>
                </c:pt>
                <c:pt idx="683">
                  <c:v>0.18130764865242474</c:v>
                </c:pt>
                <c:pt idx="684">
                  <c:v>0.18130764867060964</c:v>
                </c:pt>
                <c:pt idx="685">
                  <c:v>0.18130764868846649</c:v>
                </c:pt>
                <c:pt idx="686">
                  <c:v>0.18130764870600122</c:v>
                </c:pt>
                <c:pt idx="687">
                  <c:v>0.18130764872321961</c:v>
                </c:pt>
                <c:pt idx="688">
                  <c:v>0.18130764874012739</c:v>
                </c:pt>
                <c:pt idx="689">
                  <c:v>0.18130764875673014</c:v>
                </c:pt>
                <c:pt idx="690">
                  <c:v>0.18130764877303338</c:v>
                </c:pt>
                <c:pt idx="691">
                  <c:v>0.18130764878904254</c:v>
                </c:pt>
                <c:pt idx="692">
                  <c:v>0.18130764880476288</c:v>
                </c:pt>
                <c:pt idx="693">
                  <c:v>0.18130764882019965</c:v>
                </c:pt>
                <c:pt idx="694">
                  <c:v>0.18130764883535791</c:v>
                </c:pt>
                <c:pt idx="695">
                  <c:v>0.18130764885024273</c:v>
                </c:pt>
                <c:pt idx="696">
                  <c:v>0.18130764886485901</c:v>
                </c:pt>
                <c:pt idx="697">
                  <c:v>0.18130764887921164</c:v>
                </c:pt>
                <c:pt idx="698">
                  <c:v>0.18130764889330533</c:v>
                </c:pt>
                <c:pt idx="699">
                  <c:v>0.18130764890714479</c:v>
                </c:pt>
                <c:pt idx="700">
                  <c:v>0.18130764892073459</c:v>
                </c:pt>
                <c:pt idx="701">
                  <c:v>0.18130764893407922</c:v>
                </c:pt>
                <c:pt idx="702">
                  <c:v>0.18130764894718313</c:v>
                </c:pt>
                <c:pt idx="703">
                  <c:v>0.18130764896005064</c:v>
                </c:pt>
                <c:pt idx="704">
                  <c:v>0.18130764897268603</c:v>
                </c:pt>
                <c:pt idx="705">
                  <c:v>0.18130764898509347</c:v>
                </c:pt>
                <c:pt idx="706">
                  <c:v>0.18130764899727708</c:v>
                </c:pt>
                <c:pt idx="707">
                  <c:v>0.1813076490092409</c:v>
                </c:pt>
                <c:pt idx="708">
                  <c:v>0.18130764902098889</c:v>
                </c:pt>
                <c:pt idx="709">
                  <c:v>0.18130764903252497</c:v>
                </c:pt>
                <c:pt idx="710">
                  <c:v>0.18130764904385294</c:v>
                </c:pt>
                <c:pt idx="711">
                  <c:v>0.18130764905497654</c:v>
                </c:pt>
                <c:pt idx="712">
                  <c:v>0.1813076490658995</c:v>
                </c:pt>
                <c:pt idx="713">
                  <c:v>0.18130764907662539</c:v>
                </c:pt>
                <c:pt idx="714">
                  <c:v>0.1813076490871578</c:v>
                </c:pt>
                <c:pt idx="715">
                  <c:v>0.18130764909750019</c:v>
                </c:pt>
                <c:pt idx="716">
                  <c:v>0.18130764910765601</c:v>
                </c:pt>
                <c:pt idx="717">
                  <c:v>0.18130764911762862</c:v>
                </c:pt>
                <c:pt idx="718">
                  <c:v>0.18130764912742131</c:v>
                </c:pt>
                <c:pt idx="719">
                  <c:v>0.18130764913703737</c:v>
                </c:pt>
                <c:pt idx="720">
                  <c:v>0.18130764914647993</c:v>
                </c:pt>
                <c:pt idx="721">
                  <c:v>0.18130764915575215</c:v>
                </c:pt>
                <c:pt idx="722">
                  <c:v>0.18130764916485712</c:v>
                </c:pt>
                <c:pt idx="723">
                  <c:v>0.18130764917379782</c:v>
                </c:pt>
                <c:pt idx="724">
                  <c:v>0.18130764918257725</c:v>
                </c:pt>
                <c:pt idx="725">
                  <c:v>0.18130764919119829</c:v>
                </c:pt>
                <c:pt idx="726">
                  <c:v>0.1813076491996638</c:v>
                </c:pt>
                <c:pt idx="727">
                  <c:v>0.1813076492079766</c:v>
                </c:pt>
                <c:pt idx="728">
                  <c:v>0.18130764921613945</c:v>
                </c:pt>
                <c:pt idx="729">
                  <c:v>0.18130764922415504</c:v>
                </c:pt>
                <c:pt idx="730">
                  <c:v>0.18130764923202605</c:v>
                </c:pt>
                <c:pt idx="731">
                  <c:v>0.18130764923975506</c:v>
                </c:pt>
                <c:pt idx="732">
                  <c:v>0.18130764924734463</c:v>
                </c:pt>
                <c:pt idx="733">
                  <c:v>0.18130764925479728</c:v>
                </c:pt>
                <c:pt idx="734">
                  <c:v>0.18130764926211548</c:v>
                </c:pt>
                <c:pt idx="735">
                  <c:v>0.18130764926930168</c:v>
                </c:pt>
                <c:pt idx="736">
                  <c:v>0.18130764927635823</c:v>
                </c:pt>
                <c:pt idx="737">
                  <c:v>0.18130764928328746</c:v>
                </c:pt>
                <c:pt idx="738">
                  <c:v>0.18130764929009172</c:v>
                </c:pt>
                <c:pt idx="739">
                  <c:v>0.18130764929677323</c:v>
                </c:pt>
                <c:pt idx="740">
                  <c:v>0.18130764930333421</c:v>
                </c:pt>
                <c:pt idx="741">
                  <c:v>0.18130764930977683</c:v>
                </c:pt>
                <c:pt idx="742">
                  <c:v>0.18130764931610321</c:v>
                </c:pt>
                <c:pt idx="743">
                  <c:v>0.1813076493223155</c:v>
                </c:pt>
                <c:pt idx="744">
                  <c:v>0.18130764932841567</c:v>
                </c:pt>
                <c:pt idx="745">
                  <c:v>0.18130764933440582</c:v>
                </c:pt>
                <c:pt idx="746">
                  <c:v>0.18130764934028792</c:v>
                </c:pt>
                <c:pt idx="747">
                  <c:v>0.18130764934606391</c:v>
                </c:pt>
                <c:pt idx="748">
                  <c:v>0.18130764935173568</c:v>
                </c:pt>
                <c:pt idx="749">
                  <c:v>0.18130764935730515</c:v>
                </c:pt>
                <c:pt idx="750">
                  <c:v>0.1813076493627741</c:v>
                </c:pt>
                <c:pt idx="751">
                  <c:v>0.18130764936814442</c:v>
                </c:pt>
                <c:pt idx="752">
                  <c:v>0.18130764937341787</c:v>
                </c:pt>
                <c:pt idx="753">
                  <c:v>0.18130764937859617</c:v>
                </c:pt>
                <c:pt idx="754">
                  <c:v>0.18130764938368105</c:v>
                </c:pt>
                <c:pt idx="755">
                  <c:v>0.18130764938867422</c:v>
                </c:pt>
                <c:pt idx="756">
                  <c:v>0.18130764939357732</c:v>
                </c:pt>
                <c:pt idx="757">
                  <c:v>0.18130764939839197</c:v>
                </c:pt>
                <c:pt idx="758">
                  <c:v>0.18130764940311975</c:v>
                </c:pt>
                <c:pt idx="759">
                  <c:v>0.18130764940776226</c:v>
                </c:pt>
                <c:pt idx="760">
                  <c:v>0.181307649412321</c:v>
                </c:pt>
                <c:pt idx="761">
                  <c:v>0.1813076494167975</c:v>
                </c:pt>
                <c:pt idx="762">
                  <c:v>0.18130764942119326</c:v>
                </c:pt>
                <c:pt idx="763">
                  <c:v>0.1813076494255097</c:v>
                </c:pt>
                <c:pt idx="764">
                  <c:v>0.18130764942974828</c:v>
                </c:pt>
                <c:pt idx="765">
                  <c:v>0.1813076494339104</c:v>
                </c:pt>
                <c:pt idx="766">
                  <c:v>0.18130764943799743</c:v>
                </c:pt>
                <c:pt idx="767">
                  <c:v>0.18130764944201075</c:v>
                </c:pt>
                <c:pt idx="768">
                  <c:v>0.18130764944595168</c:v>
                </c:pt>
                <c:pt idx="769">
                  <c:v>0.1813076494498215</c:v>
                </c:pt>
                <c:pt idx="770">
                  <c:v>0.18130764945362152</c:v>
                </c:pt>
                <c:pt idx="771">
                  <c:v>0.18130764945735298</c:v>
                </c:pt>
                <c:pt idx="772">
                  <c:v>0.18130764946101713</c:v>
                </c:pt>
                <c:pt idx="773">
                  <c:v>0.18130764946461517</c:v>
                </c:pt>
                <c:pt idx="774">
                  <c:v>0.18130764946814829</c:v>
                </c:pt>
                <c:pt idx="775">
                  <c:v>0.18130764947161768</c:v>
                </c:pt>
                <c:pt idx="776">
                  <c:v>0.18130764947502448</c:v>
                </c:pt>
                <c:pt idx="777">
                  <c:v>0.18130764947836983</c:v>
                </c:pt>
                <c:pt idx="778">
                  <c:v>0.18130764948165481</c:v>
                </c:pt>
                <c:pt idx="779">
                  <c:v>0.18130764948488054</c:v>
                </c:pt>
                <c:pt idx="780">
                  <c:v>0.18130764948804809</c:v>
                </c:pt>
                <c:pt idx="781">
                  <c:v>0.18130764949115849</c:v>
                </c:pt>
                <c:pt idx="782">
                  <c:v>0.18130764949421277</c:v>
                </c:pt>
                <c:pt idx="783">
                  <c:v>0.18130764949721195</c:v>
                </c:pt>
                <c:pt idx="784">
                  <c:v>0.18130764950015704</c:v>
                </c:pt>
                <c:pt idx="785">
                  <c:v>0.18130764950304901</c:v>
                </c:pt>
                <c:pt idx="786">
                  <c:v>0.18130764950588879</c:v>
                </c:pt>
                <c:pt idx="787">
                  <c:v>0.18130764950867737</c:v>
                </c:pt>
                <c:pt idx="788">
                  <c:v>0.18130764951141562</c:v>
                </c:pt>
                <c:pt idx="789">
                  <c:v>0.1813076495141045</c:v>
                </c:pt>
                <c:pt idx="790">
                  <c:v>0.18130764951674486</c:v>
                </c:pt>
                <c:pt idx="791">
                  <c:v>0.18130764951933759</c:v>
                </c:pt>
                <c:pt idx="792">
                  <c:v>0.18130764952188355</c:v>
                </c:pt>
                <c:pt idx="793">
                  <c:v>0.18130764952438358</c:v>
                </c:pt>
                <c:pt idx="794">
                  <c:v>0.1813076495268385</c:v>
                </c:pt>
                <c:pt idx="795">
                  <c:v>0.18130764952924913</c:v>
                </c:pt>
                <c:pt idx="796">
                  <c:v>0.18130764953161627</c:v>
                </c:pt>
                <c:pt idx="797">
                  <c:v>0.18130764953394071</c:v>
                </c:pt>
                <c:pt idx="798">
                  <c:v>0.18130764953622322</c:v>
                </c:pt>
                <c:pt idx="799">
                  <c:v>0.18130764953846454</c:v>
                </c:pt>
                <c:pt idx="800">
                  <c:v>0.18130764954066544</c:v>
                </c:pt>
                <c:pt idx="801">
                  <c:v>0.18130764954282663</c:v>
                </c:pt>
                <c:pt idx="802">
                  <c:v>0.18130764954494882</c:v>
                </c:pt>
                <c:pt idx="803">
                  <c:v>0.18130764954703274</c:v>
                </c:pt>
                <c:pt idx="804">
                  <c:v>0.18130764954907905</c:v>
                </c:pt>
                <c:pt idx="805">
                  <c:v>0.18130764955108847</c:v>
                </c:pt>
                <c:pt idx="806">
                  <c:v>0.18130764955306161</c:v>
                </c:pt>
                <c:pt idx="807">
                  <c:v>0.18130764955499917</c:v>
                </c:pt>
                <c:pt idx="808">
                  <c:v>0.18130764955690179</c:v>
                </c:pt>
                <c:pt idx="809">
                  <c:v>0.18130764955877007</c:v>
                </c:pt>
                <c:pt idx="810">
                  <c:v>0.18130764956060466</c:v>
                </c:pt>
                <c:pt idx="811">
                  <c:v>0.18130764956240616</c:v>
                </c:pt>
                <c:pt idx="812">
                  <c:v>0.18130764956417517</c:v>
                </c:pt>
                <c:pt idx="813">
                  <c:v>0.18130764956591225</c:v>
                </c:pt>
                <c:pt idx="814">
                  <c:v>0.181307649567618</c:v>
                </c:pt>
                <c:pt idx="815">
                  <c:v>0.18130764956929296</c:v>
                </c:pt>
                <c:pt idx="816">
                  <c:v>0.18130764957093773</c:v>
                </c:pt>
                <c:pt idx="817">
                  <c:v>0.18130764957255283</c:v>
                </c:pt>
                <c:pt idx="818">
                  <c:v>0.18130764957413878</c:v>
                </c:pt>
                <c:pt idx="819">
                  <c:v>0.18130764957569612</c:v>
                </c:pt>
                <c:pt idx="820">
                  <c:v>0.18130764957722537</c:v>
                </c:pt>
                <c:pt idx="821">
                  <c:v>0.18130764957872703</c:v>
                </c:pt>
                <c:pt idx="822">
                  <c:v>0.1813076495802016</c:v>
                </c:pt>
                <c:pt idx="823">
                  <c:v>0.18130764958164958</c:v>
                </c:pt>
                <c:pt idx="824">
                  <c:v>0.18130764958307141</c:v>
                </c:pt>
                <c:pt idx="825">
                  <c:v>0.1813076495844676</c:v>
                </c:pt>
                <c:pt idx="826">
                  <c:v>0.18130764958583862</c:v>
                </c:pt>
                <c:pt idx="827">
                  <c:v>0.1813076495871849</c:v>
                </c:pt>
                <c:pt idx="828">
                  <c:v>0.1813076495885069</c:v>
                </c:pt>
                <c:pt idx="829">
                  <c:v>0.18130764958980505</c:v>
                </c:pt>
                <c:pt idx="830">
                  <c:v>0.18130764959107978</c:v>
                </c:pt>
                <c:pt idx="831">
                  <c:v>0.1813076495923315</c:v>
                </c:pt>
                <c:pt idx="832">
                  <c:v>0.18130764959356066</c:v>
                </c:pt>
                <c:pt idx="833">
                  <c:v>0.18130764959476764</c:v>
                </c:pt>
                <c:pt idx="834">
                  <c:v>0.18130764959595283</c:v>
                </c:pt>
                <c:pt idx="835">
                  <c:v>0.18130764959711665</c:v>
                </c:pt>
                <c:pt idx="836">
                  <c:v>0.18130764959825946</c:v>
                </c:pt>
                <c:pt idx="837">
                  <c:v>0.18130764959938167</c:v>
                </c:pt>
                <c:pt idx="838">
                  <c:v>0.18130764960048362</c:v>
                </c:pt>
                <c:pt idx="839">
                  <c:v>0.1813076496015657</c:v>
                </c:pt>
                <c:pt idx="840">
                  <c:v>0.18130764960262827</c:v>
                </c:pt>
                <c:pt idx="841">
                  <c:v>0.18130764960367168</c:v>
                </c:pt>
                <c:pt idx="842">
                  <c:v>0.18130764960469625</c:v>
                </c:pt>
                <c:pt idx="843">
                  <c:v>0.18130764960570234</c:v>
                </c:pt>
                <c:pt idx="844">
                  <c:v>0.18130764960669027</c:v>
                </c:pt>
                <c:pt idx="845">
                  <c:v>0.18130764960766038</c:v>
                </c:pt>
                <c:pt idx="846">
                  <c:v>0.18130764960861301</c:v>
                </c:pt>
                <c:pt idx="847">
                  <c:v>0.18130764960954845</c:v>
                </c:pt>
                <c:pt idx="848">
                  <c:v>0.18130764961046703</c:v>
                </c:pt>
                <c:pt idx="849">
                  <c:v>0.181307649611369</c:v>
                </c:pt>
                <c:pt idx="850">
                  <c:v>0.18130764961225471</c:v>
                </c:pt>
                <c:pt idx="851">
                  <c:v>0.18130764961312446</c:v>
                </c:pt>
                <c:pt idx="852">
                  <c:v>0.18130764961397852</c:v>
                </c:pt>
                <c:pt idx="853">
                  <c:v>0.18130764961481716</c:v>
                </c:pt>
                <c:pt idx="854">
                  <c:v>0.18130764961564066</c:v>
                </c:pt>
                <c:pt idx="855">
                  <c:v>0.1813076496164493</c:v>
                </c:pt>
                <c:pt idx="856">
                  <c:v>0.18130764961724335</c:v>
                </c:pt>
                <c:pt idx="857">
                  <c:v>0.18130764961802309</c:v>
                </c:pt>
                <c:pt idx="858">
                  <c:v>0.18130764961878879</c:v>
                </c:pt>
                <c:pt idx="859">
                  <c:v>0.18130764961954066</c:v>
                </c:pt>
                <c:pt idx="860">
                  <c:v>0.18130764962027895</c:v>
                </c:pt>
                <c:pt idx="861">
                  <c:v>0.18130764962100393</c:v>
                </c:pt>
                <c:pt idx="862">
                  <c:v>0.18130764962171583</c:v>
                </c:pt>
                <c:pt idx="863">
                  <c:v>0.18130764962241488</c:v>
                </c:pt>
                <c:pt idx="864">
                  <c:v>0.18130764962310134</c:v>
                </c:pt>
                <c:pt idx="865">
                  <c:v>0.18130764962377541</c:v>
                </c:pt>
                <c:pt idx="866">
                  <c:v>0.18130764962443729</c:v>
                </c:pt>
                <c:pt idx="867">
                  <c:v>0.18130764962508727</c:v>
                </c:pt>
                <c:pt idx="868">
                  <c:v>0.18130764962572551</c:v>
                </c:pt>
                <c:pt idx="869">
                  <c:v>0.18130764962635224</c:v>
                </c:pt>
                <c:pt idx="870">
                  <c:v>0.18130764962696766</c:v>
                </c:pt>
                <c:pt idx="871">
                  <c:v>0.18130764962757198</c:v>
                </c:pt>
                <c:pt idx="872">
                  <c:v>0.1813076496281654</c:v>
                </c:pt>
                <c:pt idx="873">
                  <c:v>0.18130764962874812</c:v>
                </c:pt>
                <c:pt idx="874">
                  <c:v>0.18130764962932033</c:v>
                </c:pt>
                <c:pt idx="875">
                  <c:v>0.18130764962988222</c:v>
                </c:pt>
                <c:pt idx="876">
                  <c:v>0.18130764963043394</c:v>
                </c:pt>
                <c:pt idx="877">
                  <c:v>0.1813076496309757</c:v>
                </c:pt>
                <c:pt idx="878">
                  <c:v>0.18130764963150769</c:v>
                </c:pt>
                <c:pt idx="879">
                  <c:v>0.18130764963203011</c:v>
                </c:pt>
                <c:pt idx="880">
                  <c:v>0.18130764963254309</c:v>
                </c:pt>
                <c:pt idx="881">
                  <c:v>0.18130764963304682</c:v>
                </c:pt>
                <c:pt idx="882">
                  <c:v>0.18130764963354148</c:v>
                </c:pt>
                <c:pt idx="883">
                  <c:v>0.18130764963402721</c:v>
                </c:pt>
                <c:pt idx="884">
                  <c:v>0.18130764963450419</c:v>
                </c:pt>
                <c:pt idx="885">
                  <c:v>0.18130764963497256</c:v>
                </c:pt>
                <c:pt idx="886">
                  <c:v>0.18130764963543247</c:v>
                </c:pt>
                <c:pt idx="887">
                  <c:v>0.18130764963588408</c:v>
                </c:pt>
                <c:pt idx="888">
                  <c:v>0.18130764963632756</c:v>
                </c:pt>
                <c:pt idx="889">
                  <c:v>0.18130764963676305</c:v>
                </c:pt>
                <c:pt idx="890">
                  <c:v>0.18130764963719068</c:v>
                </c:pt>
                <c:pt idx="891">
                  <c:v>0.18130764963761059</c:v>
                </c:pt>
                <c:pt idx="892">
                  <c:v>0.1813076496380229</c:v>
                </c:pt>
                <c:pt idx="893">
                  <c:v>0.1813076496384278</c:v>
                </c:pt>
                <c:pt idx="894">
                  <c:v>0.18130764963882537</c:v>
                </c:pt>
                <c:pt idx="895">
                  <c:v>0.18130764963921575</c:v>
                </c:pt>
                <c:pt idx="896">
                  <c:v>0.18130764963959911</c:v>
                </c:pt>
                <c:pt idx="897">
                  <c:v>0.18130764963997556</c:v>
                </c:pt>
                <c:pt idx="898">
                  <c:v>0.18130764964034521</c:v>
                </c:pt>
                <c:pt idx="899">
                  <c:v>0.1813076496407082</c:v>
                </c:pt>
                <c:pt idx="900">
                  <c:v>0.18130764964106463</c:v>
                </c:pt>
                <c:pt idx="901">
                  <c:v>0.18130764964141466</c:v>
                </c:pt>
                <c:pt idx="902">
                  <c:v>0.18130764964175836</c:v>
                </c:pt>
                <c:pt idx="903">
                  <c:v>0.18130764964209584</c:v>
                </c:pt>
                <c:pt idx="904">
                  <c:v>0.18130764964242724</c:v>
                </c:pt>
                <c:pt idx="905">
                  <c:v>0.18130764964275267</c:v>
                </c:pt>
                <c:pt idx="906">
                  <c:v>0.18130764964307222</c:v>
                </c:pt>
                <c:pt idx="907">
                  <c:v>0.181307649643386</c:v>
                </c:pt>
                <c:pt idx="908">
                  <c:v>0.18130764964369414</c:v>
                </c:pt>
                <c:pt idx="909">
                  <c:v>0.18130764964399673</c:v>
                </c:pt>
                <c:pt idx="910">
                  <c:v>0.18130764964429386</c:v>
                </c:pt>
                <c:pt idx="911">
                  <c:v>0.18130764964458562</c:v>
                </c:pt>
                <c:pt idx="912">
                  <c:v>0.18130764964487212</c:v>
                </c:pt>
                <c:pt idx="913">
                  <c:v>0.18130764964515345</c:v>
                </c:pt>
                <c:pt idx="914">
                  <c:v>0.1813076496454297</c:v>
                </c:pt>
                <c:pt idx="915">
                  <c:v>0.18130764964570095</c:v>
                </c:pt>
                <c:pt idx="916">
                  <c:v>0.18130764964596735</c:v>
                </c:pt>
                <c:pt idx="917">
                  <c:v>0.18130764964622889</c:v>
                </c:pt>
                <c:pt idx="918">
                  <c:v>0.18130764964648574</c:v>
                </c:pt>
                <c:pt idx="919">
                  <c:v>0.18130764964673796</c:v>
                </c:pt>
                <c:pt idx="920">
                  <c:v>0.18130764964698562</c:v>
                </c:pt>
                <c:pt idx="921">
                  <c:v>0.18130764964722881</c:v>
                </c:pt>
                <c:pt idx="922">
                  <c:v>0.18130764964746762</c:v>
                </c:pt>
                <c:pt idx="923">
                  <c:v>0.18130764964770213</c:v>
                </c:pt>
                <c:pt idx="924">
                  <c:v>0.18130764964793239</c:v>
                </c:pt>
                <c:pt idx="925">
                  <c:v>0.18130764964815849</c:v>
                </c:pt>
                <c:pt idx="926">
                  <c:v>0.18130764964838053</c:v>
                </c:pt>
                <c:pt idx="927">
                  <c:v>0.18130764964859855</c:v>
                </c:pt>
                <c:pt idx="928">
                  <c:v>0.18130764964881266</c:v>
                </c:pt>
                <c:pt idx="929">
                  <c:v>0.18130764964902291</c:v>
                </c:pt>
                <c:pt idx="930">
                  <c:v>0.18130764964922935</c:v>
                </c:pt>
                <c:pt idx="931">
                  <c:v>0.18130764964943208</c:v>
                </c:pt>
                <c:pt idx="932">
                  <c:v>0.18130764964963114</c:v>
                </c:pt>
                <c:pt idx="933">
                  <c:v>0.1813076496498266</c:v>
                </c:pt>
                <c:pt idx="934">
                  <c:v>0.18130764965001853</c:v>
                </c:pt>
                <c:pt idx="935">
                  <c:v>0.18130764965020701</c:v>
                </c:pt>
                <c:pt idx="936">
                  <c:v>0.18130764965039209</c:v>
                </c:pt>
                <c:pt idx="937">
                  <c:v>0.18130764965057383</c:v>
                </c:pt>
                <c:pt idx="938">
                  <c:v>0.1813076496507523</c:v>
                </c:pt>
                <c:pt idx="939">
                  <c:v>0.18130764965092755</c:v>
                </c:pt>
                <c:pt idx="940">
                  <c:v>0.18130764965109963</c:v>
                </c:pt>
                <c:pt idx="941">
                  <c:v>0.18130764965126864</c:v>
                </c:pt>
                <c:pt idx="942">
                  <c:v>0.18130764965143456</c:v>
                </c:pt>
                <c:pt idx="943">
                  <c:v>0.18130764965159749</c:v>
                </c:pt>
                <c:pt idx="944">
                  <c:v>0.18130764965175747</c:v>
                </c:pt>
                <c:pt idx="945">
                  <c:v>0.18130764965191459</c:v>
                </c:pt>
                <c:pt idx="946">
                  <c:v>0.18130764965206889</c:v>
                </c:pt>
                <c:pt idx="947">
                  <c:v>0.18130764965222038</c:v>
                </c:pt>
                <c:pt idx="948">
                  <c:v>0.18130764965236915</c:v>
                </c:pt>
                <c:pt idx="949">
                  <c:v>0.18130764965251522</c:v>
                </c:pt>
                <c:pt idx="950">
                  <c:v>0.18130764965265866</c:v>
                </c:pt>
                <c:pt idx="951">
                  <c:v>0.1813076496527995</c:v>
                </c:pt>
                <c:pt idx="952">
                  <c:v>0.1813076496529378</c:v>
                </c:pt>
                <c:pt idx="953">
                  <c:v>0.18130764965307364</c:v>
                </c:pt>
                <c:pt idx="954">
                  <c:v>0.18130764965320703</c:v>
                </c:pt>
                <c:pt idx="955">
                  <c:v>0.18130764965333798</c:v>
                </c:pt>
                <c:pt idx="956">
                  <c:v>0.18130764965346657</c:v>
                </c:pt>
                <c:pt idx="957">
                  <c:v>0.18130764965359286</c:v>
                </c:pt>
                <c:pt idx="958">
                  <c:v>0.18130764965371687</c:v>
                </c:pt>
                <c:pt idx="959">
                  <c:v>0.18130764965383867</c:v>
                </c:pt>
                <c:pt idx="960">
                  <c:v>0.18130764965395824</c:v>
                </c:pt>
                <c:pt idx="961">
                  <c:v>0.18130764965407564</c:v>
                </c:pt>
                <c:pt idx="962">
                  <c:v>0.18130764965419094</c:v>
                </c:pt>
                <c:pt idx="963">
                  <c:v>0.18130764965430415</c:v>
                </c:pt>
                <c:pt idx="964">
                  <c:v>0.18130764965441531</c:v>
                </c:pt>
                <c:pt idx="965">
                  <c:v>0.18130764965452448</c:v>
                </c:pt>
                <c:pt idx="966">
                  <c:v>0.18130764965463167</c:v>
                </c:pt>
                <c:pt idx="967">
                  <c:v>0.18130764965473692</c:v>
                </c:pt>
                <c:pt idx="968">
                  <c:v>0.18130764965484028</c:v>
                </c:pt>
                <c:pt idx="969">
                  <c:v>0.18130764965494178</c:v>
                </c:pt>
                <c:pt idx="970">
                  <c:v>0.18130764965504145</c:v>
                </c:pt>
                <c:pt idx="971">
                  <c:v>0.18130764965513932</c:v>
                </c:pt>
                <c:pt idx="972">
                  <c:v>0.18130764965523544</c:v>
                </c:pt>
                <c:pt idx="973">
                  <c:v>0.18130764965532981</c:v>
                </c:pt>
                <c:pt idx="974">
                  <c:v>0.18130764965542248</c:v>
                </c:pt>
                <c:pt idx="975">
                  <c:v>0.18130764965551346</c:v>
                </c:pt>
                <c:pt idx="976">
                  <c:v>0.18130764965560284</c:v>
                </c:pt>
                <c:pt idx="977">
                  <c:v>0.18130764965569057</c:v>
                </c:pt>
                <c:pt idx="978">
                  <c:v>0.18130764965577675</c:v>
                </c:pt>
                <c:pt idx="979">
                  <c:v>0.18130764965586135</c:v>
                </c:pt>
                <c:pt idx="980">
                  <c:v>0.18130764965594443</c:v>
                </c:pt>
                <c:pt idx="981">
                  <c:v>0.181307649656026</c:v>
                </c:pt>
                <c:pt idx="982">
                  <c:v>0.18130764965610613</c:v>
                </c:pt>
                <c:pt idx="983">
                  <c:v>0.18130764965618479</c:v>
                </c:pt>
                <c:pt idx="984">
                  <c:v>0.18130764965626206</c:v>
                </c:pt>
                <c:pt idx="985">
                  <c:v>0.18130764965633792</c:v>
                </c:pt>
                <c:pt idx="986">
                  <c:v>0.18130764965641238</c:v>
                </c:pt>
                <c:pt idx="987">
                  <c:v>0.18130764965648552</c:v>
                </c:pt>
                <c:pt idx="988">
                  <c:v>0.18130764965655732</c:v>
                </c:pt>
                <c:pt idx="989">
                  <c:v>0.18130764965662785</c:v>
                </c:pt>
                <c:pt idx="990">
                  <c:v>0.1813076496566971</c:v>
                </c:pt>
                <c:pt idx="991">
                  <c:v>0.1813076496567651</c:v>
                </c:pt>
                <c:pt idx="992">
                  <c:v>0.18130764965683188</c:v>
                </c:pt>
                <c:pt idx="993">
                  <c:v>0.18130764965689747</c:v>
                </c:pt>
                <c:pt idx="994">
                  <c:v>0.18130764965696186</c:v>
                </c:pt>
                <c:pt idx="995">
                  <c:v>0.18130764965702509</c:v>
                </c:pt>
                <c:pt idx="996">
                  <c:v>0.18130764965708718</c:v>
                </c:pt>
                <c:pt idx="997">
                  <c:v>0.18130764965714816</c:v>
                </c:pt>
                <c:pt idx="998">
                  <c:v>0.18130764965720803</c:v>
                </c:pt>
                <c:pt idx="999">
                  <c:v>0.18130764965726681</c:v>
                </c:pt>
                <c:pt idx="1000">
                  <c:v>0.18130764965732454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6C-42DD-ADCB-A4D884514D36}"/>
            </c:ext>
          </c:extLst>
        </c:ser>
        <c:ser>
          <c:idx val="2"/>
          <c:order val="2"/>
          <c:tx>
            <c:strRef>
              <c:f>Model!$U$24</c:f>
              <c:strCache>
                <c:ptCount val="1"/>
                <c:pt idx="0">
                  <c:v>TL 3: Fish</c:v>
                </c:pt>
              </c:strCache>
            </c:strRef>
          </c:tx>
          <c:spPr>
            <a:ln w="22000">
              <a:solidFill>
                <a:srgbClr val="2E9E5B"/>
              </a:solidFill>
              <a:prstDash val="solid"/>
            </a:ln>
          </c:spPr>
          <c:marker>
            <c:symbol val="none"/>
          </c:marker>
          <c:xVal>
            <c:numRef>
              <c:f>Model!$R$25:$R$1025</c:f>
              <c:numCache>
                <c:formatCode>0.000</c:formatCode>
                <c:ptCount val="1001"/>
                <c:pt idx="0">
                  <c:v>0</c:v>
                </c:pt>
                <c:pt idx="1">
                  <c:v>0.08</c:v>
                </c:pt>
                <c:pt idx="2">
                  <c:v>0.16</c:v>
                </c:pt>
                <c:pt idx="3">
                  <c:v>0.24</c:v>
                </c:pt>
                <c:pt idx="4">
                  <c:v>0.32</c:v>
                </c:pt>
                <c:pt idx="5">
                  <c:v>0.4</c:v>
                </c:pt>
                <c:pt idx="6">
                  <c:v>0.48000000000000004</c:v>
                </c:pt>
                <c:pt idx="7">
                  <c:v>0.56000000000000005</c:v>
                </c:pt>
                <c:pt idx="8">
                  <c:v>0.64</c:v>
                </c:pt>
                <c:pt idx="9">
                  <c:v>0.72</c:v>
                </c:pt>
                <c:pt idx="10">
                  <c:v>0.79999999999999993</c:v>
                </c:pt>
                <c:pt idx="11">
                  <c:v>0.87999999999999989</c:v>
                </c:pt>
                <c:pt idx="12">
                  <c:v>0.95999999999999985</c:v>
                </c:pt>
                <c:pt idx="13">
                  <c:v>1.0399999999999998</c:v>
                </c:pt>
                <c:pt idx="14">
                  <c:v>1.1199999999999999</c:v>
                </c:pt>
                <c:pt idx="15">
                  <c:v>1.2</c:v>
                </c:pt>
                <c:pt idx="16">
                  <c:v>1.28</c:v>
                </c:pt>
                <c:pt idx="17">
                  <c:v>1.36</c:v>
                </c:pt>
                <c:pt idx="18">
                  <c:v>1.4400000000000002</c:v>
                </c:pt>
                <c:pt idx="19">
                  <c:v>1.5200000000000002</c:v>
                </c:pt>
                <c:pt idx="20">
                  <c:v>1.6000000000000003</c:v>
                </c:pt>
                <c:pt idx="21">
                  <c:v>1.6800000000000004</c:v>
                </c:pt>
                <c:pt idx="22">
                  <c:v>1.7600000000000005</c:v>
                </c:pt>
                <c:pt idx="23">
                  <c:v>1.8400000000000005</c:v>
                </c:pt>
                <c:pt idx="24">
                  <c:v>1.9200000000000006</c:v>
                </c:pt>
                <c:pt idx="25">
                  <c:v>2.0000000000000004</c:v>
                </c:pt>
                <c:pt idx="26">
                  <c:v>2.0800000000000005</c:v>
                </c:pt>
                <c:pt idx="27">
                  <c:v>2.1600000000000006</c:v>
                </c:pt>
                <c:pt idx="28">
                  <c:v>2.2400000000000007</c:v>
                </c:pt>
                <c:pt idx="29">
                  <c:v>2.3200000000000007</c:v>
                </c:pt>
                <c:pt idx="30">
                  <c:v>2.4000000000000008</c:v>
                </c:pt>
                <c:pt idx="31">
                  <c:v>2.4800000000000009</c:v>
                </c:pt>
                <c:pt idx="32">
                  <c:v>2.5600000000000009</c:v>
                </c:pt>
                <c:pt idx="33">
                  <c:v>2.640000000000001</c:v>
                </c:pt>
                <c:pt idx="34">
                  <c:v>2.7200000000000011</c:v>
                </c:pt>
                <c:pt idx="35">
                  <c:v>2.8000000000000012</c:v>
                </c:pt>
                <c:pt idx="36">
                  <c:v>2.8800000000000012</c:v>
                </c:pt>
                <c:pt idx="37">
                  <c:v>2.9600000000000013</c:v>
                </c:pt>
                <c:pt idx="38">
                  <c:v>3.0400000000000014</c:v>
                </c:pt>
                <c:pt idx="39">
                  <c:v>3.1200000000000014</c:v>
                </c:pt>
                <c:pt idx="40">
                  <c:v>3.2000000000000015</c:v>
                </c:pt>
                <c:pt idx="41">
                  <c:v>3.2800000000000016</c:v>
                </c:pt>
                <c:pt idx="42">
                  <c:v>3.3600000000000017</c:v>
                </c:pt>
                <c:pt idx="43">
                  <c:v>3.4400000000000017</c:v>
                </c:pt>
                <c:pt idx="44">
                  <c:v>3.5200000000000018</c:v>
                </c:pt>
                <c:pt idx="45">
                  <c:v>3.6000000000000019</c:v>
                </c:pt>
                <c:pt idx="46">
                  <c:v>3.6800000000000019</c:v>
                </c:pt>
                <c:pt idx="47">
                  <c:v>3.760000000000002</c:v>
                </c:pt>
                <c:pt idx="48">
                  <c:v>3.8400000000000021</c:v>
                </c:pt>
                <c:pt idx="49">
                  <c:v>3.9200000000000021</c:v>
                </c:pt>
                <c:pt idx="50">
                  <c:v>4.0000000000000018</c:v>
                </c:pt>
                <c:pt idx="51">
                  <c:v>4.0800000000000018</c:v>
                </c:pt>
                <c:pt idx="52">
                  <c:v>4.1600000000000019</c:v>
                </c:pt>
                <c:pt idx="53">
                  <c:v>4.240000000000002</c:v>
                </c:pt>
                <c:pt idx="54">
                  <c:v>4.3200000000000021</c:v>
                </c:pt>
                <c:pt idx="55">
                  <c:v>4.4000000000000021</c:v>
                </c:pt>
                <c:pt idx="56">
                  <c:v>4.4800000000000022</c:v>
                </c:pt>
                <c:pt idx="57">
                  <c:v>4.5600000000000023</c:v>
                </c:pt>
                <c:pt idx="58">
                  <c:v>4.6400000000000023</c:v>
                </c:pt>
                <c:pt idx="59">
                  <c:v>4.7200000000000024</c:v>
                </c:pt>
                <c:pt idx="60">
                  <c:v>4.8000000000000025</c:v>
                </c:pt>
                <c:pt idx="61">
                  <c:v>4.8800000000000026</c:v>
                </c:pt>
                <c:pt idx="62">
                  <c:v>4.9600000000000026</c:v>
                </c:pt>
                <c:pt idx="63">
                  <c:v>5.0400000000000027</c:v>
                </c:pt>
                <c:pt idx="64">
                  <c:v>5.1200000000000028</c:v>
                </c:pt>
                <c:pt idx="65">
                  <c:v>5.2000000000000028</c:v>
                </c:pt>
                <c:pt idx="66">
                  <c:v>5.2800000000000029</c:v>
                </c:pt>
                <c:pt idx="67">
                  <c:v>5.360000000000003</c:v>
                </c:pt>
                <c:pt idx="68">
                  <c:v>5.4400000000000031</c:v>
                </c:pt>
                <c:pt idx="69">
                  <c:v>5.5200000000000031</c:v>
                </c:pt>
                <c:pt idx="70">
                  <c:v>5.6000000000000032</c:v>
                </c:pt>
                <c:pt idx="71">
                  <c:v>5.6800000000000033</c:v>
                </c:pt>
                <c:pt idx="72">
                  <c:v>5.7600000000000033</c:v>
                </c:pt>
                <c:pt idx="73">
                  <c:v>5.8400000000000034</c:v>
                </c:pt>
                <c:pt idx="74">
                  <c:v>5.9200000000000035</c:v>
                </c:pt>
                <c:pt idx="75">
                  <c:v>6.0000000000000036</c:v>
                </c:pt>
                <c:pt idx="76">
                  <c:v>6.0800000000000036</c:v>
                </c:pt>
                <c:pt idx="77">
                  <c:v>6.1600000000000037</c:v>
                </c:pt>
                <c:pt idx="78">
                  <c:v>6.2400000000000038</c:v>
                </c:pt>
                <c:pt idx="79">
                  <c:v>6.3200000000000038</c:v>
                </c:pt>
                <c:pt idx="80">
                  <c:v>6.4000000000000039</c:v>
                </c:pt>
                <c:pt idx="81">
                  <c:v>6.480000000000004</c:v>
                </c:pt>
                <c:pt idx="82">
                  <c:v>6.5600000000000041</c:v>
                </c:pt>
                <c:pt idx="83">
                  <c:v>6.6400000000000041</c:v>
                </c:pt>
                <c:pt idx="84">
                  <c:v>6.7200000000000042</c:v>
                </c:pt>
                <c:pt idx="85">
                  <c:v>6.8000000000000043</c:v>
                </c:pt>
                <c:pt idx="86">
                  <c:v>6.8800000000000043</c:v>
                </c:pt>
                <c:pt idx="87">
                  <c:v>6.9600000000000044</c:v>
                </c:pt>
                <c:pt idx="88">
                  <c:v>7.0400000000000045</c:v>
                </c:pt>
                <c:pt idx="89">
                  <c:v>7.1200000000000045</c:v>
                </c:pt>
                <c:pt idx="90">
                  <c:v>7.2000000000000046</c:v>
                </c:pt>
                <c:pt idx="91">
                  <c:v>7.2800000000000047</c:v>
                </c:pt>
                <c:pt idx="92">
                  <c:v>7.3600000000000048</c:v>
                </c:pt>
                <c:pt idx="93">
                  <c:v>7.4400000000000048</c:v>
                </c:pt>
                <c:pt idx="94">
                  <c:v>7.5200000000000049</c:v>
                </c:pt>
                <c:pt idx="95">
                  <c:v>7.600000000000005</c:v>
                </c:pt>
                <c:pt idx="96">
                  <c:v>7.680000000000005</c:v>
                </c:pt>
                <c:pt idx="97">
                  <c:v>7.7600000000000051</c:v>
                </c:pt>
                <c:pt idx="98">
                  <c:v>7.8400000000000052</c:v>
                </c:pt>
                <c:pt idx="99">
                  <c:v>7.9200000000000053</c:v>
                </c:pt>
                <c:pt idx="100">
                  <c:v>8.0000000000000053</c:v>
                </c:pt>
                <c:pt idx="101">
                  <c:v>8.0800000000000054</c:v>
                </c:pt>
                <c:pt idx="102">
                  <c:v>8.1600000000000055</c:v>
                </c:pt>
                <c:pt idx="103">
                  <c:v>8.2400000000000055</c:v>
                </c:pt>
                <c:pt idx="104">
                  <c:v>8.3200000000000056</c:v>
                </c:pt>
                <c:pt idx="105">
                  <c:v>8.4000000000000057</c:v>
                </c:pt>
                <c:pt idx="106">
                  <c:v>8.4800000000000058</c:v>
                </c:pt>
                <c:pt idx="107">
                  <c:v>8.5600000000000058</c:v>
                </c:pt>
                <c:pt idx="108">
                  <c:v>8.6400000000000059</c:v>
                </c:pt>
                <c:pt idx="109">
                  <c:v>8.720000000000006</c:v>
                </c:pt>
                <c:pt idx="110">
                  <c:v>8.800000000000006</c:v>
                </c:pt>
                <c:pt idx="111">
                  <c:v>8.8800000000000061</c:v>
                </c:pt>
                <c:pt idx="112">
                  <c:v>8.9600000000000062</c:v>
                </c:pt>
                <c:pt idx="113">
                  <c:v>9.0400000000000063</c:v>
                </c:pt>
                <c:pt idx="114">
                  <c:v>9.1200000000000063</c:v>
                </c:pt>
                <c:pt idx="115">
                  <c:v>9.2000000000000064</c:v>
                </c:pt>
                <c:pt idx="116">
                  <c:v>9.2800000000000065</c:v>
                </c:pt>
                <c:pt idx="117">
                  <c:v>9.3600000000000065</c:v>
                </c:pt>
                <c:pt idx="118">
                  <c:v>9.4400000000000066</c:v>
                </c:pt>
                <c:pt idx="119">
                  <c:v>9.5200000000000067</c:v>
                </c:pt>
                <c:pt idx="120">
                  <c:v>9.6000000000000068</c:v>
                </c:pt>
                <c:pt idx="121">
                  <c:v>9.6800000000000068</c:v>
                </c:pt>
                <c:pt idx="122">
                  <c:v>9.7600000000000069</c:v>
                </c:pt>
                <c:pt idx="123">
                  <c:v>9.840000000000007</c:v>
                </c:pt>
                <c:pt idx="124">
                  <c:v>9.920000000000007</c:v>
                </c:pt>
                <c:pt idx="125">
                  <c:v>10.000000000000007</c:v>
                </c:pt>
                <c:pt idx="126">
                  <c:v>10.080000000000007</c:v>
                </c:pt>
                <c:pt idx="127">
                  <c:v>10.160000000000007</c:v>
                </c:pt>
                <c:pt idx="128">
                  <c:v>10.240000000000007</c:v>
                </c:pt>
                <c:pt idx="129">
                  <c:v>10.320000000000007</c:v>
                </c:pt>
                <c:pt idx="130">
                  <c:v>10.400000000000007</c:v>
                </c:pt>
                <c:pt idx="131">
                  <c:v>10.480000000000008</c:v>
                </c:pt>
                <c:pt idx="132">
                  <c:v>10.560000000000008</c:v>
                </c:pt>
                <c:pt idx="133">
                  <c:v>10.640000000000008</c:v>
                </c:pt>
                <c:pt idx="134">
                  <c:v>10.720000000000008</c:v>
                </c:pt>
                <c:pt idx="135">
                  <c:v>10.800000000000008</c:v>
                </c:pt>
                <c:pt idx="136">
                  <c:v>10.880000000000008</c:v>
                </c:pt>
                <c:pt idx="137">
                  <c:v>10.960000000000008</c:v>
                </c:pt>
                <c:pt idx="138">
                  <c:v>11.040000000000008</c:v>
                </c:pt>
                <c:pt idx="139">
                  <c:v>11.120000000000008</c:v>
                </c:pt>
                <c:pt idx="140">
                  <c:v>11.200000000000008</c:v>
                </c:pt>
                <c:pt idx="141">
                  <c:v>11.280000000000008</c:v>
                </c:pt>
                <c:pt idx="142">
                  <c:v>11.360000000000008</c:v>
                </c:pt>
                <c:pt idx="143">
                  <c:v>11.440000000000008</c:v>
                </c:pt>
                <c:pt idx="144">
                  <c:v>11.520000000000008</c:v>
                </c:pt>
                <c:pt idx="145">
                  <c:v>11.600000000000009</c:v>
                </c:pt>
                <c:pt idx="146">
                  <c:v>11.680000000000009</c:v>
                </c:pt>
                <c:pt idx="147">
                  <c:v>11.760000000000009</c:v>
                </c:pt>
                <c:pt idx="148">
                  <c:v>11.840000000000009</c:v>
                </c:pt>
                <c:pt idx="149">
                  <c:v>11.920000000000009</c:v>
                </c:pt>
                <c:pt idx="150">
                  <c:v>12.000000000000009</c:v>
                </c:pt>
                <c:pt idx="151">
                  <c:v>12.080000000000009</c:v>
                </c:pt>
                <c:pt idx="152">
                  <c:v>12.160000000000009</c:v>
                </c:pt>
                <c:pt idx="153">
                  <c:v>12.240000000000009</c:v>
                </c:pt>
                <c:pt idx="154">
                  <c:v>12.320000000000009</c:v>
                </c:pt>
                <c:pt idx="155">
                  <c:v>12.400000000000009</c:v>
                </c:pt>
                <c:pt idx="156">
                  <c:v>12.480000000000009</c:v>
                </c:pt>
                <c:pt idx="157">
                  <c:v>12.560000000000009</c:v>
                </c:pt>
                <c:pt idx="158">
                  <c:v>12.640000000000009</c:v>
                </c:pt>
                <c:pt idx="159">
                  <c:v>12.72000000000001</c:v>
                </c:pt>
                <c:pt idx="160">
                  <c:v>12.80000000000001</c:v>
                </c:pt>
                <c:pt idx="161">
                  <c:v>12.88000000000001</c:v>
                </c:pt>
                <c:pt idx="162">
                  <c:v>12.96000000000001</c:v>
                </c:pt>
                <c:pt idx="163">
                  <c:v>13.04000000000001</c:v>
                </c:pt>
                <c:pt idx="164">
                  <c:v>13.12000000000001</c:v>
                </c:pt>
                <c:pt idx="165">
                  <c:v>13.20000000000001</c:v>
                </c:pt>
                <c:pt idx="166">
                  <c:v>13.28000000000001</c:v>
                </c:pt>
                <c:pt idx="167">
                  <c:v>13.36000000000001</c:v>
                </c:pt>
                <c:pt idx="168">
                  <c:v>13.44000000000001</c:v>
                </c:pt>
                <c:pt idx="169">
                  <c:v>13.52000000000001</c:v>
                </c:pt>
                <c:pt idx="170">
                  <c:v>13.60000000000001</c:v>
                </c:pt>
                <c:pt idx="171">
                  <c:v>13.68000000000001</c:v>
                </c:pt>
                <c:pt idx="172">
                  <c:v>13.76000000000001</c:v>
                </c:pt>
                <c:pt idx="173">
                  <c:v>13.840000000000011</c:v>
                </c:pt>
                <c:pt idx="174">
                  <c:v>13.920000000000011</c:v>
                </c:pt>
                <c:pt idx="175">
                  <c:v>14.000000000000011</c:v>
                </c:pt>
                <c:pt idx="176">
                  <c:v>14.080000000000011</c:v>
                </c:pt>
                <c:pt idx="177">
                  <c:v>14.160000000000011</c:v>
                </c:pt>
                <c:pt idx="178">
                  <c:v>14.240000000000011</c:v>
                </c:pt>
                <c:pt idx="179">
                  <c:v>14.320000000000011</c:v>
                </c:pt>
                <c:pt idx="180">
                  <c:v>14.400000000000011</c:v>
                </c:pt>
                <c:pt idx="181">
                  <c:v>14.480000000000011</c:v>
                </c:pt>
                <c:pt idx="182">
                  <c:v>14.560000000000011</c:v>
                </c:pt>
                <c:pt idx="183">
                  <c:v>14.640000000000011</c:v>
                </c:pt>
                <c:pt idx="184">
                  <c:v>14.720000000000011</c:v>
                </c:pt>
                <c:pt idx="185">
                  <c:v>14.800000000000011</c:v>
                </c:pt>
                <c:pt idx="186">
                  <c:v>14.880000000000011</c:v>
                </c:pt>
                <c:pt idx="187">
                  <c:v>14.960000000000012</c:v>
                </c:pt>
                <c:pt idx="188">
                  <c:v>15.040000000000012</c:v>
                </c:pt>
                <c:pt idx="189">
                  <c:v>15.120000000000012</c:v>
                </c:pt>
                <c:pt idx="190">
                  <c:v>15.200000000000012</c:v>
                </c:pt>
                <c:pt idx="191">
                  <c:v>15.280000000000012</c:v>
                </c:pt>
                <c:pt idx="192">
                  <c:v>15.360000000000012</c:v>
                </c:pt>
                <c:pt idx="193">
                  <c:v>15.440000000000012</c:v>
                </c:pt>
                <c:pt idx="194">
                  <c:v>15.520000000000012</c:v>
                </c:pt>
                <c:pt idx="195">
                  <c:v>15.600000000000012</c:v>
                </c:pt>
                <c:pt idx="196">
                  <c:v>15.680000000000012</c:v>
                </c:pt>
                <c:pt idx="197">
                  <c:v>15.760000000000012</c:v>
                </c:pt>
                <c:pt idx="198">
                  <c:v>15.840000000000012</c:v>
                </c:pt>
                <c:pt idx="199">
                  <c:v>15.920000000000012</c:v>
                </c:pt>
                <c:pt idx="200">
                  <c:v>16.000000000000011</c:v>
                </c:pt>
                <c:pt idx="201">
                  <c:v>16.080000000000009</c:v>
                </c:pt>
                <c:pt idx="202">
                  <c:v>16.160000000000007</c:v>
                </c:pt>
                <c:pt idx="203">
                  <c:v>16.240000000000006</c:v>
                </c:pt>
                <c:pt idx="204">
                  <c:v>16.320000000000004</c:v>
                </c:pt>
                <c:pt idx="205">
                  <c:v>16.400000000000002</c:v>
                </c:pt>
                <c:pt idx="206">
                  <c:v>16.48</c:v>
                </c:pt>
                <c:pt idx="207">
                  <c:v>16.559999999999999</c:v>
                </c:pt>
                <c:pt idx="208">
                  <c:v>16.639999999999997</c:v>
                </c:pt>
                <c:pt idx="209">
                  <c:v>16.719999999999995</c:v>
                </c:pt>
                <c:pt idx="210">
                  <c:v>16.799999999999994</c:v>
                </c:pt>
                <c:pt idx="211">
                  <c:v>16.879999999999992</c:v>
                </c:pt>
                <c:pt idx="212">
                  <c:v>16.95999999999999</c:v>
                </c:pt>
                <c:pt idx="213">
                  <c:v>17.039999999999988</c:v>
                </c:pt>
                <c:pt idx="214">
                  <c:v>17.119999999999987</c:v>
                </c:pt>
                <c:pt idx="215">
                  <c:v>17.199999999999985</c:v>
                </c:pt>
                <c:pt idx="216">
                  <c:v>17.279999999999983</c:v>
                </c:pt>
                <c:pt idx="217">
                  <c:v>17.359999999999982</c:v>
                </c:pt>
                <c:pt idx="218">
                  <c:v>17.43999999999998</c:v>
                </c:pt>
                <c:pt idx="219">
                  <c:v>17.519999999999978</c:v>
                </c:pt>
                <c:pt idx="220">
                  <c:v>17.599999999999977</c:v>
                </c:pt>
                <c:pt idx="221">
                  <c:v>17.679999999999975</c:v>
                </c:pt>
                <c:pt idx="222">
                  <c:v>17.759999999999973</c:v>
                </c:pt>
                <c:pt idx="223">
                  <c:v>17.839999999999971</c:v>
                </c:pt>
                <c:pt idx="224">
                  <c:v>17.91999999999997</c:v>
                </c:pt>
                <c:pt idx="225">
                  <c:v>17.999999999999968</c:v>
                </c:pt>
                <c:pt idx="226">
                  <c:v>18.079999999999966</c:v>
                </c:pt>
                <c:pt idx="227">
                  <c:v>18.159999999999965</c:v>
                </c:pt>
                <c:pt idx="228">
                  <c:v>18.239999999999963</c:v>
                </c:pt>
                <c:pt idx="229">
                  <c:v>18.319999999999961</c:v>
                </c:pt>
                <c:pt idx="230">
                  <c:v>18.399999999999959</c:v>
                </c:pt>
                <c:pt idx="231">
                  <c:v>18.479999999999958</c:v>
                </c:pt>
                <c:pt idx="232">
                  <c:v>18.559999999999956</c:v>
                </c:pt>
                <c:pt idx="233">
                  <c:v>18.639999999999954</c:v>
                </c:pt>
                <c:pt idx="234">
                  <c:v>18.719999999999953</c:v>
                </c:pt>
                <c:pt idx="235">
                  <c:v>18.799999999999951</c:v>
                </c:pt>
                <c:pt idx="236">
                  <c:v>18.879999999999949</c:v>
                </c:pt>
                <c:pt idx="237">
                  <c:v>18.959999999999948</c:v>
                </c:pt>
                <c:pt idx="238">
                  <c:v>19.039999999999946</c:v>
                </c:pt>
                <c:pt idx="239">
                  <c:v>19.119999999999944</c:v>
                </c:pt>
                <c:pt idx="240">
                  <c:v>19.199999999999942</c:v>
                </c:pt>
                <c:pt idx="241">
                  <c:v>19.279999999999941</c:v>
                </c:pt>
                <c:pt idx="242">
                  <c:v>19.359999999999939</c:v>
                </c:pt>
                <c:pt idx="243">
                  <c:v>19.439999999999937</c:v>
                </c:pt>
                <c:pt idx="244">
                  <c:v>19.519999999999936</c:v>
                </c:pt>
                <c:pt idx="245">
                  <c:v>19.599999999999934</c:v>
                </c:pt>
                <c:pt idx="246">
                  <c:v>19.679999999999932</c:v>
                </c:pt>
                <c:pt idx="247">
                  <c:v>19.759999999999931</c:v>
                </c:pt>
                <c:pt idx="248">
                  <c:v>19.839999999999929</c:v>
                </c:pt>
                <c:pt idx="249">
                  <c:v>19.919999999999927</c:v>
                </c:pt>
                <c:pt idx="250">
                  <c:v>19.999999999999925</c:v>
                </c:pt>
                <c:pt idx="251">
                  <c:v>20.079999999999924</c:v>
                </c:pt>
                <c:pt idx="252">
                  <c:v>20.159999999999922</c:v>
                </c:pt>
                <c:pt idx="253">
                  <c:v>20.23999999999992</c:v>
                </c:pt>
                <c:pt idx="254">
                  <c:v>20.319999999999919</c:v>
                </c:pt>
                <c:pt idx="255">
                  <c:v>20.399999999999917</c:v>
                </c:pt>
                <c:pt idx="256">
                  <c:v>20.479999999999915</c:v>
                </c:pt>
                <c:pt idx="257">
                  <c:v>20.559999999999913</c:v>
                </c:pt>
                <c:pt idx="258">
                  <c:v>20.639999999999912</c:v>
                </c:pt>
                <c:pt idx="259">
                  <c:v>20.71999999999991</c:v>
                </c:pt>
                <c:pt idx="260">
                  <c:v>20.799999999999908</c:v>
                </c:pt>
                <c:pt idx="261">
                  <c:v>20.879999999999907</c:v>
                </c:pt>
                <c:pt idx="262">
                  <c:v>20.959999999999905</c:v>
                </c:pt>
                <c:pt idx="263">
                  <c:v>21.039999999999903</c:v>
                </c:pt>
                <c:pt idx="264">
                  <c:v>21.119999999999902</c:v>
                </c:pt>
                <c:pt idx="265">
                  <c:v>21.1999999999999</c:v>
                </c:pt>
                <c:pt idx="266">
                  <c:v>21.279999999999898</c:v>
                </c:pt>
                <c:pt idx="267">
                  <c:v>21.359999999999896</c:v>
                </c:pt>
                <c:pt idx="268">
                  <c:v>21.439999999999895</c:v>
                </c:pt>
                <c:pt idx="269">
                  <c:v>21.519999999999893</c:v>
                </c:pt>
                <c:pt idx="270">
                  <c:v>21.599999999999891</c:v>
                </c:pt>
                <c:pt idx="271">
                  <c:v>21.67999999999989</c:v>
                </c:pt>
                <c:pt idx="272">
                  <c:v>21.759999999999888</c:v>
                </c:pt>
                <c:pt idx="273">
                  <c:v>21.839999999999886</c:v>
                </c:pt>
                <c:pt idx="274">
                  <c:v>21.919999999999884</c:v>
                </c:pt>
                <c:pt idx="275">
                  <c:v>21.999999999999883</c:v>
                </c:pt>
                <c:pt idx="276">
                  <c:v>22.079999999999881</c:v>
                </c:pt>
                <c:pt idx="277">
                  <c:v>22.159999999999879</c:v>
                </c:pt>
                <c:pt idx="278">
                  <c:v>22.239999999999878</c:v>
                </c:pt>
                <c:pt idx="279">
                  <c:v>22.319999999999876</c:v>
                </c:pt>
                <c:pt idx="280">
                  <c:v>22.399999999999874</c:v>
                </c:pt>
                <c:pt idx="281">
                  <c:v>22.479999999999873</c:v>
                </c:pt>
                <c:pt idx="282">
                  <c:v>22.559999999999871</c:v>
                </c:pt>
                <c:pt idx="283">
                  <c:v>22.639999999999869</c:v>
                </c:pt>
                <c:pt idx="284">
                  <c:v>22.719999999999867</c:v>
                </c:pt>
                <c:pt idx="285">
                  <c:v>22.799999999999866</c:v>
                </c:pt>
                <c:pt idx="286">
                  <c:v>22.879999999999864</c:v>
                </c:pt>
                <c:pt idx="287">
                  <c:v>22.959999999999862</c:v>
                </c:pt>
                <c:pt idx="288">
                  <c:v>23.039999999999861</c:v>
                </c:pt>
                <c:pt idx="289">
                  <c:v>23.119999999999859</c:v>
                </c:pt>
                <c:pt idx="290">
                  <c:v>23.199999999999857</c:v>
                </c:pt>
                <c:pt idx="291">
                  <c:v>23.279999999999855</c:v>
                </c:pt>
                <c:pt idx="292">
                  <c:v>23.359999999999854</c:v>
                </c:pt>
                <c:pt idx="293">
                  <c:v>23.439999999999852</c:v>
                </c:pt>
                <c:pt idx="294">
                  <c:v>23.51999999999985</c:v>
                </c:pt>
                <c:pt idx="295">
                  <c:v>23.599999999999849</c:v>
                </c:pt>
                <c:pt idx="296">
                  <c:v>23.679999999999847</c:v>
                </c:pt>
                <c:pt idx="297">
                  <c:v>23.759999999999845</c:v>
                </c:pt>
                <c:pt idx="298">
                  <c:v>23.839999999999844</c:v>
                </c:pt>
                <c:pt idx="299">
                  <c:v>23.919999999999842</c:v>
                </c:pt>
                <c:pt idx="300">
                  <c:v>23.99999999999984</c:v>
                </c:pt>
                <c:pt idx="301">
                  <c:v>24.079999999999838</c:v>
                </c:pt>
                <c:pt idx="302">
                  <c:v>24.159999999999837</c:v>
                </c:pt>
                <c:pt idx="303">
                  <c:v>24.239999999999835</c:v>
                </c:pt>
                <c:pt idx="304">
                  <c:v>24.319999999999833</c:v>
                </c:pt>
                <c:pt idx="305">
                  <c:v>24.399999999999832</c:v>
                </c:pt>
                <c:pt idx="306">
                  <c:v>24.47999999999983</c:v>
                </c:pt>
                <c:pt idx="307">
                  <c:v>24.559999999999828</c:v>
                </c:pt>
                <c:pt idx="308">
                  <c:v>24.639999999999826</c:v>
                </c:pt>
                <c:pt idx="309">
                  <c:v>24.719999999999825</c:v>
                </c:pt>
                <c:pt idx="310">
                  <c:v>24.799999999999823</c:v>
                </c:pt>
                <c:pt idx="311">
                  <c:v>24.879999999999821</c:v>
                </c:pt>
                <c:pt idx="312">
                  <c:v>24.95999999999982</c:v>
                </c:pt>
                <c:pt idx="313">
                  <c:v>25.039999999999818</c:v>
                </c:pt>
                <c:pt idx="314">
                  <c:v>25.119999999999816</c:v>
                </c:pt>
                <c:pt idx="315">
                  <c:v>25.199999999999815</c:v>
                </c:pt>
                <c:pt idx="316">
                  <c:v>25.279999999999813</c:v>
                </c:pt>
                <c:pt idx="317">
                  <c:v>25.359999999999811</c:v>
                </c:pt>
                <c:pt idx="318">
                  <c:v>25.439999999999809</c:v>
                </c:pt>
                <c:pt idx="319">
                  <c:v>25.519999999999808</c:v>
                </c:pt>
                <c:pt idx="320">
                  <c:v>25.599999999999806</c:v>
                </c:pt>
                <c:pt idx="321">
                  <c:v>25.679999999999804</c:v>
                </c:pt>
                <c:pt idx="322">
                  <c:v>25.759999999999803</c:v>
                </c:pt>
                <c:pt idx="323">
                  <c:v>25.839999999999801</c:v>
                </c:pt>
                <c:pt idx="324">
                  <c:v>25.919999999999799</c:v>
                </c:pt>
                <c:pt idx="325">
                  <c:v>25.999999999999797</c:v>
                </c:pt>
                <c:pt idx="326">
                  <c:v>26.079999999999796</c:v>
                </c:pt>
                <c:pt idx="327">
                  <c:v>26.159999999999794</c:v>
                </c:pt>
                <c:pt idx="328">
                  <c:v>26.239999999999792</c:v>
                </c:pt>
                <c:pt idx="329">
                  <c:v>26.319999999999791</c:v>
                </c:pt>
                <c:pt idx="330">
                  <c:v>26.399999999999789</c:v>
                </c:pt>
                <c:pt idx="331">
                  <c:v>26.479999999999787</c:v>
                </c:pt>
                <c:pt idx="332">
                  <c:v>26.559999999999786</c:v>
                </c:pt>
                <c:pt idx="333">
                  <c:v>26.639999999999784</c:v>
                </c:pt>
                <c:pt idx="334">
                  <c:v>26.719999999999782</c:v>
                </c:pt>
                <c:pt idx="335">
                  <c:v>26.79999999999978</c:v>
                </c:pt>
                <c:pt idx="336">
                  <c:v>26.879999999999779</c:v>
                </c:pt>
                <c:pt idx="337">
                  <c:v>26.959999999999777</c:v>
                </c:pt>
                <c:pt idx="338">
                  <c:v>27.039999999999775</c:v>
                </c:pt>
                <c:pt idx="339">
                  <c:v>27.119999999999774</c:v>
                </c:pt>
                <c:pt idx="340">
                  <c:v>27.199999999999772</c:v>
                </c:pt>
                <c:pt idx="341">
                  <c:v>27.27999999999977</c:v>
                </c:pt>
                <c:pt idx="342">
                  <c:v>27.359999999999769</c:v>
                </c:pt>
                <c:pt idx="343">
                  <c:v>27.439999999999767</c:v>
                </c:pt>
                <c:pt idx="344">
                  <c:v>27.519999999999765</c:v>
                </c:pt>
                <c:pt idx="345">
                  <c:v>27.599999999999763</c:v>
                </c:pt>
                <c:pt idx="346">
                  <c:v>27.679999999999762</c:v>
                </c:pt>
                <c:pt idx="347">
                  <c:v>27.75999999999976</c:v>
                </c:pt>
                <c:pt idx="348">
                  <c:v>27.839999999999758</c:v>
                </c:pt>
                <c:pt idx="349">
                  <c:v>27.919999999999757</c:v>
                </c:pt>
                <c:pt idx="350">
                  <c:v>27.999999999999755</c:v>
                </c:pt>
                <c:pt idx="351">
                  <c:v>28.079999999999753</c:v>
                </c:pt>
                <c:pt idx="352">
                  <c:v>28.159999999999751</c:v>
                </c:pt>
                <c:pt idx="353">
                  <c:v>28.23999999999975</c:v>
                </c:pt>
                <c:pt idx="354">
                  <c:v>28.319999999999748</c:v>
                </c:pt>
                <c:pt idx="355">
                  <c:v>28.399999999999746</c:v>
                </c:pt>
                <c:pt idx="356">
                  <c:v>28.479999999999745</c:v>
                </c:pt>
                <c:pt idx="357">
                  <c:v>28.559999999999743</c:v>
                </c:pt>
                <c:pt idx="358">
                  <c:v>28.639999999999741</c:v>
                </c:pt>
                <c:pt idx="359">
                  <c:v>28.71999999999974</c:v>
                </c:pt>
                <c:pt idx="360">
                  <c:v>28.799999999999738</c:v>
                </c:pt>
                <c:pt idx="361">
                  <c:v>28.879999999999736</c:v>
                </c:pt>
                <c:pt idx="362">
                  <c:v>28.959999999999734</c:v>
                </c:pt>
                <c:pt idx="363">
                  <c:v>29.039999999999733</c:v>
                </c:pt>
                <c:pt idx="364">
                  <c:v>29.119999999999731</c:v>
                </c:pt>
                <c:pt idx="365">
                  <c:v>29.199999999999729</c:v>
                </c:pt>
                <c:pt idx="366">
                  <c:v>29.279999999999728</c:v>
                </c:pt>
                <c:pt idx="367">
                  <c:v>29.359999999999726</c:v>
                </c:pt>
                <c:pt idx="368">
                  <c:v>29.439999999999724</c:v>
                </c:pt>
                <c:pt idx="369">
                  <c:v>29.519999999999722</c:v>
                </c:pt>
                <c:pt idx="370">
                  <c:v>29.599999999999721</c:v>
                </c:pt>
                <c:pt idx="371">
                  <c:v>29.679999999999719</c:v>
                </c:pt>
                <c:pt idx="372">
                  <c:v>29.759999999999717</c:v>
                </c:pt>
                <c:pt idx="373">
                  <c:v>29.839999999999716</c:v>
                </c:pt>
                <c:pt idx="374">
                  <c:v>29.919999999999714</c:v>
                </c:pt>
                <c:pt idx="375">
                  <c:v>29.999999999999712</c:v>
                </c:pt>
                <c:pt idx="376">
                  <c:v>30.079999999999711</c:v>
                </c:pt>
                <c:pt idx="377">
                  <c:v>30.159999999999709</c:v>
                </c:pt>
                <c:pt idx="378">
                  <c:v>30.239999999999707</c:v>
                </c:pt>
                <c:pt idx="379">
                  <c:v>30.319999999999705</c:v>
                </c:pt>
                <c:pt idx="380">
                  <c:v>30.399999999999704</c:v>
                </c:pt>
                <c:pt idx="381">
                  <c:v>30.479999999999702</c:v>
                </c:pt>
                <c:pt idx="382">
                  <c:v>30.5599999999997</c:v>
                </c:pt>
                <c:pt idx="383">
                  <c:v>30.639999999999699</c:v>
                </c:pt>
                <c:pt idx="384">
                  <c:v>30.719999999999697</c:v>
                </c:pt>
                <c:pt idx="385">
                  <c:v>30.799999999999695</c:v>
                </c:pt>
                <c:pt idx="386">
                  <c:v>30.879999999999693</c:v>
                </c:pt>
                <c:pt idx="387">
                  <c:v>30.959999999999692</c:v>
                </c:pt>
                <c:pt idx="388">
                  <c:v>31.03999999999969</c:v>
                </c:pt>
                <c:pt idx="389">
                  <c:v>31.119999999999688</c:v>
                </c:pt>
                <c:pt idx="390">
                  <c:v>31.199999999999687</c:v>
                </c:pt>
                <c:pt idx="391">
                  <c:v>31.279999999999685</c:v>
                </c:pt>
                <c:pt idx="392">
                  <c:v>31.359999999999683</c:v>
                </c:pt>
                <c:pt idx="393">
                  <c:v>31.439999999999682</c:v>
                </c:pt>
                <c:pt idx="394">
                  <c:v>31.51999999999968</c:v>
                </c:pt>
                <c:pt idx="395">
                  <c:v>31.599999999999678</c:v>
                </c:pt>
                <c:pt idx="396">
                  <c:v>31.679999999999676</c:v>
                </c:pt>
                <c:pt idx="397">
                  <c:v>31.759999999999675</c:v>
                </c:pt>
                <c:pt idx="398">
                  <c:v>31.839999999999673</c:v>
                </c:pt>
                <c:pt idx="399">
                  <c:v>31.919999999999671</c:v>
                </c:pt>
                <c:pt idx="400">
                  <c:v>31.99999999999967</c:v>
                </c:pt>
                <c:pt idx="401">
                  <c:v>32.079999999999671</c:v>
                </c:pt>
                <c:pt idx="402">
                  <c:v>32.15999999999967</c:v>
                </c:pt>
                <c:pt idx="403">
                  <c:v>32.239999999999668</c:v>
                </c:pt>
                <c:pt idx="404">
                  <c:v>32.319999999999666</c:v>
                </c:pt>
                <c:pt idx="405">
                  <c:v>32.399999999999665</c:v>
                </c:pt>
                <c:pt idx="406">
                  <c:v>32.479999999999663</c:v>
                </c:pt>
                <c:pt idx="407">
                  <c:v>32.559999999999661</c:v>
                </c:pt>
                <c:pt idx="408">
                  <c:v>32.63999999999966</c:v>
                </c:pt>
                <c:pt idx="409">
                  <c:v>32.719999999999658</c:v>
                </c:pt>
                <c:pt idx="410">
                  <c:v>32.799999999999656</c:v>
                </c:pt>
                <c:pt idx="411">
                  <c:v>32.879999999999654</c:v>
                </c:pt>
                <c:pt idx="412">
                  <c:v>32.959999999999653</c:v>
                </c:pt>
                <c:pt idx="413">
                  <c:v>33.039999999999651</c:v>
                </c:pt>
                <c:pt idx="414">
                  <c:v>33.119999999999649</c:v>
                </c:pt>
                <c:pt idx="415">
                  <c:v>33.199999999999648</c:v>
                </c:pt>
                <c:pt idx="416">
                  <c:v>33.279999999999646</c:v>
                </c:pt>
                <c:pt idx="417">
                  <c:v>33.359999999999644</c:v>
                </c:pt>
                <c:pt idx="418">
                  <c:v>33.439999999999642</c:v>
                </c:pt>
                <c:pt idx="419">
                  <c:v>33.519999999999641</c:v>
                </c:pt>
                <c:pt idx="420">
                  <c:v>33.599999999999639</c:v>
                </c:pt>
                <c:pt idx="421">
                  <c:v>33.679999999999637</c:v>
                </c:pt>
                <c:pt idx="422">
                  <c:v>33.759999999999636</c:v>
                </c:pt>
                <c:pt idx="423">
                  <c:v>33.839999999999634</c:v>
                </c:pt>
                <c:pt idx="424">
                  <c:v>33.919999999999632</c:v>
                </c:pt>
                <c:pt idx="425">
                  <c:v>33.999999999999631</c:v>
                </c:pt>
                <c:pt idx="426">
                  <c:v>34.079999999999629</c:v>
                </c:pt>
                <c:pt idx="427">
                  <c:v>34.159999999999627</c:v>
                </c:pt>
                <c:pt idx="428">
                  <c:v>34.239999999999625</c:v>
                </c:pt>
                <c:pt idx="429">
                  <c:v>34.319999999999624</c:v>
                </c:pt>
                <c:pt idx="430">
                  <c:v>34.399999999999622</c:v>
                </c:pt>
                <c:pt idx="431">
                  <c:v>34.47999999999962</c:v>
                </c:pt>
                <c:pt idx="432">
                  <c:v>34.559999999999619</c:v>
                </c:pt>
                <c:pt idx="433">
                  <c:v>34.639999999999617</c:v>
                </c:pt>
                <c:pt idx="434">
                  <c:v>34.719999999999615</c:v>
                </c:pt>
                <c:pt idx="435">
                  <c:v>34.799999999999613</c:v>
                </c:pt>
                <c:pt idx="436">
                  <c:v>34.879999999999612</c:v>
                </c:pt>
                <c:pt idx="437">
                  <c:v>34.95999999999961</c:v>
                </c:pt>
                <c:pt idx="438">
                  <c:v>35.039999999999608</c:v>
                </c:pt>
                <c:pt idx="439">
                  <c:v>35.119999999999607</c:v>
                </c:pt>
                <c:pt idx="440">
                  <c:v>35.199999999999605</c:v>
                </c:pt>
                <c:pt idx="441">
                  <c:v>35.279999999999603</c:v>
                </c:pt>
                <c:pt idx="442">
                  <c:v>35.359999999999602</c:v>
                </c:pt>
                <c:pt idx="443">
                  <c:v>35.4399999999996</c:v>
                </c:pt>
                <c:pt idx="444">
                  <c:v>35.519999999999598</c:v>
                </c:pt>
                <c:pt idx="445">
                  <c:v>35.599999999999596</c:v>
                </c:pt>
                <c:pt idx="446">
                  <c:v>35.679999999999595</c:v>
                </c:pt>
                <c:pt idx="447">
                  <c:v>35.759999999999593</c:v>
                </c:pt>
                <c:pt idx="448">
                  <c:v>35.839999999999591</c:v>
                </c:pt>
                <c:pt idx="449">
                  <c:v>35.91999999999959</c:v>
                </c:pt>
                <c:pt idx="450">
                  <c:v>35.999999999999588</c:v>
                </c:pt>
                <c:pt idx="451">
                  <c:v>36.079999999999586</c:v>
                </c:pt>
                <c:pt idx="452">
                  <c:v>36.159999999999584</c:v>
                </c:pt>
                <c:pt idx="453">
                  <c:v>36.239999999999583</c:v>
                </c:pt>
                <c:pt idx="454">
                  <c:v>36.319999999999581</c:v>
                </c:pt>
                <c:pt idx="455">
                  <c:v>36.399999999999579</c:v>
                </c:pt>
                <c:pt idx="456">
                  <c:v>36.479999999999578</c:v>
                </c:pt>
                <c:pt idx="457">
                  <c:v>36.559999999999576</c:v>
                </c:pt>
                <c:pt idx="458">
                  <c:v>36.639999999999574</c:v>
                </c:pt>
                <c:pt idx="459">
                  <c:v>36.719999999999573</c:v>
                </c:pt>
                <c:pt idx="460">
                  <c:v>36.799999999999571</c:v>
                </c:pt>
                <c:pt idx="461">
                  <c:v>36.879999999999569</c:v>
                </c:pt>
                <c:pt idx="462">
                  <c:v>36.959999999999567</c:v>
                </c:pt>
                <c:pt idx="463">
                  <c:v>37.039999999999566</c:v>
                </c:pt>
                <c:pt idx="464">
                  <c:v>37.119999999999564</c:v>
                </c:pt>
                <c:pt idx="465">
                  <c:v>37.199999999999562</c:v>
                </c:pt>
                <c:pt idx="466">
                  <c:v>37.279999999999561</c:v>
                </c:pt>
                <c:pt idx="467">
                  <c:v>37.359999999999559</c:v>
                </c:pt>
                <c:pt idx="468">
                  <c:v>37.439999999999557</c:v>
                </c:pt>
                <c:pt idx="469">
                  <c:v>37.519999999999555</c:v>
                </c:pt>
                <c:pt idx="470">
                  <c:v>37.599999999999554</c:v>
                </c:pt>
                <c:pt idx="471">
                  <c:v>37.679999999999552</c:v>
                </c:pt>
                <c:pt idx="472">
                  <c:v>37.75999999999955</c:v>
                </c:pt>
                <c:pt idx="473">
                  <c:v>37.839999999999549</c:v>
                </c:pt>
                <c:pt idx="474">
                  <c:v>37.919999999999547</c:v>
                </c:pt>
                <c:pt idx="475">
                  <c:v>37.999999999999545</c:v>
                </c:pt>
                <c:pt idx="476">
                  <c:v>38.079999999999544</c:v>
                </c:pt>
                <c:pt idx="477">
                  <c:v>38.159999999999542</c:v>
                </c:pt>
                <c:pt idx="478">
                  <c:v>38.23999999999954</c:v>
                </c:pt>
                <c:pt idx="479">
                  <c:v>38.319999999999538</c:v>
                </c:pt>
                <c:pt idx="480">
                  <c:v>38.399999999999537</c:v>
                </c:pt>
                <c:pt idx="481">
                  <c:v>38.479999999999535</c:v>
                </c:pt>
                <c:pt idx="482">
                  <c:v>38.559999999999533</c:v>
                </c:pt>
                <c:pt idx="483">
                  <c:v>38.639999999999532</c:v>
                </c:pt>
                <c:pt idx="484">
                  <c:v>38.71999999999953</c:v>
                </c:pt>
                <c:pt idx="485">
                  <c:v>38.799999999999528</c:v>
                </c:pt>
                <c:pt idx="486">
                  <c:v>38.879999999999526</c:v>
                </c:pt>
                <c:pt idx="487">
                  <c:v>38.959999999999525</c:v>
                </c:pt>
                <c:pt idx="488">
                  <c:v>39.039999999999523</c:v>
                </c:pt>
                <c:pt idx="489">
                  <c:v>39.119999999999521</c:v>
                </c:pt>
                <c:pt idx="490">
                  <c:v>39.19999999999952</c:v>
                </c:pt>
                <c:pt idx="491">
                  <c:v>39.279999999999518</c:v>
                </c:pt>
                <c:pt idx="492">
                  <c:v>39.359999999999516</c:v>
                </c:pt>
                <c:pt idx="493">
                  <c:v>39.439999999999515</c:v>
                </c:pt>
                <c:pt idx="494">
                  <c:v>39.519999999999513</c:v>
                </c:pt>
                <c:pt idx="495">
                  <c:v>39.599999999999511</c:v>
                </c:pt>
                <c:pt idx="496">
                  <c:v>39.679999999999509</c:v>
                </c:pt>
                <c:pt idx="497">
                  <c:v>39.759999999999508</c:v>
                </c:pt>
                <c:pt idx="498">
                  <c:v>39.839999999999506</c:v>
                </c:pt>
                <c:pt idx="499">
                  <c:v>39.919999999999504</c:v>
                </c:pt>
                <c:pt idx="500">
                  <c:v>39.999999999999503</c:v>
                </c:pt>
                <c:pt idx="501">
                  <c:v>40.079999999999501</c:v>
                </c:pt>
                <c:pt idx="502">
                  <c:v>40.159999999999499</c:v>
                </c:pt>
                <c:pt idx="503">
                  <c:v>40.239999999999498</c:v>
                </c:pt>
                <c:pt idx="504">
                  <c:v>40.319999999999496</c:v>
                </c:pt>
                <c:pt idx="505">
                  <c:v>40.399999999999494</c:v>
                </c:pt>
                <c:pt idx="506">
                  <c:v>40.479999999999492</c:v>
                </c:pt>
                <c:pt idx="507">
                  <c:v>40.559999999999491</c:v>
                </c:pt>
                <c:pt idx="508">
                  <c:v>40.639999999999489</c:v>
                </c:pt>
                <c:pt idx="509">
                  <c:v>40.719999999999487</c:v>
                </c:pt>
                <c:pt idx="510">
                  <c:v>40.799999999999486</c:v>
                </c:pt>
                <c:pt idx="511">
                  <c:v>40.879999999999484</c:v>
                </c:pt>
                <c:pt idx="512">
                  <c:v>40.959999999999482</c:v>
                </c:pt>
                <c:pt idx="513">
                  <c:v>41.03999999999948</c:v>
                </c:pt>
                <c:pt idx="514">
                  <c:v>41.119999999999479</c:v>
                </c:pt>
                <c:pt idx="515">
                  <c:v>41.199999999999477</c:v>
                </c:pt>
                <c:pt idx="516">
                  <c:v>41.279999999999475</c:v>
                </c:pt>
                <c:pt idx="517">
                  <c:v>41.359999999999474</c:v>
                </c:pt>
                <c:pt idx="518">
                  <c:v>41.439999999999472</c:v>
                </c:pt>
                <c:pt idx="519">
                  <c:v>41.51999999999947</c:v>
                </c:pt>
                <c:pt idx="520">
                  <c:v>41.599999999999469</c:v>
                </c:pt>
                <c:pt idx="521">
                  <c:v>41.679999999999467</c:v>
                </c:pt>
                <c:pt idx="522">
                  <c:v>41.759999999999465</c:v>
                </c:pt>
                <c:pt idx="523">
                  <c:v>41.839999999999463</c:v>
                </c:pt>
                <c:pt idx="524">
                  <c:v>41.919999999999462</c:v>
                </c:pt>
                <c:pt idx="525">
                  <c:v>41.99999999999946</c:v>
                </c:pt>
                <c:pt idx="526">
                  <c:v>42.079999999999458</c:v>
                </c:pt>
                <c:pt idx="527">
                  <c:v>42.159999999999457</c:v>
                </c:pt>
                <c:pt idx="528">
                  <c:v>42.239999999999455</c:v>
                </c:pt>
                <c:pt idx="529">
                  <c:v>42.319999999999453</c:v>
                </c:pt>
                <c:pt idx="530">
                  <c:v>42.399999999999451</c:v>
                </c:pt>
                <c:pt idx="531">
                  <c:v>42.47999999999945</c:v>
                </c:pt>
                <c:pt idx="532">
                  <c:v>42.559999999999448</c:v>
                </c:pt>
                <c:pt idx="533">
                  <c:v>42.639999999999446</c:v>
                </c:pt>
                <c:pt idx="534">
                  <c:v>42.719999999999445</c:v>
                </c:pt>
                <c:pt idx="535">
                  <c:v>42.799999999999443</c:v>
                </c:pt>
                <c:pt idx="536">
                  <c:v>42.879999999999441</c:v>
                </c:pt>
                <c:pt idx="537">
                  <c:v>42.95999999999944</c:v>
                </c:pt>
                <c:pt idx="538">
                  <c:v>43.039999999999438</c:v>
                </c:pt>
                <c:pt idx="539">
                  <c:v>43.119999999999436</c:v>
                </c:pt>
                <c:pt idx="540">
                  <c:v>43.199999999999434</c:v>
                </c:pt>
                <c:pt idx="541">
                  <c:v>43.279999999999433</c:v>
                </c:pt>
                <c:pt idx="542">
                  <c:v>43.359999999999431</c:v>
                </c:pt>
                <c:pt idx="543">
                  <c:v>43.439999999999429</c:v>
                </c:pt>
                <c:pt idx="544">
                  <c:v>43.519999999999428</c:v>
                </c:pt>
                <c:pt idx="545">
                  <c:v>43.599999999999426</c:v>
                </c:pt>
                <c:pt idx="546">
                  <c:v>43.679999999999424</c:v>
                </c:pt>
                <c:pt idx="547">
                  <c:v>43.759999999999422</c:v>
                </c:pt>
                <c:pt idx="548">
                  <c:v>43.839999999999421</c:v>
                </c:pt>
                <c:pt idx="549">
                  <c:v>43.919999999999419</c:v>
                </c:pt>
                <c:pt idx="550">
                  <c:v>43.999999999999417</c:v>
                </c:pt>
                <c:pt idx="551">
                  <c:v>44.079999999999416</c:v>
                </c:pt>
                <c:pt idx="552">
                  <c:v>44.159999999999414</c:v>
                </c:pt>
                <c:pt idx="553">
                  <c:v>44.239999999999412</c:v>
                </c:pt>
                <c:pt idx="554">
                  <c:v>44.319999999999411</c:v>
                </c:pt>
                <c:pt idx="555">
                  <c:v>44.399999999999409</c:v>
                </c:pt>
                <c:pt idx="556">
                  <c:v>44.479999999999407</c:v>
                </c:pt>
                <c:pt idx="557">
                  <c:v>44.559999999999405</c:v>
                </c:pt>
                <c:pt idx="558">
                  <c:v>44.639999999999404</c:v>
                </c:pt>
                <c:pt idx="559">
                  <c:v>44.719999999999402</c:v>
                </c:pt>
                <c:pt idx="560">
                  <c:v>44.7999999999994</c:v>
                </c:pt>
                <c:pt idx="561">
                  <c:v>44.879999999999399</c:v>
                </c:pt>
                <c:pt idx="562">
                  <c:v>44.959999999999397</c:v>
                </c:pt>
                <c:pt idx="563">
                  <c:v>45.039999999999395</c:v>
                </c:pt>
                <c:pt idx="564">
                  <c:v>45.119999999999393</c:v>
                </c:pt>
                <c:pt idx="565">
                  <c:v>45.199999999999392</c:v>
                </c:pt>
                <c:pt idx="566">
                  <c:v>45.27999999999939</c:v>
                </c:pt>
                <c:pt idx="567">
                  <c:v>45.359999999999388</c:v>
                </c:pt>
                <c:pt idx="568">
                  <c:v>45.439999999999387</c:v>
                </c:pt>
                <c:pt idx="569">
                  <c:v>45.519999999999385</c:v>
                </c:pt>
                <c:pt idx="570">
                  <c:v>45.599999999999383</c:v>
                </c:pt>
                <c:pt idx="571">
                  <c:v>45.679999999999382</c:v>
                </c:pt>
                <c:pt idx="572">
                  <c:v>45.75999999999938</c:v>
                </c:pt>
                <c:pt idx="573">
                  <c:v>45.839999999999378</c:v>
                </c:pt>
                <c:pt idx="574">
                  <c:v>45.919999999999376</c:v>
                </c:pt>
                <c:pt idx="575">
                  <c:v>45.999999999999375</c:v>
                </c:pt>
                <c:pt idx="576">
                  <c:v>46.079999999999373</c:v>
                </c:pt>
                <c:pt idx="577">
                  <c:v>46.159999999999371</c:v>
                </c:pt>
                <c:pt idx="578">
                  <c:v>46.23999999999937</c:v>
                </c:pt>
                <c:pt idx="579">
                  <c:v>46.319999999999368</c:v>
                </c:pt>
                <c:pt idx="580">
                  <c:v>46.399999999999366</c:v>
                </c:pt>
                <c:pt idx="581">
                  <c:v>46.479999999999364</c:v>
                </c:pt>
                <c:pt idx="582">
                  <c:v>46.559999999999363</c:v>
                </c:pt>
                <c:pt idx="583">
                  <c:v>46.639999999999361</c:v>
                </c:pt>
                <c:pt idx="584">
                  <c:v>46.719999999999359</c:v>
                </c:pt>
                <c:pt idx="585">
                  <c:v>46.799999999999358</c:v>
                </c:pt>
                <c:pt idx="586">
                  <c:v>46.879999999999356</c:v>
                </c:pt>
                <c:pt idx="587">
                  <c:v>46.959999999999354</c:v>
                </c:pt>
                <c:pt idx="588">
                  <c:v>47.039999999999353</c:v>
                </c:pt>
                <c:pt idx="589">
                  <c:v>47.119999999999351</c:v>
                </c:pt>
                <c:pt idx="590">
                  <c:v>47.199999999999349</c:v>
                </c:pt>
                <c:pt idx="591">
                  <c:v>47.279999999999347</c:v>
                </c:pt>
                <c:pt idx="592">
                  <c:v>47.359999999999346</c:v>
                </c:pt>
                <c:pt idx="593">
                  <c:v>47.439999999999344</c:v>
                </c:pt>
                <c:pt idx="594">
                  <c:v>47.519999999999342</c:v>
                </c:pt>
                <c:pt idx="595">
                  <c:v>47.599999999999341</c:v>
                </c:pt>
                <c:pt idx="596">
                  <c:v>47.679999999999339</c:v>
                </c:pt>
                <c:pt idx="597">
                  <c:v>47.759999999999337</c:v>
                </c:pt>
                <c:pt idx="598">
                  <c:v>47.839999999999336</c:v>
                </c:pt>
                <c:pt idx="599">
                  <c:v>47.919999999999334</c:v>
                </c:pt>
                <c:pt idx="600">
                  <c:v>47.999999999999332</c:v>
                </c:pt>
                <c:pt idx="601">
                  <c:v>48.07999999999933</c:v>
                </c:pt>
                <c:pt idx="602">
                  <c:v>48.159999999999329</c:v>
                </c:pt>
                <c:pt idx="603">
                  <c:v>48.239999999999327</c:v>
                </c:pt>
                <c:pt idx="604">
                  <c:v>48.319999999999325</c:v>
                </c:pt>
                <c:pt idx="605">
                  <c:v>48.399999999999324</c:v>
                </c:pt>
                <c:pt idx="606">
                  <c:v>48.479999999999322</c:v>
                </c:pt>
                <c:pt idx="607">
                  <c:v>48.55999999999932</c:v>
                </c:pt>
                <c:pt idx="608">
                  <c:v>48.639999999999318</c:v>
                </c:pt>
                <c:pt idx="609">
                  <c:v>48.719999999999317</c:v>
                </c:pt>
                <c:pt idx="610">
                  <c:v>48.799999999999315</c:v>
                </c:pt>
                <c:pt idx="611">
                  <c:v>48.879999999999313</c:v>
                </c:pt>
                <c:pt idx="612">
                  <c:v>48.959999999999312</c:v>
                </c:pt>
                <c:pt idx="613">
                  <c:v>49.03999999999931</c:v>
                </c:pt>
                <c:pt idx="614">
                  <c:v>49.119999999999308</c:v>
                </c:pt>
                <c:pt idx="615">
                  <c:v>49.199999999999307</c:v>
                </c:pt>
                <c:pt idx="616">
                  <c:v>49.279999999999305</c:v>
                </c:pt>
                <c:pt idx="617">
                  <c:v>49.359999999999303</c:v>
                </c:pt>
                <c:pt idx="618">
                  <c:v>49.439999999999301</c:v>
                </c:pt>
                <c:pt idx="619">
                  <c:v>49.5199999999993</c:v>
                </c:pt>
                <c:pt idx="620">
                  <c:v>49.599999999999298</c:v>
                </c:pt>
                <c:pt idx="621">
                  <c:v>49.679999999999296</c:v>
                </c:pt>
                <c:pt idx="622">
                  <c:v>49.759999999999295</c:v>
                </c:pt>
                <c:pt idx="623">
                  <c:v>49.839999999999293</c:v>
                </c:pt>
                <c:pt idx="624">
                  <c:v>49.919999999999291</c:v>
                </c:pt>
                <c:pt idx="625">
                  <c:v>49.999999999999289</c:v>
                </c:pt>
                <c:pt idx="626">
                  <c:v>50.079999999999288</c:v>
                </c:pt>
                <c:pt idx="627">
                  <c:v>50.159999999999286</c:v>
                </c:pt>
                <c:pt idx="628">
                  <c:v>50.239999999999284</c:v>
                </c:pt>
                <c:pt idx="629">
                  <c:v>50.319999999999283</c:v>
                </c:pt>
                <c:pt idx="630">
                  <c:v>50.399999999999281</c:v>
                </c:pt>
                <c:pt idx="631">
                  <c:v>50.479999999999279</c:v>
                </c:pt>
                <c:pt idx="632">
                  <c:v>50.559999999999278</c:v>
                </c:pt>
                <c:pt idx="633">
                  <c:v>50.639999999999276</c:v>
                </c:pt>
                <c:pt idx="634">
                  <c:v>50.719999999999274</c:v>
                </c:pt>
                <c:pt idx="635">
                  <c:v>50.799999999999272</c:v>
                </c:pt>
                <c:pt idx="636">
                  <c:v>50.879999999999271</c:v>
                </c:pt>
                <c:pt idx="637">
                  <c:v>50.959999999999269</c:v>
                </c:pt>
                <c:pt idx="638">
                  <c:v>51.039999999999267</c:v>
                </c:pt>
                <c:pt idx="639">
                  <c:v>51.119999999999266</c:v>
                </c:pt>
                <c:pt idx="640">
                  <c:v>51.199999999999264</c:v>
                </c:pt>
                <c:pt idx="641">
                  <c:v>51.279999999999262</c:v>
                </c:pt>
                <c:pt idx="642">
                  <c:v>51.35999999999926</c:v>
                </c:pt>
                <c:pt idx="643">
                  <c:v>51.439999999999259</c:v>
                </c:pt>
                <c:pt idx="644">
                  <c:v>51.519999999999257</c:v>
                </c:pt>
                <c:pt idx="645">
                  <c:v>51.599999999999255</c:v>
                </c:pt>
                <c:pt idx="646">
                  <c:v>51.679999999999254</c:v>
                </c:pt>
                <c:pt idx="647">
                  <c:v>51.759999999999252</c:v>
                </c:pt>
                <c:pt idx="648">
                  <c:v>51.83999999999925</c:v>
                </c:pt>
                <c:pt idx="649">
                  <c:v>51.919999999999249</c:v>
                </c:pt>
                <c:pt idx="650">
                  <c:v>51.999999999999247</c:v>
                </c:pt>
                <c:pt idx="651">
                  <c:v>52.079999999999245</c:v>
                </c:pt>
                <c:pt idx="652">
                  <c:v>52.159999999999243</c:v>
                </c:pt>
                <c:pt idx="653">
                  <c:v>52.239999999999242</c:v>
                </c:pt>
                <c:pt idx="654">
                  <c:v>52.31999999999924</c:v>
                </c:pt>
                <c:pt idx="655">
                  <c:v>52.399999999999238</c:v>
                </c:pt>
                <c:pt idx="656">
                  <c:v>52.479999999999237</c:v>
                </c:pt>
                <c:pt idx="657">
                  <c:v>52.559999999999235</c:v>
                </c:pt>
                <c:pt idx="658">
                  <c:v>52.639999999999233</c:v>
                </c:pt>
                <c:pt idx="659">
                  <c:v>52.719999999999231</c:v>
                </c:pt>
                <c:pt idx="660">
                  <c:v>52.79999999999923</c:v>
                </c:pt>
                <c:pt idx="661">
                  <c:v>52.879999999999228</c:v>
                </c:pt>
                <c:pt idx="662">
                  <c:v>52.959999999999226</c:v>
                </c:pt>
                <c:pt idx="663">
                  <c:v>53.039999999999225</c:v>
                </c:pt>
                <c:pt idx="664">
                  <c:v>53.119999999999223</c:v>
                </c:pt>
                <c:pt idx="665">
                  <c:v>53.199999999999221</c:v>
                </c:pt>
                <c:pt idx="666">
                  <c:v>53.27999999999922</c:v>
                </c:pt>
                <c:pt idx="667">
                  <c:v>53.359999999999218</c:v>
                </c:pt>
                <c:pt idx="668">
                  <c:v>53.439999999999216</c:v>
                </c:pt>
                <c:pt idx="669">
                  <c:v>53.519999999999214</c:v>
                </c:pt>
                <c:pt idx="670">
                  <c:v>53.599999999999213</c:v>
                </c:pt>
                <c:pt idx="671">
                  <c:v>53.679999999999211</c:v>
                </c:pt>
                <c:pt idx="672">
                  <c:v>53.759999999999209</c:v>
                </c:pt>
                <c:pt idx="673">
                  <c:v>53.839999999999208</c:v>
                </c:pt>
                <c:pt idx="674">
                  <c:v>53.919999999999206</c:v>
                </c:pt>
                <c:pt idx="675">
                  <c:v>53.999999999999204</c:v>
                </c:pt>
                <c:pt idx="676">
                  <c:v>54.079999999999202</c:v>
                </c:pt>
                <c:pt idx="677">
                  <c:v>54.159999999999201</c:v>
                </c:pt>
                <c:pt idx="678">
                  <c:v>54.239999999999199</c:v>
                </c:pt>
                <c:pt idx="679">
                  <c:v>54.319999999999197</c:v>
                </c:pt>
                <c:pt idx="680">
                  <c:v>54.399999999999196</c:v>
                </c:pt>
                <c:pt idx="681">
                  <c:v>54.479999999999194</c:v>
                </c:pt>
                <c:pt idx="682">
                  <c:v>54.559999999999192</c:v>
                </c:pt>
                <c:pt idx="683">
                  <c:v>54.639999999999191</c:v>
                </c:pt>
                <c:pt idx="684">
                  <c:v>54.719999999999189</c:v>
                </c:pt>
                <c:pt idx="685">
                  <c:v>54.799999999999187</c:v>
                </c:pt>
                <c:pt idx="686">
                  <c:v>54.879999999999185</c:v>
                </c:pt>
                <c:pt idx="687">
                  <c:v>54.959999999999184</c:v>
                </c:pt>
                <c:pt idx="688">
                  <c:v>55.039999999999182</c:v>
                </c:pt>
                <c:pt idx="689">
                  <c:v>55.11999999999918</c:v>
                </c:pt>
                <c:pt idx="690">
                  <c:v>55.199999999999179</c:v>
                </c:pt>
                <c:pt idx="691">
                  <c:v>55.279999999999177</c:v>
                </c:pt>
                <c:pt idx="692">
                  <c:v>55.359999999999175</c:v>
                </c:pt>
                <c:pt idx="693">
                  <c:v>55.439999999999173</c:v>
                </c:pt>
                <c:pt idx="694">
                  <c:v>55.519999999999172</c:v>
                </c:pt>
                <c:pt idx="695">
                  <c:v>55.59999999999917</c:v>
                </c:pt>
                <c:pt idx="696">
                  <c:v>55.679999999999168</c:v>
                </c:pt>
                <c:pt idx="697">
                  <c:v>55.759999999999167</c:v>
                </c:pt>
                <c:pt idx="698">
                  <c:v>55.839999999999165</c:v>
                </c:pt>
                <c:pt idx="699">
                  <c:v>55.919999999999163</c:v>
                </c:pt>
                <c:pt idx="700">
                  <c:v>55.999999999999162</c:v>
                </c:pt>
                <c:pt idx="701">
                  <c:v>56.07999999999916</c:v>
                </c:pt>
                <c:pt idx="702">
                  <c:v>56.159999999999158</c:v>
                </c:pt>
                <c:pt idx="703">
                  <c:v>56.239999999999156</c:v>
                </c:pt>
                <c:pt idx="704">
                  <c:v>56.319999999999155</c:v>
                </c:pt>
                <c:pt idx="705">
                  <c:v>56.399999999999153</c:v>
                </c:pt>
                <c:pt idx="706">
                  <c:v>56.479999999999151</c:v>
                </c:pt>
                <c:pt idx="707">
                  <c:v>56.55999999999915</c:v>
                </c:pt>
                <c:pt idx="708">
                  <c:v>56.639999999999148</c:v>
                </c:pt>
                <c:pt idx="709">
                  <c:v>56.719999999999146</c:v>
                </c:pt>
                <c:pt idx="710">
                  <c:v>56.799999999999145</c:v>
                </c:pt>
                <c:pt idx="711">
                  <c:v>56.879999999999143</c:v>
                </c:pt>
                <c:pt idx="712">
                  <c:v>56.959999999999141</c:v>
                </c:pt>
                <c:pt idx="713">
                  <c:v>57.039999999999139</c:v>
                </c:pt>
                <c:pt idx="714">
                  <c:v>57.119999999999138</c:v>
                </c:pt>
                <c:pt idx="715">
                  <c:v>57.199999999999136</c:v>
                </c:pt>
                <c:pt idx="716">
                  <c:v>57.279999999999134</c:v>
                </c:pt>
                <c:pt idx="717">
                  <c:v>57.359999999999133</c:v>
                </c:pt>
                <c:pt idx="718">
                  <c:v>57.439999999999131</c:v>
                </c:pt>
                <c:pt idx="719">
                  <c:v>57.519999999999129</c:v>
                </c:pt>
                <c:pt idx="720">
                  <c:v>57.599999999999127</c:v>
                </c:pt>
                <c:pt idx="721">
                  <c:v>57.679999999999126</c:v>
                </c:pt>
                <c:pt idx="722">
                  <c:v>57.759999999999124</c:v>
                </c:pt>
                <c:pt idx="723">
                  <c:v>57.839999999999122</c:v>
                </c:pt>
                <c:pt idx="724">
                  <c:v>57.919999999999121</c:v>
                </c:pt>
                <c:pt idx="725">
                  <c:v>57.999999999999119</c:v>
                </c:pt>
                <c:pt idx="726">
                  <c:v>58.079999999999117</c:v>
                </c:pt>
                <c:pt idx="727">
                  <c:v>58.159999999999116</c:v>
                </c:pt>
                <c:pt idx="728">
                  <c:v>58.239999999999114</c:v>
                </c:pt>
                <c:pt idx="729">
                  <c:v>58.319999999999112</c:v>
                </c:pt>
                <c:pt idx="730">
                  <c:v>58.39999999999911</c:v>
                </c:pt>
                <c:pt idx="731">
                  <c:v>58.479999999999109</c:v>
                </c:pt>
                <c:pt idx="732">
                  <c:v>58.559999999999107</c:v>
                </c:pt>
                <c:pt idx="733">
                  <c:v>58.639999999999105</c:v>
                </c:pt>
                <c:pt idx="734">
                  <c:v>58.719999999999104</c:v>
                </c:pt>
                <c:pt idx="735">
                  <c:v>58.799999999999102</c:v>
                </c:pt>
                <c:pt idx="736">
                  <c:v>58.8799999999991</c:v>
                </c:pt>
                <c:pt idx="737">
                  <c:v>58.959999999999098</c:v>
                </c:pt>
                <c:pt idx="738">
                  <c:v>59.039999999999097</c:v>
                </c:pt>
                <c:pt idx="739">
                  <c:v>59.119999999999095</c:v>
                </c:pt>
                <c:pt idx="740">
                  <c:v>59.199999999999093</c:v>
                </c:pt>
                <c:pt idx="741">
                  <c:v>59.279999999999092</c:v>
                </c:pt>
                <c:pt idx="742">
                  <c:v>59.35999999999909</c:v>
                </c:pt>
                <c:pt idx="743">
                  <c:v>59.439999999999088</c:v>
                </c:pt>
                <c:pt idx="744">
                  <c:v>59.519999999999087</c:v>
                </c:pt>
                <c:pt idx="745">
                  <c:v>59.599999999999085</c:v>
                </c:pt>
                <c:pt idx="746">
                  <c:v>59.679999999999083</c:v>
                </c:pt>
                <c:pt idx="747">
                  <c:v>59.759999999999081</c:v>
                </c:pt>
                <c:pt idx="748">
                  <c:v>59.83999999999908</c:v>
                </c:pt>
                <c:pt idx="749">
                  <c:v>59.919999999999078</c:v>
                </c:pt>
                <c:pt idx="750">
                  <c:v>59.999999999999076</c:v>
                </c:pt>
                <c:pt idx="751">
                  <c:v>60.079999999999075</c:v>
                </c:pt>
                <c:pt idx="752">
                  <c:v>60.159999999999073</c:v>
                </c:pt>
                <c:pt idx="753">
                  <c:v>60.239999999999071</c:v>
                </c:pt>
                <c:pt idx="754">
                  <c:v>60.319999999999069</c:v>
                </c:pt>
                <c:pt idx="755">
                  <c:v>60.399999999999068</c:v>
                </c:pt>
                <c:pt idx="756">
                  <c:v>60.479999999999066</c:v>
                </c:pt>
                <c:pt idx="757">
                  <c:v>60.559999999999064</c:v>
                </c:pt>
                <c:pt idx="758">
                  <c:v>60.639999999999063</c:v>
                </c:pt>
                <c:pt idx="759">
                  <c:v>60.719999999999061</c:v>
                </c:pt>
                <c:pt idx="760">
                  <c:v>60.799999999999059</c:v>
                </c:pt>
                <c:pt idx="761">
                  <c:v>60.879999999999058</c:v>
                </c:pt>
                <c:pt idx="762">
                  <c:v>60.959999999999056</c:v>
                </c:pt>
                <c:pt idx="763">
                  <c:v>61.039999999999054</c:v>
                </c:pt>
                <c:pt idx="764">
                  <c:v>61.119999999999052</c:v>
                </c:pt>
                <c:pt idx="765">
                  <c:v>61.199999999999051</c:v>
                </c:pt>
                <c:pt idx="766">
                  <c:v>61.279999999999049</c:v>
                </c:pt>
                <c:pt idx="767">
                  <c:v>61.359999999999047</c:v>
                </c:pt>
                <c:pt idx="768">
                  <c:v>61.439999999999046</c:v>
                </c:pt>
                <c:pt idx="769">
                  <c:v>61.519999999999044</c:v>
                </c:pt>
                <c:pt idx="770">
                  <c:v>61.599999999999042</c:v>
                </c:pt>
                <c:pt idx="771">
                  <c:v>61.67999999999904</c:v>
                </c:pt>
                <c:pt idx="772">
                  <c:v>61.759999999999039</c:v>
                </c:pt>
                <c:pt idx="773">
                  <c:v>61.839999999999037</c:v>
                </c:pt>
                <c:pt idx="774">
                  <c:v>61.919999999999035</c:v>
                </c:pt>
                <c:pt idx="775">
                  <c:v>61.999999999999034</c:v>
                </c:pt>
                <c:pt idx="776">
                  <c:v>62.079999999999032</c:v>
                </c:pt>
                <c:pt idx="777">
                  <c:v>62.15999999999903</c:v>
                </c:pt>
                <c:pt idx="778">
                  <c:v>62.239999999999029</c:v>
                </c:pt>
                <c:pt idx="779">
                  <c:v>62.319999999999027</c:v>
                </c:pt>
                <c:pt idx="780">
                  <c:v>62.399999999999025</c:v>
                </c:pt>
                <c:pt idx="781">
                  <c:v>62.479999999999023</c:v>
                </c:pt>
                <c:pt idx="782">
                  <c:v>62.559999999999022</c:v>
                </c:pt>
                <c:pt idx="783">
                  <c:v>62.63999999999902</c:v>
                </c:pt>
                <c:pt idx="784">
                  <c:v>62.719999999999018</c:v>
                </c:pt>
                <c:pt idx="785">
                  <c:v>62.799999999999017</c:v>
                </c:pt>
                <c:pt idx="786">
                  <c:v>62.879999999999015</c:v>
                </c:pt>
                <c:pt idx="787">
                  <c:v>62.959999999999013</c:v>
                </c:pt>
                <c:pt idx="788">
                  <c:v>63.039999999999011</c:v>
                </c:pt>
                <c:pt idx="789">
                  <c:v>63.11999999999901</c:v>
                </c:pt>
                <c:pt idx="790">
                  <c:v>63.199999999999008</c:v>
                </c:pt>
                <c:pt idx="791">
                  <c:v>63.279999999999006</c:v>
                </c:pt>
                <c:pt idx="792">
                  <c:v>63.359999999999005</c:v>
                </c:pt>
                <c:pt idx="793">
                  <c:v>63.439999999999003</c:v>
                </c:pt>
                <c:pt idx="794">
                  <c:v>63.519999999999001</c:v>
                </c:pt>
                <c:pt idx="795">
                  <c:v>63.599999999999</c:v>
                </c:pt>
                <c:pt idx="796">
                  <c:v>63.679999999998998</c:v>
                </c:pt>
                <c:pt idx="797">
                  <c:v>63.759999999998996</c:v>
                </c:pt>
                <c:pt idx="798">
                  <c:v>63.839999999998994</c:v>
                </c:pt>
                <c:pt idx="799">
                  <c:v>63.919999999998993</c:v>
                </c:pt>
                <c:pt idx="800">
                  <c:v>63.999999999998991</c:v>
                </c:pt>
                <c:pt idx="801">
                  <c:v>64.079999999998989</c:v>
                </c:pt>
                <c:pt idx="802">
                  <c:v>64.159999999998988</c:v>
                </c:pt>
                <c:pt idx="803">
                  <c:v>64.239999999998986</c:v>
                </c:pt>
                <c:pt idx="804">
                  <c:v>64.319999999998984</c:v>
                </c:pt>
                <c:pt idx="805">
                  <c:v>64.399999999998983</c:v>
                </c:pt>
                <c:pt idx="806">
                  <c:v>64.479999999998981</c:v>
                </c:pt>
                <c:pt idx="807">
                  <c:v>64.559999999998979</c:v>
                </c:pt>
                <c:pt idx="808">
                  <c:v>64.639999999998977</c:v>
                </c:pt>
                <c:pt idx="809">
                  <c:v>64.719999999998976</c:v>
                </c:pt>
                <c:pt idx="810">
                  <c:v>64.799999999998974</c:v>
                </c:pt>
                <c:pt idx="811">
                  <c:v>64.879999999998972</c:v>
                </c:pt>
                <c:pt idx="812">
                  <c:v>64.959999999998971</c:v>
                </c:pt>
                <c:pt idx="813">
                  <c:v>65.039999999998969</c:v>
                </c:pt>
                <c:pt idx="814">
                  <c:v>65.119999999998967</c:v>
                </c:pt>
                <c:pt idx="815">
                  <c:v>65.199999999998965</c:v>
                </c:pt>
                <c:pt idx="816">
                  <c:v>65.279999999998964</c:v>
                </c:pt>
                <c:pt idx="817">
                  <c:v>65.359999999998962</c:v>
                </c:pt>
                <c:pt idx="818">
                  <c:v>65.43999999999896</c:v>
                </c:pt>
                <c:pt idx="819">
                  <c:v>65.519999999998959</c:v>
                </c:pt>
                <c:pt idx="820">
                  <c:v>65.599999999998957</c:v>
                </c:pt>
                <c:pt idx="821">
                  <c:v>65.679999999998955</c:v>
                </c:pt>
                <c:pt idx="822">
                  <c:v>65.759999999998954</c:v>
                </c:pt>
                <c:pt idx="823">
                  <c:v>65.839999999998952</c:v>
                </c:pt>
                <c:pt idx="824">
                  <c:v>65.91999999999895</c:v>
                </c:pt>
                <c:pt idx="825">
                  <c:v>65.999999999998948</c:v>
                </c:pt>
                <c:pt idx="826">
                  <c:v>66.079999999998947</c:v>
                </c:pt>
                <c:pt idx="827">
                  <c:v>66.159999999998945</c:v>
                </c:pt>
                <c:pt idx="828">
                  <c:v>66.239999999998943</c:v>
                </c:pt>
                <c:pt idx="829">
                  <c:v>66.319999999998942</c:v>
                </c:pt>
                <c:pt idx="830">
                  <c:v>66.39999999999894</c:v>
                </c:pt>
                <c:pt idx="831">
                  <c:v>66.479999999998938</c:v>
                </c:pt>
                <c:pt idx="832">
                  <c:v>66.559999999998936</c:v>
                </c:pt>
                <c:pt idx="833">
                  <c:v>66.639999999998935</c:v>
                </c:pt>
                <c:pt idx="834">
                  <c:v>66.719999999998933</c:v>
                </c:pt>
                <c:pt idx="835">
                  <c:v>66.799999999998931</c:v>
                </c:pt>
                <c:pt idx="836">
                  <c:v>66.87999999999893</c:v>
                </c:pt>
                <c:pt idx="837">
                  <c:v>66.959999999998928</c:v>
                </c:pt>
                <c:pt idx="838">
                  <c:v>67.039999999998926</c:v>
                </c:pt>
                <c:pt idx="839">
                  <c:v>67.119999999998925</c:v>
                </c:pt>
                <c:pt idx="840">
                  <c:v>67.199999999998923</c:v>
                </c:pt>
                <c:pt idx="841">
                  <c:v>67.279999999998921</c:v>
                </c:pt>
                <c:pt idx="842">
                  <c:v>67.359999999998919</c:v>
                </c:pt>
                <c:pt idx="843">
                  <c:v>67.439999999998918</c:v>
                </c:pt>
                <c:pt idx="844">
                  <c:v>67.519999999998916</c:v>
                </c:pt>
                <c:pt idx="845">
                  <c:v>67.599999999998914</c:v>
                </c:pt>
                <c:pt idx="846">
                  <c:v>67.679999999998913</c:v>
                </c:pt>
                <c:pt idx="847">
                  <c:v>67.759999999998911</c:v>
                </c:pt>
                <c:pt idx="848">
                  <c:v>67.839999999998909</c:v>
                </c:pt>
                <c:pt idx="849">
                  <c:v>67.919999999998907</c:v>
                </c:pt>
                <c:pt idx="850">
                  <c:v>67.999999999998906</c:v>
                </c:pt>
                <c:pt idx="851">
                  <c:v>68.079999999998904</c:v>
                </c:pt>
                <c:pt idx="852">
                  <c:v>68.159999999998902</c:v>
                </c:pt>
                <c:pt idx="853">
                  <c:v>68.239999999998901</c:v>
                </c:pt>
                <c:pt idx="854">
                  <c:v>68.319999999998899</c:v>
                </c:pt>
                <c:pt idx="855">
                  <c:v>68.399999999998897</c:v>
                </c:pt>
                <c:pt idx="856">
                  <c:v>68.479999999998896</c:v>
                </c:pt>
                <c:pt idx="857">
                  <c:v>68.559999999998894</c:v>
                </c:pt>
                <c:pt idx="858">
                  <c:v>68.639999999998892</c:v>
                </c:pt>
                <c:pt idx="859">
                  <c:v>68.71999999999889</c:v>
                </c:pt>
                <c:pt idx="860">
                  <c:v>68.799999999998889</c:v>
                </c:pt>
                <c:pt idx="861">
                  <c:v>68.879999999998887</c:v>
                </c:pt>
                <c:pt idx="862">
                  <c:v>68.959999999998885</c:v>
                </c:pt>
                <c:pt idx="863">
                  <c:v>69.039999999998884</c:v>
                </c:pt>
                <c:pt idx="864">
                  <c:v>69.119999999998882</c:v>
                </c:pt>
                <c:pt idx="865">
                  <c:v>69.19999999999888</c:v>
                </c:pt>
                <c:pt idx="866">
                  <c:v>69.279999999998878</c:v>
                </c:pt>
                <c:pt idx="867">
                  <c:v>69.359999999998877</c:v>
                </c:pt>
                <c:pt idx="868">
                  <c:v>69.439999999998875</c:v>
                </c:pt>
                <c:pt idx="869">
                  <c:v>69.519999999998873</c:v>
                </c:pt>
                <c:pt idx="870">
                  <c:v>69.599999999998872</c:v>
                </c:pt>
                <c:pt idx="871">
                  <c:v>69.67999999999887</c:v>
                </c:pt>
                <c:pt idx="872">
                  <c:v>69.759999999998868</c:v>
                </c:pt>
                <c:pt idx="873">
                  <c:v>69.839999999998867</c:v>
                </c:pt>
                <c:pt idx="874">
                  <c:v>69.919999999998865</c:v>
                </c:pt>
                <c:pt idx="875">
                  <c:v>69.999999999998863</c:v>
                </c:pt>
                <c:pt idx="876">
                  <c:v>70.079999999998861</c:v>
                </c:pt>
                <c:pt idx="877">
                  <c:v>70.15999999999886</c:v>
                </c:pt>
                <c:pt idx="878">
                  <c:v>70.239999999998858</c:v>
                </c:pt>
                <c:pt idx="879">
                  <c:v>70.319999999998856</c:v>
                </c:pt>
                <c:pt idx="880">
                  <c:v>70.399999999998855</c:v>
                </c:pt>
                <c:pt idx="881">
                  <c:v>70.479999999998853</c:v>
                </c:pt>
                <c:pt idx="882">
                  <c:v>70.559999999998851</c:v>
                </c:pt>
                <c:pt idx="883">
                  <c:v>70.639999999998849</c:v>
                </c:pt>
                <c:pt idx="884">
                  <c:v>70.719999999998848</c:v>
                </c:pt>
                <c:pt idx="885">
                  <c:v>70.799999999998846</c:v>
                </c:pt>
                <c:pt idx="886">
                  <c:v>70.879999999998844</c:v>
                </c:pt>
                <c:pt idx="887">
                  <c:v>70.959999999998843</c:v>
                </c:pt>
                <c:pt idx="888">
                  <c:v>71.039999999998841</c:v>
                </c:pt>
                <c:pt idx="889">
                  <c:v>71.119999999998839</c:v>
                </c:pt>
                <c:pt idx="890">
                  <c:v>71.199999999998838</c:v>
                </c:pt>
                <c:pt idx="891">
                  <c:v>71.279999999998836</c:v>
                </c:pt>
                <c:pt idx="892">
                  <c:v>71.359999999998834</c:v>
                </c:pt>
                <c:pt idx="893">
                  <c:v>71.439999999998832</c:v>
                </c:pt>
                <c:pt idx="894">
                  <c:v>71.519999999998831</c:v>
                </c:pt>
                <c:pt idx="895">
                  <c:v>71.599999999998829</c:v>
                </c:pt>
                <c:pt idx="896">
                  <c:v>71.679999999998827</c:v>
                </c:pt>
                <c:pt idx="897">
                  <c:v>71.759999999998826</c:v>
                </c:pt>
                <c:pt idx="898">
                  <c:v>71.839999999998824</c:v>
                </c:pt>
                <c:pt idx="899">
                  <c:v>71.919999999998822</c:v>
                </c:pt>
                <c:pt idx="900">
                  <c:v>71.99999999999882</c:v>
                </c:pt>
                <c:pt idx="901">
                  <c:v>72.079999999998819</c:v>
                </c:pt>
                <c:pt idx="902">
                  <c:v>72.159999999998817</c:v>
                </c:pt>
                <c:pt idx="903">
                  <c:v>72.239999999998815</c:v>
                </c:pt>
                <c:pt idx="904">
                  <c:v>72.319999999998814</c:v>
                </c:pt>
                <c:pt idx="905">
                  <c:v>72.399999999998812</c:v>
                </c:pt>
                <c:pt idx="906">
                  <c:v>72.47999999999881</c:v>
                </c:pt>
                <c:pt idx="907">
                  <c:v>72.559999999998809</c:v>
                </c:pt>
                <c:pt idx="908">
                  <c:v>72.639999999998807</c:v>
                </c:pt>
                <c:pt idx="909">
                  <c:v>72.719999999998805</c:v>
                </c:pt>
                <c:pt idx="910">
                  <c:v>72.799999999998803</c:v>
                </c:pt>
                <c:pt idx="911">
                  <c:v>72.879999999998802</c:v>
                </c:pt>
                <c:pt idx="912">
                  <c:v>72.9599999999988</c:v>
                </c:pt>
                <c:pt idx="913">
                  <c:v>73.039999999998798</c:v>
                </c:pt>
                <c:pt idx="914">
                  <c:v>73.119999999998797</c:v>
                </c:pt>
                <c:pt idx="915">
                  <c:v>73.199999999998795</c:v>
                </c:pt>
                <c:pt idx="916">
                  <c:v>73.279999999998793</c:v>
                </c:pt>
                <c:pt idx="917">
                  <c:v>73.359999999998792</c:v>
                </c:pt>
                <c:pt idx="918">
                  <c:v>73.43999999999879</c:v>
                </c:pt>
                <c:pt idx="919">
                  <c:v>73.519999999998788</c:v>
                </c:pt>
                <c:pt idx="920">
                  <c:v>73.599999999998786</c:v>
                </c:pt>
                <c:pt idx="921">
                  <c:v>73.679999999998785</c:v>
                </c:pt>
                <c:pt idx="922">
                  <c:v>73.759999999998783</c:v>
                </c:pt>
                <c:pt idx="923">
                  <c:v>73.839999999998781</c:v>
                </c:pt>
                <c:pt idx="924">
                  <c:v>73.91999999999878</c:v>
                </c:pt>
                <c:pt idx="925">
                  <c:v>73.999999999998778</c:v>
                </c:pt>
                <c:pt idx="926">
                  <c:v>74.079999999998776</c:v>
                </c:pt>
                <c:pt idx="927">
                  <c:v>74.159999999998774</c:v>
                </c:pt>
                <c:pt idx="928">
                  <c:v>74.239999999998773</c:v>
                </c:pt>
                <c:pt idx="929">
                  <c:v>74.319999999998771</c:v>
                </c:pt>
                <c:pt idx="930">
                  <c:v>74.399999999998769</c:v>
                </c:pt>
                <c:pt idx="931">
                  <c:v>74.479999999998768</c:v>
                </c:pt>
                <c:pt idx="932">
                  <c:v>74.559999999998766</c:v>
                </c:pt>
                <c:pt idx="933">
                  <c:v>74.639999999998764</c:v>
                </c:pt>
                <c:pt idx="934">
                  <c:v>74.719999999998763</c:v>
                </c:pt>
                <c:pt idx="935">
                  <c:v>74.799999999998761</c:v>
                </c:pt>
                <c:pt idx="936">
                  <c:v>74.879999999998759</c:v>
                </c:pt>
                <c:pt idx="937">
                  <c:v>74.959999999998757</c:v>
                </c:pt>
                <c:pt idx="938">
                  <c:v>75.039999999998756</c:v>
                </c:pt>
                <c:pt idx="939">
                  <c:v>75.119999999998754</c:v>
                </c:pt>
                <c:pt idx="940">
                  <c:v>75.199999999998752</c:v>
                </c:pt>
                <c:pt idx="941">
                  <c:v>75.279999999998751</c:v>
                </c:pt>
                <c:pt idx="942">
                  <c:v>75.359999999998749</c:v>
                </c:pt>
                <c:pt idx="943">
                  <c:v>75.439999999998747</c:v>
                </c:pt>
                <c:pt idx="944">
                  <c:v>75.519999999998745</c:v>
                </c:pt>
                <c:pt idx="945">
                  <c:v>75.599999999998744</c:v>
                </c:pt>
                <c:pt idx="946">
                  <c:v>75.679999999998742</c:v>
                </c:pt>
                <c:pt idx="947">
                  <c:v>75.75999999999874</c:v>
                </c:pt>
                <c:pt idx="948">
                  <c:v>75.839999999998739</c:v>
                </c:pt>
                <c:pt idx="949">
                  <c:v>75.919999999998737</c:v>
                </c:pt>
                <c:pt idx="950">
                  <c:v>75.999999999998735</c:v>
                </c:pt>
                <c:pt idx="951">
                  <c:v>76.079999999998734</c:v>
                </c:pt>
                <c:pt idx="952">
                  <c:v>76.159999999998732</c:v>
                </c:pt>
                <c:pt idx="953">
                  <c:v>76.23999999999873</c:v>
                </c:pt>
                <c:pt idx="954">
                  <c:v>76.319999999998728</c:v>
                </c:pt>
                <c:pt idx="955">
                  <c:v>76.399999999998727</c:v>
                </c:pt>
                <c:pt idx="956">
                  <c:v>76.479999999998725</c:v>
                </c:pt>
                <c:pt idx="957">
                  <c:v>76.559999999998723</c:v>
                </c:pt>
                <c:pt idx="958">
                  <c:v>76.639999999998722</c:v>
                </c:pt>
                <c:pt idx="959">
                  <c:v>76.71999999999872</c:v>
                </c:pt>
                <c:pt idx="960">
                  <c:v>76.799999999998718</c:v>
                </c:pt>
                <c:pt idx="961">
                  <c:v>76.879999999998716</c:v>
                </c:pt>
                <c:pt idx="962">
                  <c:v>76.959999999998715</c:v>
                </c:pt>
                <c:pt idx="963">
                  <c:v>77.039999999998713</c:v>
                </c:pt>
                <c:pt idx="964">
                  <c:v>77.119999999998711</c:v>
                </c:pt>
                <c:pt idx="965">
                  <c:v>77.19999999999871</c:v>
                </c:pt>
                <c:pt idx="966">
                  <c:v>77.279999999998708</c:v>
                </c:pt>
                <c:pt idx="967">
                  <c:v>77.359999999998706</c:v>
                </c:pt>
                <c:pt idx="968">
                  <c:v>77.439999999998705</c:v>
                </c:pt>
                <c:pt idx="969">
                  <c:v>77.519999999998703</c:v>
                </c:pt>
                <c:pt idx="970">
                  <c:v>77.599999999998701</c:v>
                </c:pt>
                <c:pt idx="971">
                  <c:v>77.679999999998699</c:v>
                </c:pt>
                <c:pt idx="972">
                  <c:v>77.759999999998698</c:v>
                </c:pt>
                <c:pt idx="973">
                  <c:v>77.839999999998696</c:v>
                </c:pt>
                <c:pt idx="974">
                  <c:v>77.919999999998694</c:v>
                </c:pt>
                <c:pt idx="975">
                  <c:v>77.999999999998693</c:v>
                </c:pt>
                <c:pt idx="976">
                  <c:v>78.079999999998691</c:v>
                </c:pt>
                <c:pt idx="977">
                  <c:v>78.159999999998689</c:v>
                </c:pt>
                <c:pt idx="978">
                  <c:v>78.239999999998687</c:v>
                </c:pt>
                <c:pt idx="979">
                  <c:v>78.319999999998686</c:v>
                </c:pt>
                <c:pt idx="980">
                  <c:v>78.399999999998684</c:v>
                </c:pt>
                <c:pt idx="981">
                  <c:v>78.479999999998682</c:v>
                </c:pt>
                <c:pt idx="982">
                  <c:v>78.559999999998681</c:v>
                </c:pt>
                <c:pt idx="983">
                  <c:v>78.639999999998679</c:v>
                </c:pt>
                <c:pt idx="984">
                  <c:v>78.719999999998677</c:v>
                </c:pt>
                <c:pt idx="985">
                  <c:v>78.799999999998676</c:v>
                </c:pt>
                <c:pt idx="986">
                  <c:v>78.879999999998674</c:v>
                </c:pt>
                <c:pt idx="987">
                  <c:v>78.959999999998672</c:v>
                </c:pt>
                <c:pt idx="988">
                  <c:v>79.03999999999867</c:v>
                </c:pt>
                <c:pt idx="989">
                  <c:v>79.119999999998669</c:v>
                </c:pt>
                <c:pt idx="990">
                  <c:v>79.199999999998667</c:v>
                </c:pt>
                <c:pt idx="991">
                  <c:v>79.279999999998665</c:v>
                </c:pt>
                <c:pt idx="992">
                  <c:v>79.359999999998664</c:v>
                </c:pt>
                <c:pt idx="993">
                  <c:v>79.439999999998662</c:v>
                </c:pt>
                <c:pt idx="994">
                  <c:v>79.51999999999866</c:v>
                </c:pt>
                <c:pt idx="995">
                  <c:v>79.599999999998658</c:v>
                </c:pt>
                <c:pt idx="996">
                  <c:v>79.679999999998657</c:v>
                </c:pt>
                <c:pt idx="997">
                  <c:v>79.759999999998655</c:v>
                </c:pt>
                <c:pt idx="998">
                  <c:v>79.839999999998653</c:v>
                </c:pt>
                <c:pt idx="999">
                  <c:v>79.919999999998652</c:v>
                </c:pt>
                <c:pt idx="1000">
                  <c:v>79.99999999999865</c:v>
                </c:pt>
              </c:numCache>
            </c:numRef>
          </c:xVal>
          <c:yVal>
            <c:numRef>
              <c:f>Model!$U$25:$U$1025</c:f>
              <c:numCache>
                <c:formatCode>0.00E+00</c:formatCode>
                <c:ptCount val="1001"/>
                <c:pt idx="0">
                  <c:v>0</c:v>
                </c:pt>
                <c:pt idx="1">
                  <c:v>1.4497939317830828E-3</c:v>
                </c:pt>
                <c:pt idx="2">
                  <c:v>2.8925411215984806E-3</c:v>
                </c:pt>
                <c:pt idx="3">
                  <c:v>4.3280835603985808E-3</c:v>
                </c:pt>
                <c:pt idx="4">
                  <c:v>5.7562801185284309E-3</c:v>
                </c:pt>
                <c:pt idx="5">
                  <c:v>7.177005212775733E-3</c:v>
                </c:pt>
                <c:pt idx="6">
                  <c:v>8.5901475764109548E-3</c:v>
                </c:pt>
                <c:pt idx="7">
                  <c:v>9.9956091242748846E-3</c:v>
                </c:pt>
                <c:pt idx="8">
                  <c:v>1.13933039055834E-2</c:v>
                </c:pt>
                <c:pt idx="9">
                  <c:v>1.2783157137684442E-2</c:v>
                </c:pt>
                <c:pt idx="10">
                  <c:v>1.4165104314523825E-2</c:v>
                </c:pt>
                <c:pt idx="11">
                  <c:v>1.5539090384057947E-2</c:v>
                </c:pt>
                <c:pt idx="12">
                  <c:v>1.6905068989295721E-2</c:v>
                </c:pt>
                <c:pt idx="13">
                  <c:v>1.8263001768062132E-2</c:v>
                </c:pt>
                <c:pt idx="14">
                  <c:v>1.9612857706954232E-2</c:v>
                </c:pt>
                <c:pt idx="15">
                  <c:v>2.0954612545309576E-2</c:v>
                </c:pt>
                <c:pt idx="16">
                  <c:v>2.2288248225329529E-2</c:v>
                </c:pt>
                <c:pt idx="17">
                  <c:v>2.361375238479721E-2</c:v>
                </c:pt>
                <c:pt idx="18">
                  <c:v>2.4931117889104432E-2</c:v>
                </c:pt>
                <c:pt idx="19">
                  <c:v>2.6240342399555357E-2</c:v>
                </c:pt>
                <c:pt idx="20">
                  <c:v>2.7541427975148358E-2</c:v>
                </c:pt>
                <c:pt idx="21">
                  <c:v>2.8834380705253432E-2</c:v>
                </c:pt>
                <c:pt idx="22">
                  <c:v>3.0119210370801605E-2</c:v>
                </c:pt>
                <c:pt idx="23">
                  <c:v>3.1395930131786598E-2</c:v>
                </c:pt>
                <c:pt idx="24">
                  <c:v>3.2664556239048639E-2</c:v>
                </c:pt>
                <c:pt idx="25">
                  <c:v>3.3925107768466863E-2</c:v>
                </c:pt>
                <c:pt idx="26">
                  <c:v>3.5177606375831179E-2</c:v>
                </c:pt>
                <c:pt idx="27">
                  <c:v>3.6422076070797837E-2</c:v>
                </c:pt>
                <c:pt idx="28">
                  <c:v>3.7658543008456065E-2</c:v>
                </c:pt>
                <c:pt idx="29">
                  <c:v>3.8887035297146474E-2</c:v>
                </c:pt>
                <c:pt idx="30">
                  <c:v>4.0107582821277077E-2</c:v>
                </c:pt>
                <c:pt idx="31">
                  <c:v>4.1320217077979164E-2</c:v>
                </c:pt>
                <c:pt idx="32">
                  <c:v>4.2524971026534769E-2</c:v>
                </c:pt>
                <c:pt idx="33">
                  <c:v>4.3721878949589746E-2</c:v>
                </c:pt>
                <c:pt idx="34">
                  <c:v>4.491097632524254E-2</c:v>
                </c:pt>
                <c:pt idx="35">
                  <c:v>4.6092299709168859E-2</c:v>
                </c:pt>
                <c:pt idx="36">
                  <c:v>4.7265886626007322E-2</c:v>
                </c:pt>
                <c:pt idx="37">
                  <c:v>4.8431775469290755E-2</c:v>
                </c:pt>
                <c:pt idx="38">
                  <c:v>4.9590005409263171E-2</c:v>
                </c:pt>
                <c:pt idx="39">
                  <c:v>5.0740616307973149E-2</c:v>
                </c:pt>
                <c:pt idx="40">
                  <c:v>5.1883648641081533E-2</c:v>
                </c:pt>
                <c:pt idx="41">
                  <c:v>5.301914342586448E-2</c:v>
                </c:pt>
                <c:pt idx="42">
                  <c:v>5.4147142154933207E-2</c:v>
                </c:pt>
                <c:pt idx="43">
                  <c:v>5.5267686735228375E-2</c:v>
                </c:pt>
                <c:pt idx="44">
                  <c:v>5.6380819431881404E-2</c:v>
                </c:pt>
                <c:pt idx="45">
                  <c:v>5.748658281656633E-2</c:v>
                </c:pt>
                <c:pt idx="46">
                  <c:v>5.8585019719994851E-2</c:v>
                </c:pt>
                <c:pt idx="47">
                  <c:v>5.9676173188234025E-2</c:v>
                </c:pt>
                <c:pt idx="48">
                  <c:v>6.0760086442550834E-2</c:v>
                </c:pt>
                <c:pt idx="49">
                  <c:v>6.1836802842510558E-2</c:v>
                </c:pt>
                <c:pt idx="50">
                  <c:v>6.2906365852077054E-2</c:v>
                </c:pt>
                <c:pt idx="51">
                  <c:v>6.3968819008482378E-2</c:v>
                </c:pt>
                <c:pt idx="52">
                  <c:v>6.502420589365128E-2</c:v>
                </c:pt>
                <c:pt idx="53">
                  <c:v>6.6072570107982356E-2</c:v>
                </c:pt>
                <c:pt idx="54">
                  <c:v>6.71139552463033E-2</c:v>
                </c:pt>
                <c:pt idx="55">
                  <c:v>6.8148404875831584E-2</c:v>
                </c:pt>
                <c:pt idx="56">
                  <c:v>6.9175962515984707E-2</c:v>
                </c:pt>
                <c:pt idx="57">
                  <c:v>7.0196671619896747E-2</c:v>
                </c:pt>
                <c:pt idx="58">
                  <c:v>7.121057555750826E-2</c:v>
                </c:pt>
                <c:pt idx="59">
                  <c:v>7.2217717600107562E-2</c:v>
                </c:pt>
                <c:pt idx="60">
                  <c:v>7.3218140906210316E-2</c:v>
                </c:pt>
                <c:pt idx="61">
                  <c:v>7.4211888508673232E-2</c:v>
                </c:pt>
                <c:pt idx="62">
                  <c:v>7.5199003302945863E-2</c:v>
                </c:pt>
                <c:pt idx="63">
                  <c:v>7.6179528036371694E-2</c:v>
                </c:pt>
                <c:pt idx="64">
                  <c:v>7.7153505298456701E-2</c:v>
                </c:pt>
                <c:pt idx="65">
                  <c:v>7.8120977512029746E-2</c:v>
                </c:pt>
                <c:pt idx="66">
                  <c:v>7.9081986925225278E-2</c:v>
                </c:pt>
                <c:pt idx="67">
                  <c:v>8.0036575604223739E-2</c:v>
                </c:pt>
                <c:pt idx="68">
                  <c:v>8.0984785426690575E-2</c:v>
                </c:pt>
                <c:pt idx="69">
                  <c:v>8.1926658075858833E-2</c:v>
                </c:pt>
                <c:pt idx="70">
                  <c:v>8.2862235035204984E-2</c:v>
                </c:pt>
                <c:pt idx="71">
                  <c:v>8.3791557583671183E-2</c:v>
                </c:pt>
                <c:pt idx="72">
                  <c:v>8.4714666791390988E-2</c:v>
                </c:pt>
                <c:pt idx="73">
                  <c:v>8.5631603515878812E-2</c:v>
                </c:pt>
                <c:pt idx="74">
                  <c:v>8.6542408398646395E-2</c:v>
                </c:pt>
                <c:pt idx="75">
                  <c:v>8.7447121862212596E-2</c:v>
                </c:pt>
                <c:pt idx="76">
                  <c:v>8.8345784107475164E-2</c:v>
                </c:pt>
                <c:pt idx="77">
                  <c:v>8.9238435111415798E-2</c:v>
                </c:pt>
                <c:pt idx="78">
                  <c:v>9.012511462511183E-2</c:v>
                </c:pt>
                <c:pt idx="79">
                  <c:v>9.1005862172030133E-2</c:v>
                </c:pt>
                <c:pt idx="80">
                  <c:v>9.1880717046580546E-2</c:v>
                </c:pt>
                <c:pt idx="81">
                  <c:v>9.2749718312907958E-2</c:v>
                </c:pt>
                <c:pt idx="82">
                  <c:v>9.3612904803903829E-2</c:v>
                </c:pt>
                <c:pt idx="83">
                  <c:v>9.4470315120419382E-2</c:v>
                </c:pt>
                <c:pt idx="84">
                  <c:v>9.5321987630664073E-2</c:v>
                </c:pt>
                <c:pt idx="85">
                  <c:v>9.6167960469774175E-2</c:v>
                </c:pt>
                <c:pt idx="86">
                  <c:v>9.7008271539537574E-2</c:v>
                </c:pt>
                <c:pt idx="87">
                  <c:v>9.7842958508261982E-2</c:v>
                </c:pt>
                <c:pt idx="88">
                  <c:v>9.8672058810774468E-2</c:v>
                </c:pt>
                <c:pt idx="89">
                  <c:v>9.9495609648541677E-2</c:v>
                </c:pt>
                <c:pt idx="90">
                  <c:v>0.10031364798990036</c:v>
                </c:pt>
                <c:pt idx="91">
                  <c:v>0.10112621057038902</c:v>
                </c:pt>
                <c:pt idx="92">
                  <c:v>0.10193333389317218</c:v>
                </c:pt>
                <c:pt idx="93">
                  <c:v>0.10273505422954905</c:v>
                </c:pt>
                <c:pt idx="94">
                  <c:v>0.10353140761953974</c:v>
                </c:pt>
                <c:pt idx="95">
                  <c:v>0.10432242987254174</c:v>
                </c:pt>
                <c:pt idx="96">
                  <c:v>0.10510815656805092</c:v>
                </c:pt>
                <c:pt idx="97">
                  <c:v>0.10588862305644113</c:v>
                </c:pt>
                <c:pt idx="98">
                  <c:v>0.10666386445979704</c:v>
                </c:pt>
                <c:pt idx="99">
                  <c:v>0.10743391567279545</c:v>
                </c:pt>
                <c:pt idx="100">
                  <c:v>0.10819881136363062</c:v>
                </c:pt>
                <c:pt idx="101">
                  <c:v>0.10895858597497937</c:v>
                </c:pt>
                <c:pt idx="102">
                  <c:v>0.10971327372500221</c:v>
                </c:pt>
                <c:pt idx="103">
                  <c:v>0.11046290860837697</c:v>
                </c:pt>
                <c:pt idx="104">
                  <c:v>0.11120752439736169</c:v>
                </c:pt>
                <c:pt idx="105">
                  <c:v>0.11194715464288373</c:v>
                </c:pt>
                <c:pt idx="106">
                  <c:v>0.11268183267565246</c:v>
                </c:pt>
                <c:pt idx="107">
                  <c:v>0.11341159160729296</c:v>
                </c:pt>
                <c:pt idx="108">
                  <c:v>0.11413646433149828</c:v>
                </c:pt>
                <c:pt idx="109">
                  <c:v>0.11485648352519831</c:v>
                </c:pt>
                <c:pt idx="110">
                  <c:v>0.11557168164974313</c:v>
                </c:pt>
                <c:pt idx="111">
                  <c:v>0.11628209095209904</c:v>
                </c:pt>
                <c:pt idx="112">
                  <c:v>0.11698774346605571</c:v>
                </c:pt>
                <c:pt idx="113">
                  <c:v>0.11768867101344277</c:v>
                </c:pt>
                <c:pt idx="114">
                  <c:v>0.11838490520535444</c:v>
                </c:pt>
                <c:pt idx="115">
                  <c:v>0.11907647744338104</c:v>
                </c:pt>
                <c:pt idx="116">
                  <c:v>0.11976341892084594</c:v>
                </c:pt>
                <c:pt idx="117">
                  <c:v>0.12044576062404709</c:v>
                </c:pt>
                <c:pt idx="118">
                  <c:v>0.12112353333350195</c:v>
                </c:pt>
                <c:pt idx="119">
                  <c:v>0.12179676762519498</c:v>
                </c:pt>
                <c:pt idx="120">
                  <c:v>0.12246549387182672</c:v>
                </c:pt>
                <c:pt idx="121">
                  <c:v>0.12312974224406392</c:v>
                </c:pt>
                <c:pt idx="122">
                  <c:v>0.12378954271178969</c:v>
                </c:pt>
                <c:pt idx="123">
                  <c:v>0.12444492504535316</c:v>
                </c:pt>
                <c:pt idx="124">
                  <c:v>0.12509591881681828</c:v>
                </c:pt>
                <c:pt idx="125">
                  <c:v>0.12574255340121057</c:v>
                </c:pt>
                <c:pt idx="126">
                  <c:v>0.12638485797776217</c:v>
                </c:pt>
                <c:pt idx="127">
                  <c:v>0.12702286153115389</c:v>
                </c:pt>
                <c:pt idx="128">
                  <c:v>0.12765659285275446</c:v>
                </c:pt>
                <c:pt idx="129">
                  <c:v>0.12828608054185628</c:v>
                </c:pt>
                <c:pt idx="130">
                  <c:v>0.12891135300690743</c:v>
                </c:pt>
                <c:pt idx="131">
                  <c:v>0.12953243846673942</c:v>
                </c:pt>
                <c:pt idx="132">
                  <c:v>0.13014936495179083</c:v>
                </c:pt>
                <c:pt idx="133">
                  <c:v>0.13076216030532611</c:v>
                </c:pt>
                <c:pt idx="134">
                  <c:v>0.13137085218464947</c:v>
                </c:pt>
                <c:pt idx="135">
                  <c:v>0.13197546806231372</c:v>
                </c:pt>
                <c:pt idx="136">
                  <c:v>0.13257603522732381</c:v>
                </c:pt>
                <c:pt idx="137">
                  <c:v>0.13317258078633484</c:v>
                </c:pt>
                <c:pt idx="138">
                  <c:v>0.13376513166484441</c:v>
                </c:pt>
                <c:pt idx="139">
                  <c:v>0.13435371460837925</c:v>
                </c:pt>
                <c:pt idx="140">
                  <c:v>0.13493835618367583</c:v>
                </c:pt>
                <c:pt idx="141">
                  <c:v>0.13551908277985497</c:v>
                </c:pt>
                <c:pt idx="142">
                  <c:v>0.13609592060959028</c:v>
                </c:pt>
                <c:pt idx="143">
                  <c:v>0.13666889571027044</c:v>
                </c:pt>
                <c:pt idx="144">
                  <c:v>0.13723803394515513</c:v>
                </c:pt>
                <c:pt idx="145">
                  <c:v>0.13780336100452448</c:v>
                </c:pt>
                <c:pt idx="146">
                  <c:v>0.13836490240682223</c:v>
                </c:pt>
                <c:pt idx="147">
                  <c:v>0.1389226834997922</c:v>
                </c:pt>
                <c:pt idx="148">
                  <c:v>0.1394767294616085</c:v>
                </c:pt>
                <c:pt idx="149">
                  <c:v>0.14002706530199885</c:v>
                </c:pt>
                <c:pt idx="150">
                  <c:v>0.14057371586336145</c:v>
                </c:pt>
                <c:pt idx="151">
                  <c:v>0.14111670582187519</c:v>
                </c:pt>
                <c:pt idx="152">
                  <c:v>0.14165605968860315</c:v>
                </c:pt>
                <c:pt idx="153">
                  <c:v>0.1421918018105896</c:v>
                </c:pt>
                <c:pt idx="154">
                  <c:v>0.14272395637194998</c:v>
                </c:pt>
                <c:pt idx="155">
                  <c:v>0.14325254739495458</c:v>
                </c:pt>
                <c:pt idx="156">
                  <c:v>0.14377759874110518</c:v>
                </c:pt>
                <c:pt idx="157">
                  <c:v>0.14429913411220527</c:v>
                </c:pt>
                <c:pt idx="158">
                  <c:v>0.14481717705142341</c:v>
                </c:pt>
                <c:pt idx="159">
                  <c:v>0.14533175094435005</c:v>
                </c:pt>
                <c:pt idx="160">
                  <c:v>0.14584287902004756</c:v>
                </c:pt>
                <c:pt idx="161">
                  <c:v>0.14635058435209355</c:v>
                </c:pt>
                <c:pt idx="162">
                  <c:v>0.14685488985961792</c:v>
                </c:pt>
                <c:pt idx="163">
                  <c:v>0.14735581830833275</c:v>
                </c:pt>
                <c:pt idx="164">
                  <c:v>0.14785339231155606</c:v>
                </c:pt>
                <c:pt idx="165">
                  <c:v>0.14834763433122869</c:v>
                </c:pt>
                <c:pt idx="166">
                  <c:v>0.14883856667892481</c:v>
                </c:pt>
                <c:pt idx="167">
                  <c:v>0.14932621151685582</c:v>
                </c:pt>
                <c:pt idx="168">
                  <c:v>0.14981059085886766</c:v>
                </c:pt>
                <c:pt idx="169">
                  <c:v>0.15029172657143186</c:v>
                </c:pt>
                <c:pt idx="170">
                  <c:v>0.15076964037462989</c:v>
                </c:pt>
                <c:pt idx="171">
                  <c:v>0.15124435384313129</c:v>
                </c:pt>
                <c:pt idx="172">
                  <c:v>0.15171588840716529</c:v>
                </c:pt>
                <c:pt idx="173">
                  <c:v>0.1521842653534862</c:v>
                </c:pt>
                <c:pt idx="174">
                  <c:v>0.15264950582633224</c:v>
                </c:pt>
                <c:pt idx="175">
                  <c:v>0.15311163082837831</c:v>
                </c:pt>
                <c:pt idx="176">
                  <c:v>0.15357066122168236</c:v>
                </c:pt>
                <c:pt idx="177">
                  <c:v>0.15402661772862566</c:v>
                </c:pt>
                <c:pt idx="178">
                  <c:v>0.15447952093284667</c:v>
                </c:pt>
                <c:pt idx="179">
                  <c:v>0.15492939128016894</c:v>
                </c:pt>
                <c:pt idx="180">
                  <c:v>0.15537624907952277</c:v>
                </c:pt>
                <c:pt idx="181">
                  <c:v>0.1558201145038608</c:v>
                </c:pt>
                <c:pt idx="182">
                  <c:v>0.15626100759106765</c:v>
                </c:pt>
                <c:pt idx="183">
                  <c:v>0.1566989482448633</c:v>
                </c:pt>
                <c:pt idx="184">
                  <c:v>0.15713395623570073</c:v>
                </c:pt>
                <c:pt idx="185">
                  <c:v>0.15756605120165745</c:v>
                </c:pt>
                <c:pt idx="186">
                  <c:v>0.15799525264932121</c:v>
                </c:pt>
                <c:pt idx="187">
                  <c:v>0.15842157995466971</c:v>
                </c:pt>
                <c:pt idx="188">
                  <c:v>0.15884505236394464</c:v>
                </c:pt>
                <c:pt idx="189">
                  <c:v>0.15926568899451971</c:v>
                </c:pt>
                <c:pt idx="190">
                  <c:v>0.15968350883576302</c:v>
                </c:pt>
                <c:pt idx="191">
                  <c:v>0.16009853074989375</c:v>
                </c:pt>
                <c:pt idx="192">
                  <c:v>0.16051077347283305</c:v>
                </c:pt>
                <c:pt idx="193">
                  <c:v>0.16092025561504919</c:v>
                </c:pt>
                <c:pt idx="194">
                  <c:v>0.1613269956623973</c:v>
                </c:pt>
                <c:pt idx="195">
                  <c:v>0.16173101197695336</c:v>
                </c:pt>
                <c:pt idx="196">
                  <c:v>0.16213232279784257</c:v>
                </c:pt>
                <c:pt idx="197">
                  <c:v>0.16253094624206246</c:v>
                </c:pt>
                <c:pt idx="198">
                  <c:v>0.16292690030530019</c:v>
                </c:pt>
                <c:pt idx="199">
                  <c:v>0.16332020286274462</c:v>
                </c:pt>
                <c:pt idx="200">
                  <c:v>0.1637108716698929</c:v>
                </c:pt>
                <c:pt idx="201">
                  <c:v>0.16409892436335158</c:v>
                </c:pt>
                <c:pt idx="202">
                  <c:v>0.16448437846163255</c:v>
                </c:pt>
                <c:pt idx="203">
                  <c:v>0.16486725136594352</c:v>
                </c:pt>
                <c:pt idx="204">
                  <c:v>0.16524756036097327</c:v>
                </c:pt>
                <c:pt idx="205">
                  <c:v>0.16562532261567167</c:v>
                </c:pt>
                <c:pt idx="206">
                  <c:v>0.16600055518402454</c:v>
                </c:pt>
                <c:pt idx="207">
                  <c:v>0.16637327500582311</c:v>
                </c:pt>
                <c:pt idx="208">
                  <c:v>0.16674349890742868</c:v>
                </c:pt>
                <c:pt idx="209">
                  <c:v>0.16711124360253185</c:v>
                </c:pt>
                <c:pt idx="210">
                  <c:v>0.16747652569290691</c:v>
                </c:pt>
                <c:pt idx="211">
                  <c:v>0.16783936166916102</c:v>
                </c:pt>
                <c:pt idx="212">
                  <c:v>0.16819976791147848</c:v>
                </c:pt>
                <c:pt idx="213">
                  <c:v>0.16855776069035994</c:v>
                </c:pt>
                <c:pt idx="214">
                  <c:v>0.16891335616735687</c:v>
                </c:pt>
                <c:pt idx="215">
                  <c:v>0.16926657039580081</c:v>
                </c:pt>
                <c:pt idx="216">
                  <c:v>0.16961741932152799</c:v>
                </c:pt>
                <c:pt idx="217">
                  <c:v>0.16996591878359904</c:v>
                </c:pt>
                <c:pt idx="218">
                  <c:v>0.1703120845150137</c:v>
                </c:pt>
                <c:pt idx="219">
                  <c:v>0.17065593214342117</c:v>
                </c:pt>
                <c:pt idx="220">
                  <c:v>0.17099747719182523</c:v>
                </c:pt>
                <c:pt idx="221">
                  <c:v>0.17133673507928501</c:v>
                </c:pt>
                <c:pt idx="222">
                  <c:v>0.17167372112161083</c:v>
                </c:pt>
                <c:pt idx="223">
                  <c:v>0.17200845053205555</c:v>
                </c:pt>
                <c:pt idx="224">
                  <c:v>0.17234093842200116</c:v>
                </c:pt>
                <c:pt idx="225">
                  <c:v>0.17267119980164092</c:v>
                </c:pt>
                <c:pt idx="226">
                  <c:v>0.17299924958065679</c:v>
                </c:pt>
                <c:pt idx="227">
                  <c:v>0.17332510256889244</c:v>
                </c:pt>
                <c:pt idx="228">
                  <c:v>0.17364877347702171</c:v>
                </c:pt>
                <c:pt idx="229">
                  <c:v>0.17397027691721256</c:v>
                </c:pt>
                <c:pt idx="230">
                  <c:v>0.17428962740378665</c:v>
                </c:pt>
                <c:pt idx="231">
                  <c:v>0.17460683935387444</c:v>
                </c:pt>
                <c:pt idx="232">
                  <c:v>0.174921927088066</c:v>
                </c:pt>
                <c:pt idx="233">
                  <c:v>0.1752349048310573</c:v>
                </c:pt>
                <c:pt idx="234">
                  <c:v>0.1755457867122924</c:v>
                </c:pt>
                <c:pt idx="235">
                  <c:v>0.17585458676660112</c:v>
                </c:pt>
                <c:pt idx="236">
                  <c:v>0.17616131893483258</c:v>
                </c:pt>
                <c:pt idx="237">
                  <c:v>0.17646599706448446</c:v>
                </c:pt>
                <c:pt idx="238">
                  <c:v>0.17676863491032807</c:v>
                </c:pt>
                <c:pt idx="239">
                  <c:v>0.17706924613502914</c:v>
                </c:pt>
                <c:pt idx="240">
                  <c:v>0.1773678443097646</c:v>
                </c:pt>
                <c:pt idx="241">
                  <c:v>0.17766444291483519</c:v>
                </c:pt>
                <c:pt idx="242">
                  <c:v>0.17795905534027379</c:v>
                </c:pt>
                <c:pt idx="243">
                  <c:v>0.17825169488645004</c:v>
                </c:pt>
                <c:pt idx="244">
                  <c:v>0.17854237476467053</c:v>
                </c:pt>
                <c:pt idx="245">
                  <c:v>0.17883110809777522</c:v>
                </c:pt>
                <c:pt idx="246">
                  <c:v>0.17911790792072979</c:v>
                </c:pt>
                <c:pt idx="247">
                  <c:v>0.179402787181214</c:v>
                </c:pt>
                <c:pt idx="248">
                  <c:v>0.17968575874020618</c:v>
                </c:pt>
                <c:pt idx="249">
                  <c:v>0.17996683537256369</c:v>
                </c:pt>
                <c:pt idx="250">
                  <c:v>0.18024602976759968</c:v>
                </c:pt>
                <c:pt idx="251">
                  <c:v>0.18052335452965579</c:v>
                </c:pt>
                <c:pt idx="252">
                  <c:v>0.1807988221786711</c:v>
                </c:pt>
                <c:pt idx="253">
                  <c:v>0.18107244515074741</c:v>
                </c:pt>
                <c:pt idx="254">
                  <c:v>0.18134423579871042</c:v>
                </c:pt>
                <c:pt idx="255">
                  <c:v>0.18161420639266743</c:v>
                </c:pt>
                <c:pt idx="256">
                  <c:v>0.18188236912056119</c:v>
                </c:pt>
                <c:pt idx="257">
                  <c:v>0.18214873608872012</c:v>
                </c:pt>
                <c:pt idx="258">
                  <c:v>0.18241331932240473</c:v>
                </c:pt>
                <c:pt idx="259">
                  <c:v>0.18267613076635042</c:v>
                </c:pt>
                <c:pt idx="260">
                  <c:v>0.18293718228530678</c:v>
                </c:pt>
                <c:pt idx="261">
                  <c:v>0.18319648566457306</c:v>
                </c:pt>
                <c:pt idx="262">
                  <c:v>0.18345405261053019</c:v>
                </c:pt>
                <c:pt idx="263">
                  <c:v>0.18370989475116919</c:v>
                </c:pt>
                <c:pt idx="264">
                  <c:v>0.18396402363661621</c:v>
                </c:pt>
                <c:pt idx="265">
                  <c:v>0.18421645073965368</c:v>
                </c:pt>
                <c:pt idx="266">
                  <c:v>0.18446718745623839</c:v>
                </c:pt>
                <c:pt idx="267">
                  <c:v>0.18471624510601581</c:v>
                </c:pt>
                <c:pt idx="268">
                  <c:v>0.18496363493283108</c:v>
                </c:pt>
                <c:pt idx="269">
                  <c:v>0.18520936810523664</c:v>
                </c:pt>
                <c:pt idx="270">
                  <c:v>0.18545345571699628</c:v>
                </c:pt>
                <c:pt idx="271">
                  <c:v>0.18569590878758604</c:v>
                </c:pt>
                <c:pt idx="272">
                  <c:v>0.18593673826269155</c:v>
                </c:pt>
                <c:pt idx="273">
                  <c:v>0.1861759550147021</c:v>
                </c:pt>
                <c:pt idx="274">
                  <c:v>0.18641356984320162</c:v>
                </c:pt>
                <c:pt idx="275">
                  <c:v>0.18664959347545598</c:v>
                </c:pt>
                <c:pt idx="276">
                  <c:v>0.18688403656689734</c:v>
                </c:pt>
                <c:pt idx="277">
                  <c:v>0.18711690970160508</c:v>
                </c:pt>
                <c:pt idx="278">
                  <c:v>0.1873482233927837</c:v>
                </c:pt>
                <c:pt idx="279">
                  <c:v>0.18757798808323733</c:v>
                </c:pt>
                <c:pt idx="280">
                  <c:v>0.18780621414584112</c:v>
                </c:pt>
                <c:pt idx="281">
                  <c:v>0.18803291188400945</c:v>
                </c:pt>
                <c:pt idx="282">
                  <c:v>0.18825809153216116</c:v>
                </c:pt>
                <c:pt idx="283">
                  <c:v>0.18848176325618152</c:v>
                </c:pt>
                <c:pt idx="284">
                  <c:v>0.18870393715388101</c:v>
                </c:pt>
                <c:pt idx="285">
                  <c:v>0.18892462325545131</c:v>
                </c:pt>
                <c:pt idx="286">
                  <c:v>0.189143831523918</c:v>
                </c:pt>
                <c:pt idx="287">
                  <c:v>0.18936157185559035</c:v>
                </c:pt>
                <c:pt idx="288">
                  <c:v>0.18957785408050809</c:v>
                </c:pt>
                <c:pt idx="289">
                  <c:v>0.18979268796288498</c:v>
                </c:pt>
                <c:pt idx="290">
                  <c:v>0.19000608320154982</c:v>
                </c:pt>
                <c:pt idx="291">
                  <c:v>0.19021804943038415</c:v>
                </c:pt>
                <c:pt idx="292">
                  <c:v>0.1904285962187571</c:v>
                </c:pt>
                <c:pt idx="293">
                  <c:v>0.19063773307195758</c:v>
                </c:pt>
                <c:pt idx="294">
                  <c:v>0.19084546943162312</c:v>
                </c:pt>
                <c:pt idx="295">
                  <c:v>0.19105181467616622</c:v>
                </c:pt>
                <c:pt idx="296">
                  <c:v>0.19125677812119773</c:v>
                </c:pt>
                <c:pt idx="297">
                  <c:v>0.19146036901994729</c:v>
                </c:pt>
                <c:pt idx="298">
                  <c:v>0.19166259656368112</c:v>
                </c:pt>
                <c:pt idx="299">
                  <c:v>0.19186346988211694</c:v>
                </c:pt>
                <c:pt idx="300">
                  <c:v>0.19206299804383606</c:v>
                </c:pt>
                <c:pt idx="301">
                  <c:v>0.19226119005669276</c:v>
                </c:pt>
                <c:pt idx="302">
                  <c:v>0.19245805486822098</c:v>
                </c:pt>
                <c:pt idx="303">
                  <c:v>0.19265360136603824</c:v>
                </c:pt>
                <c:pt idx="304">
                  <c:v>0.19284783837824668</c:v>
                </c:pt>
                <c:pt idx="305">
                  <c:v>0.19304077467383191</c:v>
                </c:pt>
                <c:pt idx="306">
                  <c:v>0.19323241896305854</c:v>
                </c:pt>
                <c:pt idx="307">
                  <c:v>0.19342277989786358</c:v>
                </c:pt>
                <c:pt idx="308">
                  <c:v>0.19361186607224695</c:v>
                </c:pt>
                <c:pt idx="309">
                  <c:v>0.19379968602265946</c:v>
                </c:pt>
                <c:pt idx="310">
                  <c:v>0.19398624822838814</c:v>
                </c:pt>
                <c:pt idx="311">
                  <c:v>0.19417156111193906</c:v>
                </c:pt>
                <c:pt idx="312">
                  <c:v>0.1943556330394175</c:v>
                </c:pt>
                <c:pt idx="313">
                  <c:v>0.19453847232090565</c:v>
                </c:pt>
                <c:pt idx="314">
                  <c:v>0.19472008721083781</c:v>
                </c:pt>
                <c:pt idx="315">
                  <c:v>0.19490048590837289</c:v>
                </c:pt>
                <c:pt idx="316">
                  <c:v>0.19507967655776468</c:v>
                </c:pt>
                <c:pt idx="317">
                  <c:v>0.19525766724872937</c:v>
                </c:pt>
                <c:pt idx="318">
                  <c:v>0.19543446601681089</c:v>
                </c:pt>
                <c:pt idx="319">
                  <c:v>0.19561008084374354</c:v>
                </c:pt>
                <c:pt idx="320">
                  <c:v>0.19578451965781243</c:v>
                </c:pt>
                <c:pt idx="321">
                  <c:v>0.19595779033421129</c:v>
                </c:pt>
                <c:pt idx="322">
                  <c:v>0.19612990069539804</c:v>
                </c:pt>
                <c:pt idx="323">
                  <c:v>0.19630085851144788</c:v>
                </c:pt>
                <c:pt idx="324">
                  <c:v>0.19647067150040409</c:v>
                </c:pt>
                <c:pt idx="325">
                  <c:v>0.1966393473286264</c:v>
                </c:pt>
                <c:pt idx="326">
                  <c:v>0.19680689361113718</c:v>
                </c:pt>
                <c:pt idx="327">
                  <c:v>0.19697331791196512</c:v>
                </c:pt>
                <c:pt idx="328">
                  <c:v>0.19713862774448673</c:v>
                </c:pt>
                <c:pt idx="329">
                  <c:v>0.19730283057176551</c:v>
                </c:pt>
                <c:pt idx="330">
                  <c:v>0.19746593380688884</c:v>
                </c:pt>
                <c:pt idx="331">
                  <c:v>0.19762794481330268</c:v>
                </c:pt>
                <c:pt idx="332">
                  <c:v>0.19778887090514394</c:v>
                </c:pt>
                <c:pt idx="333">
                  <c:v>0.19794871934757072</c:v>
                </c:pt>
                <c:pt idx="334">
                  <c:v>0.19810749735709024</c:v>
                </c:pt>
                <c:pt idx="335">
                  <c:v>0.19826521210188464</c:v>
                </c:pt>
                <c:pt idx="336">
                  <c:v>0.19842187070213457</c:v>
                </c:pt>
                <c:pt idx="337">
                  <c:v>0.19857748023034064</c:v>
                </c:pt>
                <c:pt idx="338">
                  <c:v>0.19873204771164266</c:v>
                </c:pt>
                <c:pt idx="339">
                  <c:v>0.19888558012413687</c:v>
                </c:pt>
                <c:pt idx="340">
                  <c:v>0.19903808439919082</c:v>
                </c:pt>
                <c:pt idx="341">
                  <c:v>0.19918956742175639</c:v>
                </c:pt>
                <c:pt idx="342">
                  <c:v>0.1993400360306806</c:v>
                </c:pt>
                <c:pt idx="343">
                  <c:v>0.19948949701901428</c:v>
                </c:pt>
                <c:pt idx="344">
                  <c:v>0.19963795713431878</c:v>
                </c:pt>
                <c:pt idx="345">
                  <c:v>0.1997854230789706</c:v>
                </c:pt>
                <c:pt idx="346">
                  <c:v>0.19993190151046389</c:v>
                </c:pt>
                <c:pt idx="347">
                  <c:v>0.2000773990417111</c:v>
                </c:pt>
                <c:pt idx="348">
                  <c:v>0.20022192224134139</c:v>
                </c:pt>
                <c:pt idx="349">
                  <c:v>0.20036547763399729</c:v>
                </c:pt>
                <c:pt idx="350">
                  <c:v>0.20050807170062918</c:v>
                </c:pt>
                <c:pt idx="351">
                  <c:v>0.20064971087878786</c:v>
                </c:pt>
                <c:pt idx="352">
                  <c:v>0.20079040156291519</c:v>
                </c:pt>
                <c:pt idx="353">
                  <c:v>0.2009301501046328</c:v>
                </c:pt>
                <c:pt idx="354">
                  <c:v>0.20106896281302872</c:v>
                </c:pt>
                <c:pt idx="355">
                  <c:v>0.20120684595494234</c:v>
                </c:pt>
                <c:pt idx="356">
                  <c:v>0.20134380575524721</c:v>
                </c:pt>
                <c:pt idx="357">
                  <c:v>0.20147984839713209</c:v>
                </c:pt>
                <c:pt idx="358">
                  <c:v>0.20161498002238015</c:v>
                </c:pt>
                <c:pt idx="359">
                  <c:v>0.20174920673164615</c:v>
                </c:pt>
                <c:pt idx="360">
                  <c:v>0.20188253458473185</c:v>
                </c:pt>
                <c:pt idx="361">
                  <c:v>0.20201496960085968</c:v>
                </c:pt>
                <c:pt idx="362">
                  <c:v>0.20214651775894435</c:v>
                </c:pt>
                <c:pt idx="363">
                  <c:v>0.20227718499786282</c:v>
                </c:pt>
                <c:pt idx="364">
                  <c:v>0.20240697721672246</c:v>
                </c:pt>
                <c:pt idx="365">
                  <c:v>0.20253590027512727</c:v>
                </c:pt>
                <c:pt idx="366">
                  <c:v>0.20266395999344242</c:v>
                </c:pt>
                <c:pt idx="367">
                  <c:v>0.20279116215305709</c:v>
                </c:pt>
                <c:pt idx="368">
                  <c:v>0.20291751249664539</c:v>
                </c:pt>
                <c:pt idx="369">
                  <c:v>0.20304301672842562</c:v>
                </c:pt>
                <c:pt idx="370">
                  <c:v>0.20316768051441783</c:v>
                </c:pt>
                <c:pt idx="371">
                  <c:v>0.20329150948269958</c:v>
                </c:pt>
                <c:pt idx="372">
                  <c:v>0.20341450922366003</c:v>
                </c:pt>
                <c:pt idx="373">
                  <c:v>0.20353668529025226</c:v>
                </c:pt>
                <c:pt idx="374">
                  <c:v>0.20365804319824402</c:v>
                </c:pt>
                <c:pt idx="375">
                  <c:v>0.20377858842646673</c:v>
                </c:pt>
                <c:pt idx="376">
                  <c:v>0.20389832641706279</c:v>
                </c:pt>
                <c:pt idx="377">
                  <c:v>0.2040172625757313</c:v>
                </c:pt>
                <c:pt idx="378">
                  <c:v>0.20413540227197208</c:v>
                </c:pt>
                <c:pt idx="379">
                  <c:v>0.20425275083932806</c:v>
                </c:pt>
                <c:pt idx="380">
                  <c:v>0.2043693135756261</c:v>
                </c:pt>
                <c:pt idx="381">
                  <c:v>0.20448509574321613</c:v>
                </c:pt>
                <c:pt idx="382">
                  <c:v>0.20460010256920874</c:v>
                </c:pt>
                <c:pt idx="383">
                  <c:v>0.20471433924571111</c:v>
                </c:pt>
                <c:pt idx="384">
                  <c:v>0.20482781093006147</c:v>
                </c:pt>
                <c:pt idx="385">
                  <c:v>0.20494052274506191</c:v>
                </c:pt>
                <c:pt idx="386">
                  <c:v>0.2050524797792096</c:v>
                </c:pt>
                <c:pt idx="387">
                  <c:v>0.20516368708692656</c:v>
                </c:pt>
                <c:pt idx="388">
                  <c:v>0.20527414968878782</c:v>
                </c:pt>
                <c:pt idx="389">
                  <c:v>0.20538387257174809</c:v>
                </c:pt>
                <c:pt idx="390">
                  <c:v>0.2054928606893669</c:v>
                </c:pt>
                <c:pt idx="391">
                  <c:v>0.20560111896203218</c:v>
                </c:pt>
                <c:pt idx="392">
                  <c:v>0.20570865227718246</c:v>
                </c:pt>
                <c:pt idx="393">
                  <c:v>0.2058154654895275</c:v>
                </c:pt>
                <c:pt idx="394">
                  <c:v>0.20592156342126736</c:v>
                </c:pt>
                <c:pt idx="395">
                  <c:v>0.20602695086231021</c:v>
                </c:pt>
                <c:pt idx="396">
                  <c:v>0.20613163257048858</c:v>
                </c:pt>
                <c:pt idx="397">
                  <c:v>0.20623561327177406</c:v>
                </c:pt>
                <c:pt idx="398">
                  <c:v>0.20633889766049066</c:v>
                </c:pt>
                <c:pt idx="399">
                  <c:v>0.20644149039952686</c:v>
                </c:pt>
                <c:pt idx="400">
                  <c:v>0.20654339612054601</c:v>
                </c:pt>
                <c:pt idx="401">
                  <c:v>0.2066446194241954</c:v>
                </c:pt>
                <c:pt idx="402">
                  <c:v>0.20674516488031408</c:v>
                </c:pt>
                <c:pt idx="403">
                  <c:v>0.20684503702813906</c:v>
                </c:pt>
                <c:pt idx="404">
                  <c:v>0.20694424037651027</c:v>
                </c:pt>
                <c:pt idx="405">
                  <c:v>0.20704277940407409</c:v>
                </c:pt>
                <c:pt idx="406">
                  <c:v>0.2071406585594856</c:v>
                </c:pt>
                <c:pt idx="407">
                  <c:v>0.20723788226160933</c:v>
                </c:pt>
                <c:pt idx="408">
                  <c:v>0.20733445489971883</c:v>
                </c:pt>
                <c:pt idx="409">
                  <c:v>0.20743038083369478</c:v>
                </c:pt>
                <c:pt idx="410">
                  <c:v>0.20752566439422182</c:v>
                </c:pt>
                <c:pt idx="411">
                  <c:v>0.20762030988298408</c:v>
                </c:pt>
                <c:pt idx="412">
                  <c:v>0.20771432157285935</c:v>
                </c:pt>
                <c:pt idx="413">
                  <c:v>0.20780770370811205</c:v>
                </c:pt>
                <c:pt idx="414">
                  <c:v>0.20790046050458472</c:v>
                </c:pt>
                <c:pt idx="415">
                  <c:v>0.20799259614988841</c:v>
                </c:pt>
                <c:pt idx="416">
                  <c:v>0.20808411480359182</c:v>
                </c:pt>
                <c:pt idx="417">
                  <c:v>0.20817502059740892</c:v>
                </c:pt>
                <c:pt idx="418">
                  <c:v>0.20826531763538558</c:v>
                </c:pt>
                <c:pt idx="419">
                  <c:v>0.20835500999408482</c:v>
                </c:pt>
                <c:pt idx="420">
                  <c:v>0.20844410172277086</c:v>
                </c:pt>
                <c:pt idx="421">
                  <c:v>0.20853259684359188</c:v>
                </c:pt>
                <c:pt idx="422">
                  <c:v>0.20862049935176172</c:v>
                </c:pt>
                <c:pt idx="423">
                  <c:v>0.20870781321574008</c:v>
                </c:pt>
                <c:pt idx="424">
                  <c:v>0.20879454237741185</c:v>
                </c:pt>
                <c:pt idx="425">
                  <c:v>0.20888069075226487</c:v>
                </c:pt>
                <c:pt idx="426">
                  <c:v>0.20896626222956688</c:v>
                </c:pt>
                <c:pt idx="427">
                  <c:v>0.20905126067254104</c:v>
                </c:pt>
                <c:pt idx="428">
                  <c:v>0.20913568991854029</c:v>
                </c:pt>
                <c:pt idx="429">
                  <c:v>0.20921955377922061</c:v>
                </c:pt>
                <c:pt idx="430">
                  <c:v>0.20930285604071316</c:v>
                </c:pt>
                <c:pt idx="431">
                  <c:v>0.20938560046379517</c:v>
                </c:pt>
                <c:pt idx="432">
                  <c:v>0.20946779078405964</c:v>
                </c:pt>
                <c:pt idx="433">
                  <c:v>0.20954943071208409</c:v>
                </c:pt>
                <c:pt idx="434">
                  <c:v>0.20963052393359807</c:v>
                </c:pt>
                <c:pt idx="435">
                  <c:v>0.20971107410964951</c:v>
                </c:pt>
                <c:pt idx="436">
                  <c:v>0.20979108487677001</c:v>
                </c:pt>
                <c:pt idx="437">
                  <c:v>0.20987055984713904</c:v>
                </c:pt>
                <c:pt idx="438">
                  <c:v>0.20994950260874692</c:v>
                </c:pt>
                <c:pt idx="439">
                  <c:v>0.21002791672555701</c:v>
                </c:pt>
                <c:pt idx="440">
                  <c:v>0.21010580573766635</c:v>
                </c:pt>
                <c:pt idx="441">
                  <c:v>0.21018317316146568</c:v>
                </c:pt>
                <c:pt idx="442">
                  <c:v>0.21026002248979808</c:v>
                </c:pt>
                <c:pt idx="443">
                  <c:v>0.21033635719211669</c:v>
                </c:pt>
                <c:pt idx="444">
                  <c:v>0.21041218071464132</c:v>
                </c:pt>
                <c:pt idx="445">
                  <c:v>0.21048749648051407</c:v>
                </c:pt>
                <c:pt idx="446">
                  <c:v>0.21056230788995386</c:v>
                </c:pt>
                <c:pt idx="447">
                  <c:v>0.21063661832040989</c:v>
                </c:pt>
                <c:pt idx="448">
                  <c:v>0.2107104311267142</c:v>
                </c:pt>
                <c:pt idx="449">
                  <c:v>0.210783749641233</c:v>
                </c:pt>
                <c:pt idx="450">
                  <c:v>0.21085657717401729</c:v>
                </c:pt>
                <c:pt idx="451">
                  <c:v>0.21092891701295213</c:v>
                </c:pt>
                <c:pt idx="452">
                  <c:v>0.21100077242390514</c:v>
                </c:pt>
                <c:pt idx="453">
                  <c:v>0.21107214665087395</c:v>
                </c:pt>
                <c:pt idx="454">
                  <c:v>0.21114304291613267</c:v>
                </c:pt>
                <c:pt idx="455">
                  <c:v>0.21121346442037725</c:v>
                </c:pt>
                <c:pt idx="456">
                  <c:v>0.2112834143428701</c:v>
                </c:pt>
                <c:pt idx="457">
                  <c:v>0.21135289584158362</c:v>
                </c:pt>
                <c:pt idx="458">
                  <c:v>0.21142191205334263</c:v>
                </c:pt>
                <c:pt idx="459">
                  <c:v>0.21149046609396618</c:v>
                </c:pt>
                <c:pt idx="460">
                  <c:v>0.21155856105840809</c:v>
                </c:pt>
                <c:pt idx="461">
                  <c:v>0.21162620002089666</c:v>
                </c:pt>
                <c:pt idx="462">
                  <c:v>0.21169338603507354</c:v>
                </c:pt>
                <c:pt idx="463">
                  <c:v>0.21176012213413151</c:v>
                </c:pt>
                <c:pt idx="464">
                  <c:v>0.21182641133095148</c:v>
                </c:pt>
                <c:pt idx="465">
                  <c:v>0.21189225661823849</c:v>
                </c:pt>
                <c:pt idx="466">
                  <c:v>0.21195766096865681</c:v>
                </c:pt>
                <c:pt idx="467">
                  <c:v>0.21202262733496413</c:v>
                </c:pt>
                <c:pt idx="468">
                  <c:v>0.21208715865014485</c:v>
                </c:pt>
                <c:pt idx="469">
                  <c:v>0.21215125782754257</c:v>
                </c:pt>
                <c:pt idx="470">
                  <c:v>0.21221492776099152</c:v>
                </c:pt>
                <c:pt idx="471">
                  <c:v>0.21227817132494728</c:v>
                </c:pt>
                <c:pt idx="472">
                  <c:v>0.21234099137461651</c:v>
                </c:pt>
                <c:pt idx="473">
                  <c:v>0.21240339074608586</c:v>
                </c:pt>
                <c:pt idx="474">
                  <c:v>0.21246537225644999</c:v>
                </c:pt>
                <c:pt idx="475">
                  <c:v>0.21252693870393877</c:v>
                </c:pt>
                <c:pt idx="476">
                  <c:v>0.21258809286804362</c:v>
                </c:pt>
                <c:pt idx="477">
                  <c:v>0.21264883750964295</c:v>
                </c:pt>
                <c:pt idx="478">
                  <c:v>0.21270917537112685</c:v>
                </c:pt>
                <c:pt idx="479">
                  <c:v>0.21276910917652089</c:v>
                </c:pt>
                <c:pt idx="480">
                  <c:v>0.21282864163160906</c:v>
                </c:pt>
                <c:pt idx="481">
                  <c:v>0.2128877754240559</c:v>
                </c:pt>
                <c:pt idx="482">
                  <c:v>0.21294651322352801</c:v>
                </c:pt>
                <c:pt idx="483">
                  <c:v>0.21300485768181432</c:v>
                </c:pt>
                <c:pt idx="484">
                  <c:v>0.21306281143294603</c:v>
                </c:pt>
                <c:pt idx="485">
                  <c:v>0.21312037709331538</c:v>
                </c:pt>
                <c:pt idx="486">
                  <c:v>0.21317755726179385</c:v>
                </c:pt>
                <c:pt idx="487">
                  <c:v>0.21323435451984943</c:v>
                </c:pt>
                <c:pt idx="488">
                  <c:v>0.21329077143166322</c:v>
                </c:pt>
                <c:pt idx="489">
                  <c:v>0.21334681054424517</c:v>
                </c:pt>
                <c:pt idx="490">
                  <c:v>0.21340247438754903</c:v>
                </c:pt>
                <c:pt idx="491">
                  <c:v>0.21345776547458659</c:v>
                </c:pt>
                <c:pt idx="492">
                  <c:v>0.21351268630154122</c:v>
                </c:pt>
                <c:pt idx="493">
                  <c:v>0.21356723934788038</c:v>
                </c:pt>
                <c:pt idx="494">
                  <c:v>0.21362142707646775</c:v>
                </c:pt>
                <c:pt idx="495">
                  <c:v>0.21367525193367426</c:v>
                </c:pt>
                <c:pt idx="496">
                  <c:v>0.21372871634948865</c:v>
                </c:pt>
                <c:pt idx="497">
                  <c:v>0.21378182273762708</c:v>
                </c:pt>
                <c:pt idx="498">
                  <c:v>0.21383457349564219</c:v>
                </c:pt>
                <c:pt idx="499">
                  <c:v>0.21388697100503129</c:v>
                </c:pt>
                <c:pt idx="500">
                  <c:v>0.21393901763134385</c:v>
                </c:pt>
                <c:pt idx="501">
                  <c:v>0.21399071572428835</c:v>
                </c:pt>
                <c:pt idx="502">
                  <c:v>0.21404206761783831</c:v>
                </c:pt>
                <c:pt idx="503">
                  <c:v>0.21409307563033772</c:v>
                </c:pt>
                <c:pt idx="504">
                  <c:v>0.21414374206460565</c:v>
                </c:pt>
                <c:pt idx="505">
                  <c:v>0.21419406920804024</c:v>
                </c:pt>
                <c:pt idx="506">
                  <c:v>0.21424405933272192</c:v>
                </c:pt>
                <c:pt idx="507">
                  <c:v>0.21429371469551606</c:v>
                </c:pt>
                <c:pt idx="508">
                  <c:v>0.21434303753817482</c:v>
                </c:pt>
                <c:pt idx="509">
                  <c:v>0.21439203008743837</c:v>
                </c:pt>
                <c:pt idx="510">
                  <c:v>0.21444069455513537</c:v>
                </c:pt>
                <c:pt idx="511">
                  <c:v>0.21448903313828285</c:v>
                </c:pt>
                <c:pt idx="512">
                  <c:v>0.21453704801918547</c:v>
                </c:pt>
                <c:pt idx="513">
                  <c:v>0.2145847413655339</c:v>
                </c:pt>
                <c:pt idx="514">
                  <c:v>0.21463211533050283</c:v>
                </c:pt>
                <c:pt idx="515">
                  <c:v>0.21467917205284806</c:v>
                </c:pt>
                <c:pt idx="516">
                  <c:v>0.21472591365700314</c:v>
                </c:pt>
                <c:pt idx="517">
                  <c:v>0.21477234225317524</c:v>
                </c:pt>
                <c:pt idx="518">
                  <c:v>0.21481845993744039</c:v>
                </c:pt>
                <c:pt idx="519">
                  <c:v>0.21486426879183818</c:v>
                </c:pt>
                <c:pt idx="520">
                  <c:v>0.2149097708844657</c:v>
                </c:pt>
                <c:pt idx="521">
                  <c:v>0.21495496826957092</c:v>
                </c:pt>
                <c:pt idx="522">
                  <c:v>0.21499986298764542</c:v>
                </c:pt>
                <c:pt idx="523">
                  <c:v>0.21504445706551656</c:v>
                </c:pt>
                <c:pt idx="524">
                  <c:v>0.21508875251643891</c:v>
                </c:pt>
                <c:pt idx="525">
                  <c:v>0.21513275134018522</c:v>
                </c:pt>
                <c:pt idx="526">
                  <c:v>0.21517645552313663</c:v>
                </c:pt>
                <c:pt idx="527">
                  <c:v>0.21521986703837237</c:v>
                </c:pt>
                <c:pt idx="528">
                  <c:v>0.21526298784575887</c:v>
                </c:pt>
                <c:pt idx="529">
                  <c:v>0.21530581989203817</c:v>
                </c:pt>
                <c:pt idx="530">
                  <c:v>0.2153483651109159</c:v>
                </c:pt>
                <c:pt idx="531">
                  <c:v>0.21539062542314852</c:v>
                </c:pt>
                <c:pt idx="532">
                  <c:v>0.21543260273663001</c:v>
                </c:pt>
                <c:pt idx="533">
                  <c:v>0.21547429894647807</c:v>
                </c:pt>
                <c:pt idx="534">
                  <c:v>0.21551571593511964</c:v>
                </c:pt>
                <c:pt idx="535">
                  <c:v>0.21555685557237589</c:v>
                </c:pt>
                <c:pt idx="536">
                  <c:v>0.21559771971554664</c:v>
                </c:pt>
                <c:pt idx="537">
                  <c:v>0.21563831020949417</c:v>
                </c:pt>
                <c:pt idx="538">
                  <c:v>0.21567862888672659</c:v>
                </c:pt>
                <c:pt idx="539">
                  <c:v>0.21571867756748048</c:v>
                </c:pt>
                <c:pt idx="540">
                  <c:v>0.21575845805980312</c:v>
                </c:pt>
                <c:pt idx="541">
                  <c:v>0.21579797215963414</c:v>
                </c:pt>
                <c:pt idx="542">
                  <c:v>0.21583722165088656</c:v>
                </c:pt>
                <c:pt idx="543">
                  <c:v>0.21587620830552728</c:v>
                </c:pt>
                <c:pt idx="544">
                  <c:v>0.21591493388365715</c:v>
                </c:pt>
                <c:pt idx="545">
                  <c:v>0.21595340013359046</c:v>
                </c:pt>
                <c:pt idx="546">
                  <c:v>0.21599160879193377</c:v>
                </c:pt>
                <c:pt idx="547">
                  <c:v>0.21602956158366438</c:v>
                </c:pt>
                <c:pt idx="548">
                  <c:v>0.21606726022220812</c:v>
                </c:pt>
                <c:pt idx="549">
                  <c:v>0.2161047064095169</c:v>
                </c:pt>
                <c:pt idx="550">
                  <c:v>0.21614190183614532</c:v>
                </c:pt>
                <c:pt idx="551">
                  <c:v>0.21617884818132713</c:v>
                </c:pt>
                <c:pt idx="552">
                  <c:v>0.21621554711305097</c:v>
                </c:pt>
                <c:pt idx="553">
                  <c:v>0.21625200028813574</c:v>
                </c:pt>
                <c:pt idx="554">
                  <c:v>0.21628820935230533</c:v>
                </c:pt>
                <c:pt idx="555">
                  <c:v>0.21632417594026299</c:v>
                </c:pt>
                <c:pt idx="556">
                  <c:v>0.21635990167576505</c:v>
                </c:pt>
                <c:pt idx="557">
                  <c:v>0.21639538817169426</c:v>
                </c:pt>
                <c:pt idx="558">
                  <c:v>0.21643063703013266</c:v>
                </c:pt>
                <c:pt idx="559">
                  <c:v>0.21646564984243383</c:v>
                </c:pt>
                <c:pt idx="560">
                  <c:v>0.21650042818929477</c:v>
                </c:pt>
                <c:pt idx="561">
                  <c:v>0.21653497364082724</c:v>
                </c:pt>
                <c:pt idx="562">
                  <c:v>0.2165692877566287</c:v>
                </c:pt>
                <c:pt idx="563">
                  <c:v>0.21660337208585267</c:v>
                </c:pt>
                <c:pt idx="564">
                  <c:v>0.21663722816727862</c:v>
                </c:pt>
                <c:pt idx="565">
                  <c:v>0.21667085752938156</c:v>
                </c:pt>
                <c:pt idx="566">
                  <c:v>0.21670426169040097</c:v>
                </c:pt>
                <c:pt idx="567">
                  <c:v>0.21673744215840934</c:v>
                </c:pt>
                <c:pt idx="568">
                  <c:v>0.21677040043138027</c:v>
                </c:pt>
                <c:pt idx="569">
                  <c:v>0.21680313799725609</c:v>
                </c:pt>
                <c:pt idx="570">
                  <c:v>0.21683565633401508</c:v>
                </c:pt>
                <c:pt idx="571">
                  <c:v>0.21686795690973815</c:v>
                </c:pt>
                <c:pt idx="572">
                  <c:v>0.21690004118267506</c:v>
                </c:pt>
                <c:pt idx="573">
                  <c:v>0.2169319106013104</c:v>
                </c:pt>
                <c:pt idx="574">
                  <c:v>0.21696356660442886</c:v>
                </c:pt>
                <c:pt idx="575">
                  <c:v>0.21699501062118021</c:v>
                </c:pt>
                <c:pt idx="576">
                  <c:v>0.2170262440711439</c:v>
                </c:pt>
                <c:pt idx="577">
                  <c:v>0.21705726836439304</c:v>
                </c:pt>
                <c:pt idx="578">
                  <c:v>0.21708808490155809</c:v>
                </c:pt>
                <c:pt idx="579">
                  <c:v>0.21711869507389014</c:v>
                </c:pt>
                <c:pt idx="580">
                  <c:v>0.21714910026332374</c:v>
                </c:pt>
                <c:pt idx="581">
                  <c:v>0.21717930184253911</c:v>
                </c:pt>
                <c:pt idx="582">
                  <c:v>0.21720930117502435</c:v>
                </c:pt>
                <c:pt idx="583">
                  <c:v>0.21723909961513682</c:v>
                </c:pt>
                <c:pt idx="584">
                  <c:v>0.21726869850816441</c:v>
                </c:pt>
                <c:pt idx="585">
                  <c:v>0.21729809919038617</c:v>
                </c:pt>
                <c:pt idx="586">
                  <c:v>0.21732730298913266</c:v>
                </c:pt>
                <c:pt idx="587">
                  <c:v>0.21735631122284596</c:v>
                </c:pt>
                <c:pt idx="588">
                  <c:v>0.21738512520113909</c:v>
                </c:pt>
                <c:pt idx="589">
                  <c:v>0.21741374622485515</c:v>
                </c:pt>
                <c:pt idx="590">
                  <c:v>0.21744217558612614</c:v>
                </c:pt>
                <c:pt idx="591">
                  <c:v>0.21747041456843111</c:v>
                </c:pt>
                <c:pt idx="592">
                  <c:v>0.21749846444665433</c:v>
                </c:pt>
                <c:pt idx="593">
                  <c:v>0.21752632648714271</c:v>
                </c:pt>
                <c:pt idx="594">
                  <c:v>0.21755400194776295</c:v>
                </c:pt>
                <c:pt idx="595">
                  <c:v>0.2175814920779584</c:v>
                </c:pt>
                <c:pt idx="596">
                  <c:v>0.21760879811880549</c:v>
                </c:pt>
                <c:pt idx="597">
                  <c:v>0.21763592130306958</c:v>
                </c:pt>
                <c:pt idx="598">
                  <c:v>0.2176628628552609</c:v>
                </c:pt>
                <c:pt idx="599">
                  <c:v>0.21768962399168959</c:v>
                </c:pt>
                <c:pt idx="600">
                  <c:v>0.21771620592052071</c:v>
                </c:pt>
                <c:pt idx="601">
                  <c:v>0.21774260984182878</c:v>
                </c:pt>
                <c:pt idx="602">
                  <c:v>0.21776883694765195</c:v>
                </c:pt>
                <c:pt idx="603">
                  <c:v>0.21779488842204583</c:v>
                </c:pt>
                <c:pt idx="604">
                  <c:v>0.2178207654411369</c:v>
                </c:pt>
                <c:pt idx="605">
                  <c:v>0.21784646917317568</c:v>
                </c:pt>
                <c:pt idx="606">
                  <c:v>0.2178720007785894</c:v>
                </c:pt>
                <c:pt idx="607">
                  <c:v>0.21789736141003446</c:v>
                </c:pt>
                <c:pt idx="608">
                  <c:v>0.21792255221244841</c:v>
                </c:pt>
                <c:pt idx="609">
                  <c:v>0.21794757432310161</c:v>
                </c:pt>
                <c:pt idx="610">
                  <c:v>0.21797242887164869</c:v>
                </c:pt>
                <c:pt idx="611">
                  <c:v>0.21799711698017951</c:v>
                </c:pt>
                <c:pt idx="612">
                  <c:v>0.21802163976326971</c:v>
                </c:pt>
                <c:pt idx="613">
                  <c:v>0.21804599832803112</c:v>
                </c:pt>
                <c:pt idx="614">
                  <c:v>0.21807019377416179</c:v>
                </c:pt>
                <c:pt idx="615">
                  <c:v>0.21809422719399549</c:v>
                </c:pt>
                <c:pt idx="616">
                  <c:v>0.21811809967255119</c:v>
                </c:pt>
                <c:pt idx="617">
                  <c:v>0.21814181228758195</c:v>
                </c:pt>
                <c:pt idx="618">
                  <c:v>0.21816536610962359</c:v>
                </c:pt>
                <c:pt idx="619">
                  <c:v>0.218188762202043</c:v>
                </c:pt>
                <c:pt idx="620">
                  <c:v>0.2182120016210862</c:v>
                </c:pt>
                <c:pt idx="621">
                  <c:v>0.21823508541592598</c:v>
                </c:pt>
                <c:pt idx="622">
                  <c:v>0.21825801462870931</c:v>
                </c:pt>
                <c:pt idx="623">
                  <c:v>0.21828079029460432</c:v>
                </c:pt>
                <c:pt idx="624">
                  <c:v>0.21830341344184709</c:v>
                </c:pt>
                <c:pt idx="625">
                  <c:v>0.2183258850917881</c:v>
                </c:pt>
                <c:pt idx="626">
                  <c:v>0.21834820625893822</c:v>
                </c:pt>
                <c:pt idx="627">
                  <c:v>0.21837037795101463</c:v>
                </c:pt>
                <c:pt idx="628">
                  <c:v>0.21839240116898631</c:v>
                </c:pt>
                <c:pt idx="629">
                  <c:v>0.21841427690711915</c:v>
                </c:pt>
                <c:pt idx="630">
                  <c:v>0.21843600615302083</c:v>
                </c:pt>
                <c:pt idx="631">
                  <c:v>0.21845758988768557</c:v>
                </c:pt>
                <c:pt idx="632">
                  <c:v>0.21847902908553823</c:v>
                </c:pt>
                <c:pt idx="633">
                  <c:v>0.21850032471447836</c:v>
                </c:pt>
                <c:pt idx="634">
                  <c:v>0.21852147773592398</c:v>
                </c:pt>
                <c:pt idx="635">
                  <c:v>0.21854248910485485</c:v>
                </c:pt>
                <c:pt idx="636">
                  <c:v>0.21856335976985572</c:v>
                </c:pt>
                <c:pt idx="637">
                  <c:v>0.21858409067315901</c:v>
                </c:pt>
                <c:pt idx="638">
                  <c:v>0.21860468275068751</c:v>
                </c:pt>
                <c:pt idx="639">
                  <c:v>0.21862513693209648</c:v>
                </c:pt>
                <c:pt idx="640">
                  <c:v>0.21864545414081574</c:v>
                </c:pt>
                <c:pt idx="641">
                  <c:v>0.21866563529409125</c:v>
                </c:pt>
                <c:pt idx="642">
                  <c:v>0.2186856813030266</c:v>
                </c:pt>
                <c:pt idx="643">
                  <c:v>0.21870559307262413</c:v>
                </c:pt>
                <c:pt idx="644">
                  <c:v>0.21872537150182578</c:v>
                </c:pt>
                <c:pt idx="645">
                  <c:v>0.21874501748355368</c:v>
                </c:pt>
                <c:pt idx="646">
                  <c:v>0.21876453190475045</c:v>
                </c:pt>
                <c:pt idx="647">
                  <c:v>0.21878391564641922</c:v>
                </c:pt>
                <c:pt idx="648">
                  <c:v>0.21880316958366341</c:v>
                </c:pt>
                <c:pt idx="649">
                  <c:v>0.21882229458572636</c:v>
                </c:pt>
                <c:pt idx="650">
                  <c:v>0.21884129151603035</c:v>
                </c:pt>
                <c:pt idx="651">
                  <c:v>0.2188601612322158</c:v>
                </c:pt>
                <c:pt idx="652">
                  <c:v>0.21887890458617981</c:v>
                </c:pt>
                <c:pt idx="653">
                  <c:v>0.21889752242411478</c:v>
                </c:pt>
                <c:pt idx="654">
                  <c:v>0.21891601558654647</c:v>
                </c:pt>
                <c:pt idx="655">
                  <c:v>0.218934384908372</c:v>
                </c:pt>
                <c:pt idx="656">
                  <c:v>0.2189526312188976</c:v>
                </c:pt>
                <c:pt idx="657">
                  <c:v>0.21897075534187602</c:v>
                </c:pt>
                <c:pt idx="658">
                  <c:v>0.21898875809554361</c:v>
                </c:pt>
                <c:pt idx="659">
                  <c:v>0.21900664029265743</c:v>
                </c:pt>
                <c:pt idx="660">
                  <c:v>0.21902440274053181</c:v>
                </c:pt>
                <c:pt idx="661">
                  <c:v>0.2190420462410749</c:v>
                </c:pt>
                <c:pt idx="662">
                  <c:v>0.21905957159082479</c:v>
                </c:pt>
                <c:pt idx="663">
                  <c:v>0.21907697958098551</c:v>
                </c:pt>
                <c:pt idx="664">
                  <c:v>0.21909427099746276</c:v>
                </c:pt>
                <c:pt idx="665">
                  <c:v>0.21911144662089937</c:v>
                </c:pt>
                <c:pt idx="666">
                  <c:v>0.21912850722671054</c:v>
                </c:pt>
                <c:pt idx="667">
                  <c:v>0.21914545358511886</c:v>
                </c:pt>
                <c:pt idx="668">
                  <c:v>0.2191622864611891</c:v>
                </c:pt>
                <c:pt idx="669">
                  <c:v>0.21917900661486267</c:v>
                </c:pt>
                <c:pt idx="670">
                  <c:v>0.21919561480099206</c:v>
                </c:pt>
                <c:pt idx="671">
                  <c:v>0.21921211176937477</c:v>
                </c:pt>
                <c:pt idx="672">
                  <c:v>0.2192284982647873</c:v>
                </c:pt>
                <c:pt idx="673">
                  <c:v>0.21924477502701867</c:v>
                </c:pt>
                <c:pt idx="674">
                  <c:v>0.21926094279090386</c:v>
                </c:pt>
                <c:pt idx="675">
                  <c:v>0.21927700228635705</c:v>
                </c:pt>
                <c:pt idx="676">
                  <c:v>0.21929295423840442</c:v>
                </c:pt>
                <c:pt idx="677">
                  <c:v>0.21930879936721698</c:v>
                </c:pt>
                <c:pt idx="678">
                  <c:v>0.21932453838814311</c:v>
                </c:pt>
                <c:pt idx="679">
                  <c:v>0.21934017201174077</c:v>
                </c:pt>
                <c:pt idx="680">
                  <c:v>0.21935570094380968</c:v>
                </c:pt>
                <c:pt idx="681">
                  <c:v>0.21937112588542312</c:v>
                </c:pt>
                <c:pt idx="682">
                  <c:v>0.21938644753295955</c:v>
                </c:pt>
                <c:pt idx="683">
                  <c:v>0.21940166657813409</c:v>
                </c:pt>
                <c:pt idx="684">
                  <c:v>0.21941678370802981</c:v>
                </c:pt>
                <c:pt idx="685">
                  <c:v>0.21943179960512862</c:v>
                </c:pt>
                <c:pt idx="686">
                  <c:v>0.21944671494734216</c:v>
                </c:pt>
                <c:pt idx="687">
                  <c:v>0.21946153040804245</c:v>
                </c:pt>
                <c:pt idx="688">
                  <c:v>0.21947624665609217</c:v>
                </c:pt>
                <c:pt idx="689">
                  <c:v>0.21949086435587495</c:v>
                </c:pt>
                <c:pt idx="690">
                  <c:v>0.21950538416732532</c:v>
                </c:pt>
                <c:pt idx="691">
                  <c:v>0.21951980674595856</c:v>
                </c:pt>
                <c:pt idx="692">
                  <c:v>0.21953413274290018</c:v>
                </c:pt>
                <c:pt idx="693">
                  <c:v>0.21954836280491544</c:v>
                </c:pt>
                <c:pt idx="694">
                  <c:v>0.21956249757443849</c:v>
                </c:pt>
                <c:pt idx="695">
                  <c:v>0.21957653768960139</c:v>
                </c:pt>
                <c:pt idx="696">
                  <c:v>0.21959048378426285</c:v>
                </c:pt>
                <c:pt idx="697">
                  <c:v>0.21960433648803701</c:v>
                </c:pt>
                <c:pt idx="698">
                  <c:v>0.21961809642632166</c:v>
                </c:pt>
                <c:pt idx="699">
                  <c:v>0.21963176422032663</c:v>
                </c:pt>
                <c:pt idx="700">
                  <c:v>0.21964534048710177</c:v>
                </c:pt>
                <c:pt idx="701">
                  <c:v>0.21965882583956481</c:v>
                </c:pt>
                <c:pt idx="702">
                  <c:v>0.21967222088652907</c:v>
                </c:pt>
                <c:pt idx="703">
                  <c:v>0.21968552623273088</c:v>
                </c:pt>
                <c:pt idx="704">
                  <c:v>0.21969874247885693</c:v>
                </c:pt>
                <c:pt idx="705">
                  <c:v>0.21971187022157135</c:v>
                </c:pt>
                <c:pt idx="706">
                  <c:v>0.21972491005354272</c:v>
                </c:pt>
                <c:pt idx="707">
                  <c:v>0.21973786256347075</c:v>
                </c:pt>
                <c:pt idx="708">
                  <c:v>0.21975072833611289</c:v>
                </c:pt>
                <c:pt idx="709">
                  <c:v>0.21976350795231073</c:v>
                </c:pt>
                <c:pt idx="710">
                  <c:v>0.21977620198901621</c:v>
                </c:pt>
                <c:pt idx="711">
                  <c:v>0.21978881101931766</c:v>
                </c:pt>
                <c:pt idx="712">
                  <c:v>0.21980133561246576</c:v>
                </c:pt>
                <c:pt idx="713">
                  <c:v>0.21981377633389906</c:v>
                </c:pt>
                <c:pt idx="714">
                  <c:v>0.21982613374526974</c:v>
                </c:pt>
                <c:pt idx="715">
                  <c:v>0.21983840840446872</c:v>
                </c:pt>
                <c:pt idx="716">
                  <c:v>0.21985060086565106</c:v>
                </c:pt>
                <c:pt idx="717">
                  <c:v>0.21986271167926083</c:v>
                </c:pt>
                <c:pt idx="718">
                  <c:v>0.21987474139205607</c:v>
                </c:pt>
                <c:pt idx="719">
                  <c:v>0.21988669054713336</c:v>
                </c:pt>
                <c:pt idx="720">
                  <c:v>0.21989855968395247</c:v>
                </c:pt>
                <c:pt idx="721">
                  <c:v>0.21991034933836059</c:v>
                </c:pt>
                <c:pt idx="722">
                  <c:v>0.21992206004261661</c:v>
                </c:pt>
                <c:pt idx="723">
                  <c:v>0.21993369232541504</c:v>
                </c:pt>
                <c:pt idx="724">
                  <c:v>0.2199452467119101</c:v>
                </c:pt>
                <c:pt idx="725">
                  <c:v>0.21995672372373914</c:v>
                </c:pt>
                <c:pt idx="726">
                  <c:v>0.21996812387904643</c:v>
                </c:pt>
                <c:pt idx="727">
                  <c:v>0.21997944769250641</c:v>
                </c:pt>
                <c:pt idx="728">
                  <c:v>0.21999069567534696</c:v>
                </c:pt>
                <c:pt idx="729">
                  <c:v>0.2200018683353725</c:v>
                </c:pt>
                <c:pt idx="730">
                  <c:v>0.22001296617698693</c:v>
                </c:pt>
                <c:pt idx="731">
                  <c:v>0.22002398970121637</c:v>
                </c:pt>
                <c:pt idx="732">
                  <c:v>0.22003493940573177</c:v>
                </c:pt>
                <c:pt idx="733">
                  <c:v>0.22004581578487142</c:v>
                </c:pt>
                <c:pt idx="734">
                  <c:v>0.22005661932966322</c:v>
                </c:pt>
                <c:pt idx="735">
                  <c:v>0.2200673505278469</c:v>
                </c:pt>
                <c:pt idx="736">
                  <c:v>0.220078009863896</c:v>
                </c:pt>
                <c:pt idx="737">
                  <c:v>0.22008859781903975</c:v>
                </c:pt>
                <c:pt idx="738">
                  <c:v>0.22009911487128478</c:v>
                </c:pt>
                <c:pt idx="739">
                  <c:v>0.22010956149543673</c:v>
                </c:pt>
                <c:pt idx="740">
                  <c:v>0.22011993816312167</c:v>
                </c:pt>
                <c:pt idx="741">
                  <c:v>0.22013024534280742</c:v>
                </c:pt>
                <c:pt idx="742">
                  <c:v>0.22014048349982468</c:v>
                </c:pt>
                <c:pt idx="743">
                  <c:v>0.22015065309638801</c:v>
                </c:pt>
                <c:pt idx="744">
                  <c:v>0.22016075459161674</c:v>
                </c:pt>
                <c:pt idx="745">
                  <c:v>0.22017078844155566</c:v>
                </c:pt>
                <c:pt idx="746">
                  <c:v>0.22018075509919563</c:v>
                </c:pt>
                <c:pt idx="747">
                  <c:v>0.22019065501449406</c:v>
                </c:pt>
                <c:pt idx="748">
                  <c:v>0.22020048863439515</c:v>
                </c:pt>
                <c:pt idx="749">
                  <c:v>0.22021025640285014</c:v>
                </c:pt>
                <c:pt idx="750">
                  <c:v>0.22021995876083733</c:v>
                </c:pt>
                <c:pt idx="751">
                  <c:v>0.22022959614638193</c:v>
                </c:pt>
                <c:pt idx="752">
                  <c:v>0.22023916899457593</c:v>
                </c:pt>
                <c:pt idx="753">
                  <c:v>0.22024867773759774</c:v>
                </c:pt>
                <c:pt idx="754">
                  <c:v>0.22025812280473153</c:v>
                </c:pt>
                <c:pt idx="755">
                  <c:v>0.22026750462238689</c:v>
                </c:pt>
                <c:pt idx="756">
                  <c:v>0.22027682361411788</c:v>
                </c:pt>
                <c:pt idx="757">
                  <c:v>0.22028608020064214</c:v>
                </c:pt>
                <c:pt idx="758">
                  <c:v>0.22029527479986002</c:v>
                </c:pt>
                <c:pt idx="759">
                  <c:v>0.22030440782687338</c:v>
                </c:pt>
                <c:pt idx="760">
                  <c:v>0.22031347969400428</c:v>
                </c:pt>
                <c:pt idx="761">
                  <c:v>0.22032249081081365</c:v>
                </c:pt>
                <c:pt idx="762">
                  <c:v>0.2203314415841198</c:v>
                </c:pt>
                <c:pt idx="763">
                  <c:v>0.2203403324180167</c:v>
                </c:pt>
                <c:pt idx="764">
                  <c:v>0.22034916371389235</c:v>
                </c:pt>
                <c:pt idx="765">
                  <c:v>0.22035793587044677</c:v>
                </c:pt>
                <c:pt idx="766">
                  <c:v>0.22036664928371014</c:v>
                </c:pt>
                <c:pt idx="767">
                  <c:v>0.22037530434706049</c:v>
                </c:pt>
                <c:pt idx="768">
                  <c:v>0.22038390145124165</c:v>
                </c:pt>
                <c:pt idx="769">
                  <c:v>0.22039244098438079</c:v>
                </c:pt>
                <c:pt idx="770">
                  <c:v>0.22040092333200595</c:v>
                </c:pt>
                <c:pt idx="771">
                  <c:v>0.22040934887706345</c:v>
                </c:pt>
                <c:pt idx="772">
                  <c:v>0.22041771799993526</c:v>
                </c:pt>
                <c:pt idx="773">
                  <c:v>0.22042603107845601</c:v>
                </c:pt>
                <c:pt idx="774">
                  <c:v>0.22043428848793015</c:v>
                </c:pt>
                <c:pt idx="775">
                  <c:v>0.2204424906011489</c:v>
                </c:pt>
                <c:pt idx="776">
                  <c:v>0.22045063778840709</c:v>
                </c:pt>
                <c:pt idx="777">
                  <c:v>0.22045873041751982</c:v>
                </c:pt>
                <c:pt idx="778">
                  <c:v>0.22046676885383903</c:v>
                </c:pt>
                <c:pt idx="779">
                  <c:v>0.22047475346027021</c:v>
                </c:pt>
                <c:pt idx="780">
                  <c:v>0.22048268459728851</c:v>
                </c:pt>
                <c:pt idx="781">
                  <c:v>0.22049056262295513</c:v>
                </c:pt>
                <c:pt idx="782">
                  <c:v>0.22049838789293355</c:v>
                </c:pt>
                <c:pt idx="783">
                  <c:v>0.22050616076050553</c:v>
                </c:pt>
                <c:pt idx="784">
                  <c:v>0.220513881576587</c:v>
                </c:pt>
                <c:pt idx="785">
                  <c:v>0.22052155068974402</c:v>
                </c:pt>
                <c:pt idx="786">
                  <c:v>0.2205291684462084</c:v>
                </c:pt>
                <c:pt idx="787">
                  <c:v>0.22053673518989342</c:v>
                </c:pt>
                <c:pt idx="788">
                  <c:v>0.22054425126240934</c:v>
                </c:pt>
                <c:pt idx="789">
                  <c:v>0.22055171700307877</c:v>
                </c:pt>
                <c:pt idx="790">
                  <c:v>0.22055913274895203</c:v>
                </c:pt>
                <c:pt idx="791">
                  <c:v>0.22056649883482241</c:v>
                </c:pt>
                <c:pt idx="792">
                  <c:v>0.22057381559324116</c:v>
                </c:pt>
                <c:pt idx="793">
                  <c:v>0.22058108335453264</c:v>
                </c:pt>
                <c:pt idx="794">
                  <c:v>0.22058830244680913</c:v>
                </c:pt>
                <c:pt idx="795">
                  <c:v>0.22059547319598574</c:v>
                </c:pt>
                <c:pt idx="796">
                  <c:v>0.22060259592579504</c:v>
                </c:pt>
                <c:pt idx="797">
                  <c:v>0.22060967095780165</c:v>
                </c:pt>
                <c:pt idx="798">
                  <c:v>0.22061669861141692</c:v>
                </c:pt>
                <c:pt idx="799">
                  <c:v>0.22062367920391313</c:v>
                </c:pt>
                <c:pt idx="800">
                  <c:v>0.22063061305043802</c:v>
                </c:pt>
                <c:pt idx="801">
                  <c:v>0.22063750046402886</c:v>
                </c:pt>
                <c:pt idx="802">
                  <c:v>0.22064434175562669</c:v>
                </c:pt>
                <c:pt idx="803">
                  <c:v>0.22065113723409033</c:v>
                </c:pt>
                <c:pt idx="804">
                  <c:v>0.22065788720621018</c:v>
                </c:pt>
                <c:pt idx="805">
                  <c:v>0.22066459197672239</c:v>
                </c:pt>
                <c:pt idx="806">
                  <c:v>0.22067125184832229</c:v>
                </c:pt>
                <c:pt idx="807">
                  <c:v>0.22067786712167822</c:v>
                </c:pt>
                <c:pt idx="808">
                  <c:v>0.22068443809544513</c:v>
                </c:pt>
                <c:pt idx="809">
                  <c:v>0.22069096506627792</c:v>
                </c:pt>
                <c:pt idx="810">
                  <c:v>0.220697448328845</c:v>
                </c:pt>
                <c:pt idx="811">
                  <c:v>0.22070388817584147</c:v>
                </c:pt>
                <c:pt idx="812">
                  <c:v>0.22071028489800237</c:v>
                </c:pt>
                <c:pt idx="813">
                  <c:v>0.22071663878411588</c:v>
                </c:pt>
                <c:pt idx="814">
                  <c:v>0.22072295012103621</c:v>
                </c:pt>
                <c:pt idx="815">
                  <c:v>0.2207292191936967</c:v>
                </c:pt>
                <c:pt idx="816">
                  <c:v>0.22073544628512257</c:v>
                </c:pt>
                <c:pt idx="817">
                  <c:v>0.22074163167644378</c:v>
                </c:pt>
                <c:pt idx="818">
                  <c:v>0.22074777564690765</c:v>
                </c:pt>
                <c:pt idx="819">
                  <c:v>0.22075387847389152</c:v>
                </c:pt>
                <c:pt idx="820">
                  <c:v>0.22075994043291527</c:v>
                </c:pt>
                <c:pt idx="821">
                  <c:v>0.22076596179765373</c:v>
                </c:pt>
                <c:pt idx="822">
                  <c:v>0.22077194283994905</c:v>
                </c:pt>
                <c:pt idx="823">
                  <c:v>0.22077788382982297</c:v>
                </c:pt>
                <c:pt idx="824">
                  <c:v>0.22078378503548901</c:v>
                </c:pt>
                <c:pt idx="825">
                  <c:v>0.22078964672336462</c:v>
                </c:pt>
                <c:pt idx="826">
                  <c:v>0.2207954691580831</c:v>
                </c:pt>
                <c:pt idx="827">
                  <c:v>0.22080125260250566</c:v>
                </c:pt>
                <c:pt idx="828">
                  <c:v>0.22080699731773323</c:v>
                </c:pt>
                <c:pt idx="829">
                  <c:v>0.2208127035631183</c:v>
                </c:pt>
                <c:pt idx="830">
                  <c:v>0.22081837159627651</c:v>
                </c:pt>
                <c:pt idx="831">
                  <c:v>0.22082400167309843</c:v>
                </c:pt>
                <c:pt idx="832">
                  <c:v>0.22082959404776104</c:v>
                </c:pt>
                <c:pt idx="833">
                  <c:v>0.22083514897273918</c:v>
                </c:pt>
                <c:pt idx="834">
                  <c:v>0.22084066669881697</c:v>
                </c:pt>
                <c:pt idx="835">
                  <c:v>0.22084614747509917</c:v>
                </c:pt>
                <c:pt idx="836">
                  <c:v>0.2208515915490224</c:v>
                </c:pt>
                <c:pt idx="837">
                  <c:v>0.22085699916636625</c:v>
                </c:pt>
                <c:pt idx="838">
                  <c:v>0.22086237057126448</c:v>
                </c:pt>
                <c:pt idx="839">
                  <c:v>0.220867706006216</c:v>
                </c:pt>
                <c:pt idx="840">
                  <c:v>0.22087300571209573</c:v>
                </c:pt>
                <c:pt idx="841">
                  <c:v>0.22087826992816567</c:v>
                </c:pt>
                <c:pt idx="842">
                  <c:v>0.22088349889208553</c:v>
                </c:pt>
                <c:pt idx="843">
                  <c:v>0.22088869283992352</c:v>
                </c:pt>
                <c:pt idx="844">
                  <c:v>0.22089385200616701</c:v>
                </c:pt>
                <c:pt idx="845">
                  <c:v>0.22089897662373309</c:v>
                </c:pt>
                <c:pt idx="846">
                  <c:v>0.22090406692397915</c:v>
                </c:pt>
                <c:pt idx="847">
                  <c:v>0.22090912313671321</c:v>
                </c:pt>
                <c:pt idx="848">
                  <c:v>0.22091414549020444</c:v>
                </c:pt>
                <c:pt idx="849">
                  <c:v>0.22091913421119336</c:v>
                </c:pt>
                <c:pt idx="850">
                  <c:v>0.22092408952490211</c:v>
                </c:pt>
                <c:pt idx="851">
                  <c:v>0.22092901165504461</c:v>
                </c:pt>
                <c:pt idx="852">
                  <c:v>0.22093390082383668</c:v>
                </c:pt>
                <c:pt idx="853">
                  <c:v>0.22093875725200604</c:v>
                </c:pt>
                <c:pt idx="854">
                  <c:v>0.2209435811588023</c:v>
                </c:pt>
                <c:pt idx="855">
                  <c:v>0.22094837276200688</c:v>
                </c:pt>
                <c:pt idx="856">
                  <c:v>0.22095313227794278</c:v>
                </c:pt>
                <c:pt idx="857">
                  <c:v>0.22095785992148437</c:v>
                </c:pt>
                <c:pt idx="858">
                  <c:v>0.22096255590606714</c:v>
                </c:pt>
                <c:pt idx="859">
                  <c:v>0.22096722044369724</c:v>
                </c:pt>
                <c:pt idx="860">
                  <c:v>0.22097185374496117</c:v>
                </c:pt>
                <c:pt idx="861">
                  <c:v>0.22097645601903521</c:v>
                </c:pt>
                <c:pt idx="862">
                  <c:v>0.22098102747369483</c:v>
                </c:pt>
                <c:pt idx="863">
                  <c:v>0.22098556831532415</c:v>
                </c:pt>
                <c:pt idx="864">
                  <c:v>0.22099007874892526</c:v>
                </c:pt>
                <c:pt idx="865">
                  <c:v>0.22099455897812739</c:v>
                </c:pt>
                <c:pt idx="866">
                  <c:v>0.22099900920519619</c:v>
                </c:pt>
                <c:pt idx="867">
                  <c:v>0.22100342963104277</c:v>
                </c:pt>
                <c:pt idx="868">
                  <c:v>0.2210078204552329</c:v>
                </c:pt>
                <c:pt idx="869">
                  <c:v>0.22101218187599589</c:v>
                </c:pt>
                <c:pt idx="870">
                  <c:v>0.22101651409023365</c:v>
                </c:pt>
                <c:pt idx="871">
                  <c:v>0.22102081729352946</c:v>
                </c:pt>
                <c:pt idx="872">
                  <c:v>0.22102509168015691</c:v>
                </c:pt>
                <c:pt idx="873">
                  <c:v>0.22102933744308861</c:v>
                </c:pt>
                <c:pt idx="874">
                  <c:v>0.22103355477400491</c:v>
                </c:pt>
                <c:pt idx="875">
                  <c:v>0.22103774386330258</c:v>
                </c:pt>
                <c:pt idx="876">
                  <c:v>0.22104190490010334</c:v>
                </c:pt>
                <c:pt idx="877">
                  <c:v>0.2210460380722625</c:v>
                </c:pt>
                <c:pt idx="878">
                  <c:v>0.22105014356637737</c:v>
                </c:pt>
                <c:pt idx="879">
                  <c:v>0.22105422156779567</c:v>
                </c:pt>
                <c:pt idx="880">
                  <c:v>0.22105827226062397</c:v>
                </c:pt>
                <c:pt idx="881">
                  <c:v>0.22106229582773596</c:v>
                </c:pt>
                <c:pt idx="882">
                  <c:v>0.22106629245078063</c:v>
                </c:pt>
                <c:pt idx="883">
                  <c:v>0.22107026231019064</c:v>
                </c:pt>
                <c:pt idx="884">
                  <c:v>0.22107420558519031</c:v>
                </c:pt>
                <c:pt idx="885">
                  <c:v>0.22107812245380384</c:v>
                </c:pt>
                <c:pt idx="886">
                  <c:v>0.22108201309286318</c:v>
                </c:pt>
                <c:pt idx="887">
                  <c:v>0.22108587767801618</c:v>
                </c:pt>
                <c:pt idx="888">
                  <c:v>0.22108971638373448</c:v>
                </c:pt>
                <c:pt idx="889">
                  <c:v>0.2210935293833213</c:v>
                </c:pt>
                <c:pt idx="890">
                  <c:v>0.22109731684891934</c:v>
                </c:pt>
                <c:pt idx="891">
                  <c:v>0.22110107895151856</c:v>
                </c:pt>
                <c:pt idx="892">
                  <c:v>0.22110481586096384</c:v>
                </c:pt>
                <c:pt idx="893">
                  <c:v>0.22110852774596271</c:v>
                </c:pt>
                <c:pt idx="894">
                  <c:v>0.2211122147740929</c:v>
                </c:pt>
                <c:pt idx="895">
                  <c:v>0.22111587711180999</c:v>
                </c:pt>
                <c:pt idx="896">
                  <c:v>0.22111951492445489</c:v>
                </c:pt>
                <c:pt idx="897">
                  <c:v>0.22112312837626127</c:v>
                </c:pt>
                <c:pt idx="898">
                  <c:v>0.22112671763036296</c:v>
                </c:pt>
                <c:pt idx="899">
                  <c:v>0.22113028284880143</c:v>
                </c:pt>
                <c:pt idx="900">
                  <c:v>0.221133824192533</c:v>
                </c:pt>
                <c:pt idx="901">
                  <c:v>0.22113734182143607</c:v>
                </c:pt>
                <c:pt idx="902">
                  <c:v>0.22114083589431852</c:v>
                </c:pt>
                <c:pt idx="903">
                  <c:v>0.22114430656892467</c:v>
                </c:pt>
                <c:pt idx="904">
                  <c:v>0.22114775400194253</c:v>
                </c:pt>
                <c:pt idx="905">
                  <c:v>0.22115117834901088</c:v>
                </c:pt>
                <c:pt idx="906">
                  <c:v>0.22115457976472619</c:v>
                </c:pt>
                <c:pt idx="907">
                  <c:v>0.22115795840264968</c:v>
                </c:pt>
                <c:pt idx="908">
                  <c:v>0.22116131441531425</c:v>
                </c:pt>
                <c:pt idx="909">
                  <c:v>0.22116464795423141</c:v>
                </c:pt>
                <c:pt idx="910">
                  <c:v>0.22116795916989795</c:v>
                </c:pt>
                <c:pt idx="911">
                  <c:v>0.22117124821180292</c:v>
                </c:pt>
                <c:pt idx="912">
                  <c:v>0.22117451522843429</c:v>
                </c:pt>
                <c:pt idx="913">
                  <c:v>0.22117776036728565</c:v>
                </c:pt>
                <c:pt idx="914">
                  <c:v>0.22118098377486292</c:v>
                </c:pt>
                <c:pt idx="915">
                  <c:v>0.22118418559669095</c:v>
                </c:pt>
                <c:pt idx="916">
                  <c:v>0.22118736597732006</c:v>
                </c:pt>
                <c:pt idx="917">
                  <c:v>0.22119052506033254</c:v>
                </c:pt>
                <c:pt idx="918">
                  <c:v>0.22119366298834922</c:v>
                </c:pt>
                <c:pt idx="919">
                  <c:v>0.22119677990303582</c:v>
                </c:pt>
                <c:pt idx="920">
                  <c:v>0.22119987594510945</c:v>
                </c:pt>
                <c:pt idx="921">
                  <c:v>0.22120295125434483</c:v>
                </c:pt>
                <c:pt idx="922">
                  <c:v>0.22120600596958073</c:v>
                </c:pt>
                <c:pt idx="923">
                  <c:v>0.22120904022872612</c:v>
                </c:pt>
                <c:pt idx="924">
                  <c:v>0.22121205416876649</c:v>
                </c:pt>
                <c:pt idx="925">
                  <c:v>0.22121504792577001</c:v>
                </c:pt>
                <c:pt idx="926">
                  <c:v>0.2212180216348936</c:v>
                </c:pt>
                <c:pt idx="927">
                  <c:v>0.22122097543038916</c:v>
                </c:pt>
                <c:pt idx="928">
                  <c:v>0.22122390944560952</c:v>
                </c:pt>
                <c:pt idx="929">
                  <c:v>0.22122682381301453</c:v>
                </c:pt>
                <c:pt idx="930">
                  <c:v>0.22122971866417701</c:v>
                </c:pt>
                <c:pt idx="931">
                  <c:v>0.22123259412978871</c:v>
                </c:pt>
                <c:pt idx="932">
                  <c:v>0.22123545033966616</c:v>
                </c:pt>
                <c:pt idx="933">
                  <c:v>0.22123828742275659</c:v>
                </c:pt>
                <c:pt idx="934">
                  <c:v>0.22124110550714368</c:v>
                </c:pt>
                <c:pt idx="935">
                  <c:v>0.22124390472005345</c:v>
                </c:pt>
                <c:pt idx="936">
                  <c:v>0.22124668518785995</c:v>
                </c:pt>
                <c:pt idx="937">
                  <c:v>0.2212494470360909</c:v>
                </c:pt>
                <c:pt idx="938">
                  <c:v>0.22125219038943342</c:v>
                </c:pt>
                <c:pt idx="939">
                  <c:v>0.22125491537173975</c:v>
                </c:pt>
                <c:pt idx="940">
                  <c:v>0.22125762210603261</c:v>
                </c:pt>
                <c:pt idx="941">
                  <c:v>0.22126031071451099</c:v>
                </c:pt>
                <c:pt idx="942">
                  <c:v>0.22126298131855551</c:v>
                </c:pt>
                <c:pt idx="943">
                  <c:v>0.22126563403873398</c:v>
                </c:pt>
                <c:pt idx="944">
                  <c:v>0.22126826899480687</c:v>
                </c:pt>
                <c:pt idx="945">
                  <c:v>0.22127088630573258</c:v>
                </c:pt>
                <c:pt idx="946">
                  <c:v>0.22127348608967293</c:v>
                </c:pt>
                <c:pt idx="947">
                  <c:v>0.22127606846399847</c:v>
                </c:pt>
                <c:pt idx="948">
                  <c:v>0.22127863354529378</c:v>
                </c:pt>
                <c:pt idx="949">
                  <c:v>0.22128118144936271</c:v>
                </c:pt>
                <c:pt idx="950">
                  <c:v>0.22128371229123359</c:v>
                </c:pt>
                <c:pt idx="951">
                  <c:v>0.22128622618516453</c:v>
                </c:pt>
                <c:pt idx="952">
                  <c:v>0.22128872324464843</c:v>
                </c:pt>
                <c:pt idx="953">
                  <c:v>0.22129120358241824</c:v>
                </c:pt>
                <c:pt idx="954">
                  <c:v>0.22129366731045197</c:v>
                </c:pt>
                <c:pt idx="955">
                  <c:v>0.22129611453997772</c:v>
                </c:pt>
                <c:pt idx="956">
                  <c:v>0.22129854538147878</c:v>
                </c:pt>
                <c:pt idx="957">
                  <c:v>0.22130095994469859</c:v>
                </c:pt>
                <c:pt idx="958">
                  <c:v>0.22130335833864567</c:v>
                </c:pt>
                <c:pt idx="959">
                  <c:v>0.22130574067159856</c:v>
                </c:pt>
                <c:pt idx="960">
                  <c:v>0.22130810705111068</c:v>
                </c:pt>
                <c:pt idx="961">
                  <c:v>0.22131045758401524</c:v>
                </c:pt>
                <c:pt idx="962">
                  <c:v>0.22131279237643006</c:v>
                </c:pt>
                <c:pt idx="963">
                  <c:v>0.22131511153376232</c:v>
                </c:pt>
                <c:pt idx="964">
                  <c:v>0.22131741516071329</c:v>
                </c:pt>
                <c:pt idx="965">
                  <c:v>0.22131970336128315</c:v>
                </c:pt>
                <c:pt idx="966">
                  <c:v>0.22132197623877559</c:v>
                </c:pt>
                <c:pt idx="967">
                  <c:v>0.22132423389580258</c:v>
                </c:pt>
                <c:pt idx="968">
                  <c:v>0.22132647643428893</c:v>
                </c:pt>
                <c:pt idx="969">
                  <c:v>0.22132870395547685</c:v>
                </c:pt>
                <c:pt idx="970">
                  <c:v>0.22133091655993062</c:v>
                </c:pt>
                <c:pt idx="971">
                  <c:v>0.22133311434754108</c:v>
                </c:pt>
                <c:pt idx="972">
                  <c:v>0.22133529741753016</c:v>
                </c:pt>
                <c:pt idx="973">
                  <c:v>0.22133746586845529</c:v>
                </c:pt>
                <c:pt idx="974">
                  <c:v>0.22133961979821398</c:v>
                </c:pt>
                <c:pt idx="975">
                  <c:v>0.22134175930404812</c:v>
                </c:pt>
                <c:pt idx="976">
                  <c:v>0.22134388448254838</c:v>
                </c:pt>
                <c:pt idx="977">
                  <c:v>0.22134599542965869</c:v>
                </c:pt>
                <c:pt idx="978">
                  <c:v>0.22134809224068042</c:v>
                </c:pt>
                <c:pt idx="979">
                  <c:v>0.22135017501027673</c:v>
                </c:pt>
                <c:pt idx="980">
                  <c:v>0.22135224383247695</c:v>
                </c:pt>
                <c:pt idx="981">
                  <c:v>0.22135429880068067</c:v>
                </c:pt>
                <c:pt idx="982">
                  <c:v>0.22135634000766202</c:v>
                </c:pt>
                <c:pt idx="983">
                  <c:v>0.22135836754557392</c:v>
                </c:pt>
                <c:pt idx="984">
                  <c:v>0.22136038150595208</c:v>
                </c:pt>
                <c:pt idx="985">
                  <c:v>0.22136238197971936</c:v>
                </c:pt>
                <c:pt idx="986">
                  <c:v>0.22136436905718965</c:v>
                </c:pt>
                <c:pt idx="987">
                  <c:v>0.2213663428280721</c:v>
                </c:pt>
                <c:pt idx="988">
                  <c:v>0.22136830338147509</c:v>
                </c:pt>
                <c:pt idx="989">
                  <c:v>0.22137025080591033</c:v>
                </c:pt>
                <c:pt idx="990">
                  <c:v>0.22137218518929672</c:v>
                </c:pt>
                <c:pt idx="991">
                  <c:v>0.22137410661896451</c:v>
                </c:pt>
                <c:pt idx="992">
                  <c:v>0.22137601518165903</c:v>
                </c:pt>
                <c:pt idx="993">
                  <c:v>0.22137791096354481</c:v>
                </c:pt>
                <c:pt idx="994">
                  <c:v>0.22137979405020927</c:v>
                </c:pt>
                <c:pt idx="995">
                  <c:v>0.22138166452666683</c:v>
                </c:pt>
                <c:pt idx="996">
                  <c:v>0.22138352247736245</c:v>
                </c:pt>
                <c:pt idx="997">
                  <c:v>0.2213853679861757</c:v>
                </c:pt>
                <c:pt idx="998">
                  <c:v>0.22138720113642443</c:v>
                </c:pt>
                <c:pt idx="999">
                  <c:v>0.22138902201086852</c:v>
                </c:pt>
                <c:pt idx="1000">
                  <c:v>0.22139083069171367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96C-42DD-ADCB-A4D884514D36}"/>
            </c:ext>
          </c:extLst>
        </c:ser>
        <c:ser>
          <c:idx val="3"/>
          <c:order val="3"/>
          <c:tx>
            <c:strRef>
              <c:f>Model!$V$24</c:f>
              <c:strCache>
                <c:ptCount val="1"/>
                <c:pt idx="0">
                  <c:v>TL 4: Birds</c:v>
                </c:pt>
              </c:strCache>
            </c:strRef>
          </c:tx>
          <c:spPr>
            <a:ln w="22000">
              <a:solidFill>
                <a:srgbClr val="C0392B"/>
              </a:solidFill>
              <a:prstDash val="solid"/>
            </a:ln>
          </c:spPr>
          <c:marker>
            <c:symbol val="none"/>
          </c:marker>
          <c:xVal>
            <c:numRef>
              <c:f>Model!$R$25:$R$1025</c:f>
              <c:numCache>
                <c:formatCode>0.000</c:formatCode>
                <c:ptCount val="1001"/>
                <c:pt idx="0">
                  <c:v>0</c:v>
                </c:pt>
                <c:pt idx="1">
                  <c:v>0.08</c:v>
                </c:pt>
                <c:pt idx="2">
                  <c:v>0.16</c:v>
                </c:pt>
                <c:pt idx="3">
                  <c:v>0.24</c:v>
                </c:pt>
                <c:pt idx="4">
                  <c:v>0.32</c:v>
                </c:pt>
                <c:pt idx="5">
                  <c:v>0.4</c:v>
                </c:pt>
                <c:pt idx="6">
                  <c:v>0.48000000000000004</c:v>
                </c:pt>
                <c:pt idx="7">
                  <c:v>0.56000000000000005</c:v>
                </c:pt>
                <c:pt idx="8">
                  <c:v>0.64</c:v>
                </c:pt>
                <c:pt idx="9">
                  <c:v>0.72</c:v>
                </c:pt>
                <c:pt idx="10">
                  <c:v>0.79999999999999993</c:v>
                </c:pt>
                <c:pt idx="11">
                  <c:v>0.87999999999999989</c:v>
                </c:pt>
                <c:pt idx="12">
                  <c:v>0.95999999999999985</c:v>
                </c:pt>
                <c:pt idx="13">
                  <c:v>1.0399999999999998</c:v>
                </c:pt>
                <c:pt idx="14">
                  <c:v>1.1199999999999999</c:v>
                </c:pt>
                <c:pt idx="15">
                  <c:v>1.2</c:v>
                </c:pt>
                <c:pt idx="16">
                  <c:v>1.28</c:v>
                </c:pt>
                <c:pt idx="17">
                  <c:v>1.36</c:v>
                </c:pt>
                <c:pt idx="18">
                  <c:v>1.4400000000000002</c:v>
                </c:pt>
                <c:pt idx="19">
                  <c:v>1.5200000000000002</c:v>
                </c:pt>
                <c:pt idx="20">
                  <c:v>1.6000000000000003</c:v>
                </c:pt>
                <c:pt idx="21">
                  <c:v>1.6800000000000004</c:v>
                </c:pt>
                <c:pt idx="22">
                  <c:v>1.7600000000000005</c:v>
                </c:pt>
                <c:pt idx="23">
                  <c:v>1.8400000000000005</c:v>
                </c:pt>
                <c:pt idx="24">
                  <c:v>1.9200000000000006</c:v>
                </c:pt>
                <c:pt idx="25">
                  <c:v>2.0000000000000004</c:v>
                </c:pt>
                <c:pt idx="26">
                  <c:v>2.0800000000000005</c:v>
                </c:pt>
                <c:pt idx="27">
                  <c:v>2.1600000000000006</c:v>
                </c:pt>
                <c:pt idx="28">
                  <c:v>2.2400000000000007</c:v>
                </c:pt>
                <c:pt idx="29">
                  <c:v>2.3200000000000007</c:v>
                </c:pt>
                <c:pt idx="30">
                  <c:v>2.4000000000000008</c:v>
                </c:pt>
                <c:pt idx="31">
                  <c:v>2.4800000000000009</c:v>
                </c:pt>
                <c:pt idx="32">
                  <c:v>2.5600000000000009</c:v>
                </c:pt>
                <c:pt idx="33">
                  <c:v>2.640000000000001</c:v>
                </c:pt>
                <c:pt idx="34">
                  <c:v>2.7200000000000011</c:v>
                </c:pt>
                <c:pt idx="35">
                  <c:v>2.8000000000000012</c:v>
                </c:pt>
                <c:pt idx="36">
                  <c:v>2.8800000000000012</c:v>
                </c:pt>
                <c:pt idx="37">
                  <c:v>2.9600000000000013</c:v>
                </c:pt>
                <c:pt idx="38">
                  <c:v>3.0400000000000014</c:v>
                </c:pt>
                <c:pt idx="39">
                  <c:v>3.1200000000000014</c:v>
                </c:pt>
                <c:pt idx="40">
                  <c:v>3.2000000000000015</c:v>
                </c:pt>
                <c:pt idx="41">
                  <c:v>3.2800000000000016</c:v>
                </c:pt>
                <c:pt idx="42">
                  <c:v>3.3600000000000017</c:v>
                </c:pt>
                <c:pt idx="43">
                  <c:v>3.4400000000000017</c:v>
                </c:pt>
                <c:pt idx="44">
                  <c:v>3.5200000000000018</c:v>
                </c:pt>
                <c:pt idx="45">
                  <c:v>3.6000000000000019</c:v>
                </c:pt>
                <c:pt idx="46">
                  <c:v>3.6800000000000019</c:v>
                </c:pt>
                <c:pt idx="47">
                  <c:v>3.760000000000002</c:v>
                </c:pt>
                <c:pt idx="48">
                  <c:v>3.8400000000000021</c:v>
                </c:pt>
                <c:pt idx="49">
                  <c:v>3.9200000000000021</c:v>
                </c:pt>
                <c:pt idx="50">
                  <c:v>4.0000000000000018</c:v>
                </c:pt>
                <c:pt idx="51">
                  <c:v>4.0800000000000018</c:v>
                </c:pt>
                <c:pt idx="52">
                  <c:v>4.1600000000000019</c:v>
                </c:pt>
                <c:pt idx="53">
                  <c:v>4.240000000000002</c:v>
                </c:pt>
                <c:pt idx="54">
                  <c:v>4.3200000000000021</c:v>
                </c:pt>
                <c:pt idx="55">
                  <c:v>4.4000000000000021</c:v>
                </c:pt>
                <c:pt idx="56">
                  <c:v>4.4800000000000022</c:v>
                </c:pt>
                <c:pt idx="57">
                  <c:v>4.5600000000000023</c:v>
                </c:pt>
                <c:pt idx="58">
                  <c:v>4.6400000000000023</c:v>
                </c:pt>
                <c:pt idx="59">
                  <c:v>4.7200000000000024</c:v>
                </c:pt>
                <c:pt idx="60">
                  <c:v>4.8000000000000025</c:v>
                </c:pt>
                <c:pt idx="61">
                  <c:v>4.8800000000000026</c:v>
                </c:pt>
                <c:pt idx="62">
                  <c:v>4.9600000000000026</c:v>
                </c:pt>
                <c:pt idx="63">
                  <c:v>5.0400000000000027</c:v>
                </c:pt>
                <c:pt idx="64">
                  <c:v>5.1200000000000028</c:v>
                </c:pt>
                <c:pt idx="65">
                  <c:v>5.2000000000000028</c:v>
                </c:pt>
                <c:pt idx="66">
                  <c:v>5.2800000000000029</c:v>
                </c:pt>
                <c:pt idx="67">
                  <c:v>5.360000000000003</c:v>
                </c:pt>
                <c:pt idx="68">
                  <c:v>5.4400000000000031</c:v>
                </c:pt>
                <c:pt idx="69">
                  <c:v>5.5200000000000031</c:v>
                </c:pt>
                <c:pt idx="70">
                  <c:v>5.6000000000000032</c:v>
                </c:pt>
                <c:pt idx="71">
                  <c:v>5.6800000000000033</c:v>
                </c:pt>
                <c:pt idx="72">
                  <c:v>5.7600000000000033</c:v>
                </c:pt>
                <c:pt idx="73">
                  <c:v>5.8400000000000034</c:v>
                </c:pt>
                <c:pt idx="74">
                  <c:v>5.9200000000000035</c:v>
                </c:pt>
                <c:pt idx="75">
                  <c:v>6.0000000000000036</c:v>
                </c:pt>
                <c:pt idx="76">
                  <c:v>6.0800000000000036</c:v>
                </c:pt>
                <c:pt idx="77">
                  <c:v>6.1600000000000037</c:v>
                </c:pt>
                <c:pt idx="78">
                  <c:v>6.2400000000000038</c:v>
                </c:pt>
                <c:pt idx="79">
                  <c:v>6.3200000000000038</c:v>
                </c:pt>
                <c:pt idx="80">
                  <c:v>6.4000000000000039</c:v>
                </c:pt>
                <c:pt idx="81">
                  <c:v>6.480000000000004</c:v>
                </c:pt>
                <c:pt idx="82">
                  <c:v>6.5600000000000041</c:v>
                </c:pt>
                <c:pt idx="83">
                  <c:v>6.6400000000000041</c:v>
                </c:pt>
                <c:pt idx="84">
                  <c:v>6.7200000000000042</c:v>
                </c:pt>
                <c:pt idx="85">
                  <c:v>6.8000000000000043</c:v>
                </c:pt>
                <c:pt idx="86">
                  <c:v>6.8800000000000043</c:v>
                </c:pt>
                <c:pt idx="87">
                  <c:v>6.9600000000000044</c:v>
                </c:pt>
                <c:pt idx="88">
                  <c:v>7.0400000000000045</c:v>
                </c:pt>
                <c:pt idx="89">
                  <c:v>7.1200000000000045</c:v>
                </c:pt>
                <c:pt idx="90">
                  <c:v>7.2000000000000046</c:v>
                </c:pt>
                <c:pt idx="91">
                  <c:v>7.2800000000000047</c:v>
                </c:pt>
                <c:pt idx="92">
                  <c:v>7.3600000000000048</c:v>
                </c:pt>
                <c:pt idx="93">
                  <c:v>7.4400000000000048</c:v>
                </c:pt>
                <c:pt idx="94">
                  <c:v>7.5200000000000049</c:v>
                </c:pt>
                <c:pt idx="95">
                  <c:v>7.600000000000005</c:v>
                </c:pt>
                <c:pt idx="96">
                  <c:v>7.680000000000005</c:v>
                </c:pt>
                <c:pt idx="97">
                  <c:v>7.7600000000000051</c:v>
                </c:pt>
                <c:pt idx="98">
                  <c:v>7.8400000000000052</c:v>
                </c:pt>
                <c:pt idx="99">
                  <c:v>7.9200000000000053</c:v>
                </c:pt>
                <c:pt idx="100">
                  <c:v>8.0000000000000053</c:v>
                </c:pt>
                <c:pt idx="101">
                  <c:v>8.0800000000000054</c:v>
                </c:pt>
                <c:pt idx="102">
                  <c:v>8.1600000000000055</c:v>
                </c:pt>
                <c:pt idx="103">
                  <c:v>8.2400000000000055</c:v>
                </c:pt>
                <c:pt idx="104">
                  <c:v>8.3200000000000056</c:v>
                </c:pt>
                <c:pt idx="105">
                  <c:v>8.4000000000000057</c:v>
                </c:pt>
                <c:pt idx="106">
                  <c:v>8.4800000000000058</c:v>
                </c:pt>
                <c:pt idx="107">
                  <c:v>8.5600000000000058</c:v>
                </c:pt>
                <c:pt idx="108">
                  <c:v>8.6400000000000059</c:v>
                </c:pt>
                <c:pt idx="109">
                  <c:v>8.720000000000006</c:v>
                </c:pt>
                <c:pt idx="110">
                  <c:v>8.800000000000006</c:v>
                </c:pt>
                <c:pt idx="111">
                  <c:v>8.8800000000000061</c:v>
                </c:pt>
                <c:pt idx="112">
                  <c:v>8.9600000000000062</c:v>
                </c:pt>
                <c:pt idx="113">
                  <c:v>9.0400000000000063</c:v>
                </c:pt>
                <c:pt idx="114">
                  <c:v>9.1200000000000063</c:v>
                </c:pt>
                <c:pt idx="115">
                  <c:v>9.2000000000000064</c:v>
                </c:pt>
                <c:pt idx="116">
                  <c:v>9.2800000000000065</c:v>
                </c:pt>
                <c:pt idx="117">
                  <c:v>9.3600000000000065</c:v>
                </c:pt>
                <c:pt idx="118">
                  <c:v>9.4400000000000066</c:v>
                </c:pt>
                <c:pt idx="119">
                  <c:v>9.5200000000000067</c:v>
                </c:pt>
                <c:pt idx="120">
                  <c:v>9.6000000000000068</c:v>
                </c:pt>
                <c:pt idx="121">
                  <c:v>9.6800000000000068</c:v>
                </c:pt>
                <c:pt idx="122">
                  <c:v>9.7600000000000069</c:v>
                </c:pt>
                <c:pt idx="123">
                  <c:v>9.840000000000007</c:v>
                </c:pt>
                <c:pt idx="124">
                  <c:v>9.920000000000007</c:v>
                </c:pt>
                <c:pt idx="125">
                  <c:v>10.000000000000007</c:v>
                </c:pt>
                <c:pt idx="126">
                  <c:v>10.080000000000007</c:v>
                </c:pt>
                <c:pt idx="127">
                  <c:v>10.160000000000007</c:v>
                </c:pt>
                <c:pt idx="128">
                  <c:v>10.240000000000007</c:v>
                </c:pt>
                <c:pt idx="129">
                  <c:v>10.320000000000007</c:v>
                </c:pt>
                <c:pt idx="130">
                  <c:v>10.400000000000007</c:v>
                </c:pt>
                <c:pt idx="131">
                  <c:v>10.480000000000008</c:v>
                </c:pt>
                <c:pt idx="132">
                  <c:v>10.560000000000008</c:v>
                </c:pt>
                <c:pt idx="133">
                  <c:v>10.640000000000008</c:v>
                </c:pt>
                <c:pt idx="134">
                  <c:v>10.720000000000008</c:v>
                </c:pt>
                <c:pt idx="135">
                  <c:v>10.800000000000008</c:v>
                </c:pt>
                <c:pt idx="136">
                  <c:v>10.880000000000008</c:v>
                </c:pt>
                <c:pt idx="137">
                  <c:v>10.960000000000008</c:v>
                </c:pt>
                <c:pt idx="138">
                  <c:v>11.040000000000008</c:v>
                </c:pt>
                <c:pt idx="139">
                  <c:v>11.120000000000008</c:v>
                </c:pt>
                <c:pt idx="140">
                  <c:v>11.200000000000008</c:v>
                </c:pt>
                <c:pt idx="141">
                  <c:v>11.280000000000008</c:v>
                </c:pt>
                <c:pt idx="142">
                  <c:v>11.360000000000008</c:v>
                </c:pt>
                <c:pt idx="143">
                  <c:v>11.440000000000008</c:v>
                </c:pt>
                <c:pt idx="144">
                  <c:v>11.520000000000008</c:v>
                </c:pt>
                <c:pt idx="145">
                  <c:v>11.600000000000009</c:v>
                </c:pt>
                <c:pt idx="146">
                  <c:v>11.680000000000009</c:v>
                </c:pt>
                <c:pt idx="147">
                  <c:v>11.760000000000009</c:v>
                </c:pt>
                <c:pt idx="148">
                  <c:v>11.840000000000009</c:v>
                </c:pt>
                <c:pt idx="149">
                  <c:v>11.920000000000009</c:v>
                </c:pt>
                <c:pt idx="150">
                  <c:v>12.000000000000009</c:v>
                </c:pt>
                <c:pt idx="151">
                  <c:v>12.080000000000009</c:v>
                </c:pt>
                <c:pt idx="152">
                  <c:v>12.160000000000009</c:v>
                </c:pt>
                <c:pt idx="153">
                  <c:v>12.240000000000009</c:v>
                </c:pt>
                <c:pt idx="154">
                  <c:v>12.320000000000009</c:v>
                </c:pt>
                <c:pt idx="155">
                  <c:v>12.400000000000009</c:v>
                </c:pt>
                <c:pt idx="156">
                  <c:v>12.480000000000009</c:v>
                </c:pt>
                <c:pt idx="157">
                  <c:v>12.560000000000009</c:v>
                </c:pt>
                <c:pt idx="158">
                  <c:v>12.640000000000009</c:v>
                </c:pt>
                <c:pt idx="159">
                  <c:v>12.72000000000001</c:v>
                </c:pt>
                <c:pt idx="160">
                  <c:v>12.80000000000001</c:v>
                </c:pt>
                <c:pt idx="161">
                  <c:v>12.88000000000001</c:v>
                </c:pt>
                <c:pt idx="162">
                  <c:v>12.96000000000001</c:v>
                </c:pt>
                <c:pt idx="163">
                  <c:v>13.04000000000001</c:v>
                </c:pt>
                <c:pt idx="164">
                  <c:v>13.12000000000001</c:v>
                </c:pt>
                <c:pt idx="165">
                  <c:v>13.20000000000001</c:v>
                </c:pt>
                <c:pt idx="166">
                  <c:v>13.28000000000001</c:v>
                </c:pt>
                <c:pt idx="167">
                  <c:v>13.36000000000001</c:v>
                </c:pt>
                <c:pt idx="168">
                  <c:v>13.44000000000001</c:v>
                </c:pt>
                <c:pt idx="169">
                  <c:v>13.52000000000001</c:v>
                </c:pt>
                <c:pt idx="170">
                  <c:v>13.60000000000001</c:v>
                </c:pt>
                <c:pt idx="171">
                  <c:v>13.68000000000001</c:v>
                </c:pt>
                <c:pt idx="172">
                  <c:v>13.76000000000001</c:v>
                </c:pt>
                <c:pt idx="173">
                  <c:v>13.840000000000011</c:v>
                </c:pt>
                <c:pt idx="174">
                  <c:v>13.920000000000011</c:v>
                </c:pt>
                <c:pt idx="175">
                  <c:v>14.000000000000011</c:v>
                </c:pt>
                <c:pt idx="176">
                  <c:v>14.080000000000011</c:v>
                </c:pt>
                <c:pt idx="177">
                  <c:v>14.160000000000011</c:v>
                </c:pt>
                <c:pt idx="178">
                  <c:v>14.240000000000011</c:v>
                </c:pt>
                <c:pt idx="179">
                  <c:v>14.320000000000011</c:v>
                </c:pt>
                <c:pt idx="180">
                  <c:v>14.400000000000011</c:v>
                </c:pt>
                <c:pt idx="181">
                  <c:v>14.480000000000011</c:v>
                </c:pt>
                <c:pt idx="182">
                  <c:v>14.560000000000011</c:v>
                </c:pt>
                <c:pt idx="183">
                  <c:v>14.640000000000011</c:v>
                </c:pt>
                <c:pt idx="184">
                  <c:v>14.720000000000011</c:v>
                </c:pt>
                <c:pt idx="185">
                  <c:v>14.800000000000011</c:v>
                </c:pt>
                <c:pt idx="186">
                  <c:v>14.880000000000011</c:v>
                </c:pt>
                <c:pt idx="187">
                  <c:v>14.960000000000012</c:v>
                </c:pt>
                <c:pt idx="188">
                  <c:v>15.040000000000012</c:v>
                </c:pt>
                <c:pt idx="189">
                  <c:v>15.120000000000012</c:v>
                </c:pt>
                <c:pt idx="190">
                  <c:v>15.200000000000012</c:v>
                </c:pt>
                <c:pt idx="191">
                  <c:v>15.280000000000012</c:v>
                </c:pt>
                <c:pt idx="192">
                  <c:v>15.360000000000012</c:v>
                </c:pt>
                <c:pt idx="193">
                  <c:v>15.440000000000012</c:v>
                </c:pt>
                <c:pt idx="194">
                  <c:v>15.520000000000012</c:v>
                </c:pt>
                <c:pt idx="195">
                  <c:v>15.600000000000012</c:v>
                </c:pt>
                <c:pt idx="196">
                  <c:v>15.680000000000012</c:v>
                </c:pt>
                <c:pt idx="197">
                  <c:v>15.760000000000012</c:v>
                </c:pt>
                <c:pt idx="198">
                  <c:v>15.840000000000012</c:v>
                </c:pt>
                <c:pt idx="199">
                  <c:v>15.920000000000012</c:v>
                </c:pt>
                <c:pt idx="200">
                  <c:v>16.000000000000011</c:v>
                </c:pt>
                <c:pt idx="201">
                  <c:v>16.080000000000009</c:v>
                </c:pt>
                <c:pt idx="202">
                  <c:v>16.160000000000007</c:v>
                </c:pt>
                <c:pt idx="203">
                  <c:v>16.240000000000006</c:v>
                </c:pt>
                <c:pt idx="204">
                  <c:v>16.320000000000004</c:v>
                </c:pt>
                <c:pt idx="205">
                  <c:v>16.400000000000002</c:v>
                </c:pt>
                <c:pt idx="206">
                  <c:v>16.48</c:v>
                </c:pt>
                <c:pt idx="207">
                  <c:v>16.559999999999999</c:v>
                </c:pt>
                <c:pt idx="208">
                  <c:v>16.639999999999997</c:v>
                </c:pt>
                <c:pt idx="209">
                  <c:v>16.719999999999995</c:v>
                </c:pt>
                <c:pt idx="210">
                  <c:v>16.799999999999994</c:v>
                </c:pt>
                <c:pt idx="211">
                  <c:v>16.879999999999992</c:v>
                </c:pt>
                <c:pt idx="212">
                  <c:v>16.95999999999999</c:v>
                </c:pt>
                <c:pt idx="213">
                  <c:v>17.039999999999988</c:v>
                </c:pt>
                <c:pt idx="214">
                  <c:v>17.119999999999987</c:v>
                </c:pt>
                <c:pt idx="215">
                  <c:v>17.199999999999985</c:v>
                </c:pt>
                <c:pt idx="216">
                  <c:v>17.279999999999983</c:v>
                </c:pt>
                <c:pt idx="217">
                  <c:v>17.359999999999982</c:v>
                </c:pt>
                <c:pt idx="218">
                  <c:v>17.43999999999998</c:v>
                </c:pt>
                <c:pt idx="219">
                  <c:v>17.519999999999978</c:v>
                </c:pt>
                <c:pt idx="220">
                  <c:v>17.599999999999977</c:v>
                </c:pt>
                <c:pt idx="221">
                  <c:v>17.679999999999975</c:v>
                </c:pt>
                <c:pt idx="222">
                  <c:v>17.759999999999973</c:v>
                </c:pt>
                <c:pt idx="223">
                  <c:v>17.839999999999971</c:v>
                </c:pt>
                <c:pt idx="224">
                  <c:v>17.91999999999997</c:v>
                </c:pt>
                <c:pt idx="225">
                  <c:v>17.999999999999968</c:v>
                </c:pt>
                <c:pt idx="226">
                  <c:v>18.079999999999966</c:v>
                </c:pt>
                <c:pt idx="227">
                  <c:v>18.159999999999965</c:v>
                </c:pt>
                <c:pt idx="228">
                  <c:v>18.239999999999963</c:v>
                </c:pt>
                <c:pt idx="229">
                  <c:v>18.319999999999961</c:v>
                </c:pt>
                <c:pt idx="230">
                  <c:v>18.399999999999959</c:v>
                </c:pt>
                <c:pt idx="231">
                  <c:v>18.479999999999958</c:v>
                </c:pt>
                <c:pt idx="232">
                  <c:v>18.559999999999956</c:v>
                </c:pt>
                <c:pt idx="233">
                  <c:v>18.639999999999954</c:v>
                </c:pt>
                <c:pt idx="234">
                  <c:v>18.719999999999953</c:v>
                </c:pt>
                <c:pt idx="235">
                  <c:v>18.799999999999951</c:v>
                </c:pt>
                <c:pt idx="236">
                  <c:v>18.879999999999949</c:v>
                </c:pt>
                <c:pt idx="237">
                  <c:v>18.959999999999948</c:v>
                </c:pt>
                <c:pt idx="238">
                  <c:v>19.039999999999946</c:v>
                </c:pt>
                <c:pt idx="239">
                  <c:v>19.119999999999944</c:v>
                </c:pt>
                <c:pt idx="240">
                  <c:v>19.199999999999942</c:v>
                </c:pt>
                <c:pt idx="241">
                  <c:v>19.279999999999941</c:v>
                </c:pt>
                <c:pt idx="242">
                  <c:v>19.359999999999939</c:v>
                </c:pt>
                <c:pt idx="243">
                  <c:v>19.439999999999937</c:v>
                </c:pt>
                <c:pt idx="244">
                  <c:v>19.519999999999936</c:v>
                </c:pt>
                <c:pt idx="245">
                  <c:v>19.599999999999934</c:v>
                </c:pt>
                <c:pt idx="246">
                  <c:v>19.679999999999932</c:v>
                </c:pt>
                <c:pt idx="247">
                  <c:v>19.759999999999931</c:v>
                </c:pt>
                <c:pt idx="248">
                  <c:v>19.839999999999929</c:v>
                </c:pt>
                <c:pt idx="249">
                  <c:v>19.919999999999927</c:v>
                </c:pt>
                <c:pt idx="250">
                  <c:v>19.999999999999925</c:v>
                </c:pt>
                <c:pt idx="251">
                  <c:v>20.079999999999924</c:v>
                </c:pt>
                <c:pt idx="252">
                  <c:v>20.159999999999922</c:v>
                </c:pt>
                <c:pt idx="253">
                  <c:v>20.23999999999992</c:v>
                </c:pt>
                <c:pt idx="254">
                  <c:v>20.319999999999919</c:v>
                </c:pt>
                <c:pt idx="255">
                  <c:v>20.399999999999917</c:v>
                </c:pt>
                <c:pt idx="256">
                  <c:v>20.479999999999915</c:v>
                </c:pt>
                <c:pt idx="257">
                  <c:v>20.559999999999913</c:v>
                </c:pt>
                <c:pt idx="258">
                  <c:v>20.639999999999912</c:v>
                </c:pt>
                <c:pt idx="259">
                  <c:v>20.71999999999991</c:v>
                </c:pt>
                <c:pt idx="260">
                  <c:v>20.799999999999908</c:v>
                </c:pt>
                <c:pt idx="261">
                  <c:v>20.879999999999907</c:v>
                </c:pt>
                <c:pt idx="262">
                  <c:v>20.959999999999905</c:v>
                </c:pt>
                <c:pt idx="263">
                  <c:v>21.039999999999903</c:v>
                </c:pt>
                <c:pt idx="264">
                  <c:v>21.119999999999902</c:v>
                </c:pt>
                <c:pt idx="265">
                  <c:v>21.1999999999999</c:v>
                </c:pt>
                <c:pt idx="266">
                  <c:v>21.279999999999898</c:v>
                </c:pt>
                <c:pt idx="267">
                  <c:v>21.359999999999896</c:v>
                </c:pt>
                <c:pt idx="268">
                  <c:v>21.439999999999895</c:v>
                </c:pt>
                <c:pt idx="269">
                  <c:v>21.519999999999893</c:v>
                </c:pt>
                <c:pt idx="270">
                  <c:v>21.599999999999891</c:v>
                </c:pt>
                <c:pt idx="271">
                  <c:v>21.67999999999989</c:v>
                </c:pt>
                <c:pt idx="272">
                  <c:v>21.759999999999888</c:v>
                </c:pt>
                <c:pt idx="273">
                  <c:v>21.839999999999886</c:v>
                </c:pt>
                <c:pt idx="274">
                  <c:v>21.919999999999884</c:v>
                </c:pt>
                <c:pt idx="275">
                  <c:v>21.999999999999883</c:v>
                </c:pt>
                <c:pt idx="276">
                  <c:v>22.079999999999881</c:v>
                </c:pt>
                <c:pt idx="277">
                  <c:v>22.159999999999879</c:v>
                </c:pt>
                <c:pt idx="278">
                  <c:v>22.239999999999878</c:v>
                </c:pt>
                <c:pt idx="279">
                  <c:v>22.319999999999876</c:v>
                </c:pt>
                <c:pt idx="280">
                  <c:v>22.399999999999874</c:v>
                </c:pt>
                <c:pt idx="281">
                  <c:v>22.479999999999873</c:v>
                </c:pt>
                <c:pt idx="282">
                  <c:v>22.559999999999871</c:v>
                </c:pt>
                <c:pt idx="283">
                  <c:v>22.639999999999869</c:v>
                </c:pt>
                <c:pt idx="284">
                  <c:v>22.719999999999867</c:v>
                </c:pt>
                <c:pt idx="285">
                  <c:v>22.799999999999866</c:v>
                </c:pt>
                <c:pt idx="286">
                  <c:v>22.879999999999864</c:v>
                </c:pt>
                <c:pt idx="287">
                  <c:v>22.959999999999862</c:v>
                </c:pt>
                <c:pt idx="288">
                  <c:v>23.039999999999861</c:v>
                </c:pt>
                <c:pt idx="289">
                  <c:v>23.119999999999859</c:v>
                </c:pt>
                <c:pt idx="290">
                  <c:v>23.199999999999857</c:v>
                </c:pt>
                <c:pt idx="291">
                  <c:v>23.279999999999855</c:v>
                </c:pt>
                <c:pt idx="292">
                  <c:v>23.359999999999854</c:v>
                </c:pt>
                <c:pt idx="293">
                  <c:v>23.439999999999852</c:v>
                </c:pt>
                <c:pt idx="294">
                  <c:v>23.51999999999985</c:v>
                </c:pt>
                <c:pt idx="295">
                  <c:v>23.599999999999849</c:v>
                </c:pt>
                <c:pt idx="296">
                  <c:v>23.679999999999847</c:v>
                </c:pt>
                <c:pt idx="297">
                  <c:v>23.759999999999845</c:v>
                </c:pt>
                <c:pt idx="298">
                  <c:v>23.839999999999844</c:v>
                </c:pt>
                <c:pt idx="299">
                  <c:v>23.919999999999842</c:v>
                </c:pt>
                <c:pt idx="300">
                  <c:v>23.99999999999984</c:v>
                </c:pt>
                <c:pt idx="301">
                  <c:v>24.079999999999838</c:v>
                </c:pt>
                <c:pt idx="302">
                  <c:v>24.159999999999837</c:v>
                </c:pt>
                <c:pt idx="303">
                  <c:v>24.239999999999835</c:v>
                </c:pt>
                <c:pt idx="304">
                  <c:v>24.319999999999833</c:v>
                </c:pt>
                <c:pt idx="305">
                  <c:v>24.399999999999832</c:v>
                </c:pt>
                <c:pt idx="306">
                  <c:v>24.47999999999983</c:v>
                </c:pt>
                <c:pt idx="307">
                  <c:v>24.559999999999828</c:v>
                </c:pt>
                <c:pt idx="308">
                  <c:v>24.639999999999826</c:v>
                </c:pt>
                <c:pt idx="309">
                  <c:v>24.719999999999825</c:v>
                </c:pt>
                <c:pt idx="310">
                  <c:v>24.799999999999823</c:v>
                </c:pt>
                <c:pt idx="311">
                  <c:v>24.879999999999821</c:v>
                </c:pt>
                <c:pt idx="312">
                  <c:v>24.95999999999982</c:v>
                </c:pt>
                <c:pt idx="313">
                  <c:v>25.039999999999818</c:v>
                </c:pt>
                <c:pt idx="314">
                  <c:v>25.119999999999816</c:v>
                </c:pt>
                <c:pt idx="315">
                  <c:v>25.199999999999815</c:v>
                </c:pt>
                <c:pt idx="316">
                  <c:v>25.279999999999813</c:v>
                </c:pt>
                <c:pt idx="317">
                  <c:v>25.359999999999811</c:v>
                </c:pt>
                <c:pt idx="318">
                  <c:v>25.439999999999809</c:v>
                </c:pt>
                <c:pt idx="319">
                  <c:v>25.519999999999808</c:v>
                </c:pt>
                <c:pt idx="320">
                  <c:v>25.599999999999806</c:v>
                </c:pt>
                <c:pt idx="321">
                  <c:v>25.679999999999804</c:v>
                </c:pt>
                <c:pt idx="322">
                  <c:v>25.759999999999803</c:v>
                </c:pt>
                <c:pt idx="323">
                  <c:v>25.839999999999801</c:v>
                </c:pt>
                <c:pt idx="324">
                  <c:v>25.919999999999799</c:v>
                </c:pt>
                <c:pt idx="325">
                  <c:v>25.999999999999797</c:v>
                </c:pt>
                <c:pt idx="326">
                  <c:v>26.079999999999796</c:v>
                </c:pt>
                <c:pt idx="327">
                  <c:v>26.159999999999794</c:v>
                </c:pt>
                <c:pt idx="328">
                  <c:v>26.239999999999792</c:v>
                </c:pt>
                <c:pt idx="329">
                  <c:v>26.319999999999791</c:v>
                </c:pt>
                <c:pt idx="330">
                  <c:v>26.399999999999789</c:v>
                </c:pt>
                <c:pt idx="331">
                  <c:v>26.479999999999787</c:v>
                </c:pt>
                <c:pt idx="332">
                  <c:v>26.559999999999786</c:v>
                </c:pt>
                <c:pt idx="333">
                  <c:v>26.639999999999784</c:v>
                </c:pt>
                <c:pt idx="334">
                  <c:v>26.719999999999782</c:v>
                </c:pt>
                <c:pt idx="335">
                  <c:v>26.79999999999978</c:v>
                </c:pt>
                <c:pt idx="336">
                  <c:v>26.879999999999779</c:v>
                </c:pt>
                <c:pt idx="337">
                  <c:v>26.959999999999777</c:v>
                </c:pt>
                <c:pt idx="338">
                  <c:v>27.039999999999775</c:v>
                </c:pt>
                <c:pt idx="339">
                  <c:v>27.119999999999774</c:v>
                </c:pt>
                <c:pt idx="340">
                  <c:v>27.199999999999772</c:v>
                </c:pt>
                <c:pt idx="341">
                  <c:v>27.27999999999977</c:v>
                </c:pt>
                <c:pt idx="342">
                  <c:v>27.359999999999769</c:v>
                </c:pt>
                <c:pt idx="343">
                  <c:v>27.439999999999767</c:v>
                </c:pt>
                <c:pt idx="344">
                  <c:v>27.519999999999765</c:v>
                </c:pt>
                <c:pt idx="345">
                  <c:v>27.599999999999763</c:v>
                </c:pt>
                <c:pt idx="346">
                  <c:v>27.679999999999762</c:v>
                </c:pt>
                <c:pt idx="347">
                  <c:v>27.75999999999976</c:v>
                </c:pt>
                <c:pt idx="348">
                  <c:v>27.839999999999758</c:v>
                </c:pt>
                <c:pt idx="349">
                  <c:v>27.919999999999757</c:v>
                </c:pt>
                <c:pt idx="350">
                  <c:v>27.999999999999755</c:v>
                </c:pt>
                <c:pt idx="351">
                  <c:v>28.079999999999753</c:v>
                </c:pt>
                <c:pt idx="352">
                  <c:v>28.159999999999751</c:v>
                </c:pt>
                <c:pt idx="353">
                  <c:v>28.23999999999975</c:v>
                </c:pt>
                <c:pt idx="354">
                  <c:v>28.319999999999748</c:v>
                </c:pt>
                <c:pt idx="355">
                  <c:v>28.399999999999746</c:v>
                </c:pt>
                <c:pt idx="356">
                  <c:v>28.479999999999745</c:v>
                </c:pt>
                <c:pt idx="357">
                  <c:v>28.559999999999743</c:v>
                </c:pt>
                <c:pt idx="358">
                  <c:v>28.639999999999741</c:v>
                </c:pt>
                <c:pt idx="359">
                  <c:v>28.71999999999974</c:v>
                </c:pt>
                <c:pt idx="360">
                  <c:v>28.799999999999738</c:v>
                </c:pt>
                <c:pt idx="361">
                  <c:v>28.879999999999736</c:v>
                </c:pt>
                <c:pt idx="362">
                  <c:v>28.959999999999734</c:v>
                </c:pt>
                <c:pt idx="363">
                  <c:v>29.039999999999733</c:v>
                </c:pt>
                <c:pt idx="364">
                  <c:v>29.119999999999731</c:v>
                </c:pt>
                <c:pt idx="365">
                  <c:v>29.199999999999729</c:v>
                </c:pt>
                <c:pt idx="366">
                  <c:v>29.279999999999728</c:v>
                </c:pt>
                <c:pt idx="367">
                  <c:v>29.359999999999726</c:v>
                </c:pt>
                <c:pt idx="368">
                  <c:v>29.439999999999724</c:v>
                </c:pt>
                <c:pt idx="369">
                  <c:v>29.519999999999722</c:v>
                </c:pt>
                <c:pt idx="370">
                  <c:v>29.599999999999721</c:v>
                </c:pt>
                <c:pt idx="371">
                  <c:v>29.679999999999719</c:v>
                </c:pt>
                <c:pt idx="372">
                  <c:v>29.759999999999717</c:v>
                </c:pt>
                <c:pt idx="373">
                  <c:v>29.839999999999716</c:v>
                </c:pt>
                <c:pt idx="374">
                  <c:v>29.919999999999714</c:v>
                </c:pt>
                <c:pt idx="375">
                  <c:v>29.999999999999712</c:v>
                </c:pt>
                <c:pt idx="376">
                  <c:v>30.079999999999711</c:v>
                </c:pt>
                <c:pt idx="377">
                  <c:v>30.159999999999709</c:v>
                </c:pt>
                <c:pt idx="378">
                  <c:v>30.239999999999707</c:v>
                </c:pt>
                <c:pt idx="379">
                  <c:v>30.319999999999705</c:v>
                </c:pt>
                <c:pt idx="380">
                  <c:v>30.399999999999704</c:v>
                </c:pt>
                <c:pt idx="381">
                  <c:v>30.479999999999702</c:v>
                </c:pt>
                <c:pt idx="382">
                  <c:v>30.5599999999997</c:v>
                </c:pt>
                <c:pt idx="383">
                  <c:v>30.639999999999699</c:v>
                </c:pt>
                <c:pt idx="384">
                  <c:v>30.719999999999697</c:v>
                </c:pt>
                <c:pt idx="385">
                  <c:v>30.799999999999695</c:v>
                </c:pt>
                <c:pt idx="386">
                  <c:v>30.879999999999693</c:v>
                </c:pt>
                <c:pt idx="387">
                  <c:v>30.959999999999692</c:v>
                </c:pt>
                <c:pt idx="388">
                  <c:v>31.03999999999969</c:v>
                </c:pt>
                <c:pt idx="389">
                  <c:v>31.119999999999688</c:v>
                </c:pt>
                <c:pt idx="390">
                  <c:v>31.199999999999687</c:v>
                </c:pt>
                <c:pt idx="391">
                  <c:v>31.279999999999685</c:v>
                </c:pt>
                <c:pt idx="392">
                  <c:v>31.359999999999683</c:v>
                </c:pt>
                <c:pt idx="393">
                  <c:v>31.439999999999682</c:v>
                </c:pt>
                <c:pt idx="394">
                  <c:v>31.51999999999968</c:v>
                </c:pt>
                <c:pt idx="395">
                  <c:v>31.599999999999678</c:v>
                </c:pt>
                <c:pt idx="396">
                  <c:v>31.679999999999676</c:v>
                </c:pt>
                <c:pt idx="397">
                  <c:v>31.759999999999675</c:v>
                </c:pt>
                <c:pt idx="398">
                  <c:v>31.839999999999673</c:v>
                </c:pt>
                <c:pt idx="399">
                  <c:v>31.919999999999671</c:v>
                </c:pt>
                <c:pt idx="400">
                  <c:v>31.99999999999967</c:v>
                </c:pt>
                <c:pt idx="401">
                  <c:v>32.079999999999671</c:v>
                </c:pt>
                <c:pt idx="402">
                  <c:v>32.15999999999967</c:v>
                </c:pt>
                <c:pt idx="403">
                  <c:v>32.239999999999668</c:v>
                </c:pt>
                <c:pt idx="404">
                  <c:v>32.319999999999666</c:v>
                </c:pt>
                <c:pt idx="405">
                  <c:v>32.399999999999665</c:v>
                </c:pt>
                <c:pt idx="406">
                  <c:v>32.479999999999663</c:v>
                </c:pt>
                <c:pt idx="407">
                  <c:v>32.559999999999661</c:v>
                </c:pt>
                <c:pt idx="408">
                  <c:v>32.63999999999966</c:v>
                </c:pt>
                <c:pt idx="409">
                  <c:v>32.719999999999658</c:v>
                </c:pt>
                <c:pt idx="410">
                  <c:v>32.799999999999656</c:v>
                </c:pt>
                <c:pt idx="411">
                  <c:v>32.879999999999654</c:v>
                </c:pt>
                <c:pt idx="412">
                  <c:v>32.959999999999653</c:v>
                </c:pt>
                <c:pt idx="413">
                  <c:v>33.039999999999651</c:v>
                </c:pt>
                <c:pt idx="414">
                  <c:v>33.119999999999649</c:v>
                </c:pt>
                <c:pt idx="415">
                  <c:v>33.199999999999648</c:v>
                </c:pt>
                <c:pt idx="416">
                  <c:v>33.279999999999646</c:v>
                </c:pt>
                <c:pt idx="417">
                  <c:v>33.359999999999644</c:v>
                </c:pt>
                <c:pt idx="418">
                  <c:v>33.439999999999642</c:v>
                </c:pt>
                <c:pt idx="419">
                  <c:v>33.519999999999641</c:v>
                </c:pt>
                <c:pt idx="420">
                  <c:v>33.599999999999639</c:v>
                </c:pt>
                <c:pt idx="421">
                  <c:v>33.679999999999637</c:v>
                </c:pt>
                <c:pt idx="422">
                  <c:v>33.759999999999636</c:v>
                </c:pt>
                <c:pt idx="423">
                  <c:v>33.839999999999634</c:v>
                </c:pt>
                <c:pt idx="424">
                  <c:v>33.919999999999632</c:v>
                </c:pt>
                <c:pt idx="425">
                  <c:v>33.999999999999631</c:v>
                </c:pt>
                <c:pt idx="426">
                  <c:v>34.079999999999629</c:v>
                </c:pt>
                <c:pt idx="427">
                  <c:v>34.159999999999627</c:v>
                </c:pt>
                <c:pt idx="428">
                  <c:v>34.239999999999625</c:v>
                </c:pt>
                <c:pt idx="429">
                  <c:v>34.319999999999624</c:v>
                </c:pt>
                <c:pt idx="430">
                  <c:v>34.399999999999622</c:v>
                </c:pt>
                <c:pt idx="431">
                  <c:v>34.47999999999962</c:v>
                </c:pt>
                <c:pt idx="432">
                  <c:v>34.559999999999619</c:v>
                </c:pt>
                <c:pt idx="433">
                  <c:v>34.639999999999617</c:v>
                </c:pt>
                <c:pt idx="434">
                  <c:v>34.719999999999615</c:v>
                </c:pt>
                <c:pt idx="435">
                  <c:v>34.799999999999613</c:v>
                </c:pt>
                <c:pt idx="436">
                  <c:v>34.879999999999612</c:v>
                </c:pt>
                <c:pt idx="437">
                  <c:v>34.95999999999961</c:v>
                </c:pt>
                <c:pt idx="438">
                  <c:v>35.039999999999608</c:v>
                </c:pt>
                <c:pt idx="439">
                  <c:v>35.119999999999607</c:v>
                </c:pt>
                <c:pt idx="440">
                  <c:v>35.199999999999605</c:v>
                </c:pt>
                <c:pt idx="441">
                  <c:v>35.279999999999603</c:v>
                </c:pt>
                <c:pt idx="442">
                  <c:v>35.359999999999602</c:v>
                </c:pt>
                <c:pt idx="443">
                  <c:v>35.4399999999996</c:v>
                </c:pt>
                <c:pt idx="444">
                  <c:v>35.519999999999598</c:v>
                </c:pt>
                <c:pt idx="445">
                  <c:v>35.599999999999596</c:v>
                </c:pt>
                <c:pt idx="446">
                  <c:v>35.679999999999595</c:v>
                </c:pt>
                <c:pt idx="447">
                  <c:v>35.759999999999593</c:v>
                </c:pt>
                <c:pt idx="448">
                  <c:v>35.839999999999591</c:v>
                </c:pt>
                <c:pt idx="449">
                  <c:v>35.91999999999959</c:v>
                </c:pt>
                <c:pt idx="450">
                  <c:v>35.999999999999588</c:v>
                </c:pt>
                <c:pt idx="451">
                  <c:v>36.079999999999586</c:v>
                </c:pt>
                <c:pt idx="452">
                  <c:v>36.159999999999584</c:v>
                </c:pt>
                <c:pt idx="453">
                  <c:v>36.239999999999583</c:v>
                </c:pt>
                <c:pt idx="454">
                  <c:v>36.319999999999581</c:v>
                </c:pt>
                <c:pt idx="455">
                  <c:v>36.399999999999579</c:v>
                </c:pt>
                <c:pt idx="456">
                  <c:v>36.479999999999578</c:v>
                </c:pt>
                <c:pt idx="457">
                  <c:v>36.559999999999576</c:v>
                </c:pt>
                <c:pt idx="458">
                  <c:v>36.639999999999574</c:v>
                </c:pt>
                <c:pt idx="459">
                  <c:v>36.719999999999573</c:v>
                </c:pt>
                <c:pt idx="460">
                  <c:v>36.799999999999571</c:v>
                </c:pt>
                <c:pt idx="461">
                  <c:v>36.879999999999569</c:v>
                </c:pt>
                <c:pt idx="462">
                  <c:v>36.959999999999567</c:v>
                </c:pt>
                <c:pt idx="463">
                  <c:v>37.039999999999566</c:v>
                </c:pt>
                <c:pt idx="464">
                  <c:v>37.119999999999564</c:v>
                </c:pt>
                <c:pt idx="465">
                  <c:v>37.199999999999562</c:v>
                </c:pt>
                <c:pt idx="466">
                  <c:v>37.279999999999561</c:v>
                </c:pt>
                <c:pt idx="467">
                  <c:v>37.359999999999559</c:v>
                </c:pt>
                <c:pt idx="468">
                  <c:v>37.439999999999557</c:v>
                </c:pt>
                <c:pt idx="469">
                  <c:v>37.519999999999555</c:v>
                </c:pt>
                <c:pt idx="470">
                  <c:v>37.599999999999554</c:v>
                </c:pt>
                <c:pt idx="471">
                  <c:v>37.679999999999552</c:v>
                </c:pt>
                <c:pt idx="472">
                  <c:v>37.75999999999955</c:v>
                </c:pt>
                <c:pt idx="473">
                  <c:v>37.839999999999549</c:v>
                </c:pt>
                <c:pt idx="474">
                  <c:v>37.919999999999547</c:v>
                </c:pt>
                <c:pt idx="475">
                  <c:v>37.999999999999545</c:v>
                </c:pt>
                <c:pt idx="476">
                  <c:v>38.079999999999544</c:v>
                </c:pt>
                <c:pt idx="477">
                  <c:v>38.159999999999542</c:v>
                </c:pt>
                <c:pt idx="478">
                  <c:v>38.23999999999954</c:v>
                </c:pt>
                <c:pt idx="479">
                  <c:v>38.319999999999538</c:v>
                </c:pt>
                <c:pt idx="480">
                  <c:v>38.399999999999537</c:v>
                </c:pt>
                <c:pt idx="481">
                  <c:v>38.479999999999535</c:v>
                </c:pt>
                <c:pt idx="482">
                  <c:v>38.559999999999533</c:v>
                </c:pt>
                <c:pt idx="483">
                  <c:v>38.639999999999532</c:v>
                </c:pt>
                <c:pt idx="484">
                  <c:v>38.71999999999953</c:v>
                </c:pt>
                <c:pt idx="485">
                  <c:v>38.799999999999528</c:v>
                </c:pt>
                <c:pt idx="486">
                  <c:v>38.879999999999526</c:v>
                </c:pt>
                <c:pt idx="487">
                  <c:v>38.959999999999525</c:v>
                </c:pt>
                <c:pt idx="488">
                  <c:v>39.039999999999523</c:v>
                </c:pt>
                <c:pt idx="489">
                  <c:v>39.119999999999521</c:v>
                </c:pt>
                <c:pt idx="490">
                  <c:v>39.19999999999952</c:v>
                </c:pt>
                <c:pt idx="491">
                  <c:v>39.279999999999518</c:v>
                </c:pt>
                <c:pt idx="492">
                  <c:v>39.359999999999516</c:v>
                </c:pt>
                <c:pt idx="493">
                  <c:v>39.439999999999515</c:v>
                </c:pt>
                <c:pt idx="494">
                  <c:v>39.519999999999513</c:v>
                </c:pt>
                <c:pt idx="495">
                  <c:v>39.599999999999511</c:v>
                </c:pt>
                <c:pt idx="496">
                  <c:v>39.679999999999509</c:v>
                </c:pt>
                <c:pt idx="497">
                  <c:v>39.759999999999508</c:v>
                </c:pt>
                <c:pt idx="498">
                  <c:v>39.839999999999506</c:v>
                </c:pt>
                <c:pt idx="499">
                  <c:v>39.919999999999504</c:v>
                </c:pt>
                <c:pt idx="500">
                  <c:v>39.999999999999503</c:v>
                </c:pt>
                <c:pt idx="501">
                  <c:v>40.079999999999501</c:v>
                </c:pt>
                <c:pt idx="502">
                  <c:v>40.159999999999499</c:v>
                </c:pt>
                <c:pt idx="503">
                  <c:v>40.239999999999498</c:v>
                </c:pt>
                <c:pt idx="504">
                  <c:v>40.319999999999496</c:v>
                </c:pt>
                <c:pt idx="505">
                  <c:v>40.399999999999494</c:v>
                </c:pt>
                <c:pt idx="506">
                  <c:v>40.479999999999492</c:v>
                </c:pt>
                <c:pt idx="507">
                  <c:v>40.559999999999491</c:v>
                </c:pt>
                <c:pt idx="508">
                  <c:v>40.639999999999489</c:v>
                </c:pt>
                <c:pt idx="509">
                  <c:v>40.719999999999487</c:v>
                </c:pt>
                <c:pt idx="510">
                  <c:v>40.799999999999486</c:v>
                </c:pt>
                <c:pt idx="511">
                  <c:v>40.879999999999484</c:v>
                </c:pt>
                <c:pt idx="512">
                  <c:v>40.959999999999482</c:v>
                </c:pt>
                <c:pt idx="513">
                  <c:v>41.03999999999948</c:v>
                </c:pt>
                <c:pt idx="514">
                  <c:v>41.119999999999479</c:v>
                </c:pt>
                <c:pt idx="515">
                  <c:v>41.199999999999477</c:v>
                </c:pt>
                <c:pt idx="516">
                  <c:v>41.279999999999475</c:v>
                </c:pt>
                <c:pt idx="517">
                  <c:v>41.359999999999474</c:v>
                </c:pt>
                <c:pt idx="518">
                  <c:v>41.439999999999472</c:v>
                </c:pt>
                <c:pt idx="519">
                  <c:v>41.51999999999947</c:v>
                </c:pt>
                <c:pt idx="520">
                  <c:v>41.599999999999469</c:v>
                </c:pt>
                <c:pt idx="521">
                  <c:v>41.679999999999467</c:v>
                </c:pt>
                <c:pt idx="522">
                  <c:v>41.759999999999465</c:v>
                </c:pt>
                <c:pt idx="523">
                  <c:v>41.839999999999463</c:v>
                </c:pt>
                <c:pt idx="524">
                  <c:v>41.919999999999462</c:v>
                </c:pt>
                <c:pt idx="525">
                  <c:v>41.99999999999946</c:v>
                </c:pt>
                <c:pt idx="526">
                  <c:v>42.079999999999458</c:v>
                </c:pt>
                <c:pt idx="527">
                  <c:v>42.159999999999457</c:v>
                </c:pt>
                <c:pt idx="528">
                  <c:v>42.239999999999455</c:v>
                </c:pt>
                <c:pt idx="529">
                  <c:v>42.319999999999453</c:v>
                </c:pt>
                <c:pt idx="530">
                  <c:v>42.399999999999451</c:v>
                </c:pt>
                <c:pt idx="531">
                  <c:v>42.47999999999945</c:v>
                </c:pt>
                <c:pt idx="532">
                  <c:v>42.559999999999448</c:v>
                </c:pt>
                <c:pt idx="533">
                  <c:v>42.639999999999446</c:v>
                </c:pt>
                <c:pt idx="534">
                  <c:v>42.719999999999445</c:v>
                </c:pt>
                <c:pt idx="535">
                  <c:v>42.799999999999443</c:v>
                </c:pt>
                <c:pt idx="536">
                  <c:v>42.879999999999441</c:v>
                </c:pt>
                <c:pt idx="537">
                  <c:v>42.95999999999944</c:v>
                </c:pt>
                <c:pt idx="538">
                  <c:v>43.039999999999438</c:v>
                </c:pt>
                <c:pt idx="539">
                  <c:v>43.119999999999436</c:v>
                </c:pt>
                <c:pt idx="540">
                  <c:v>43.199999999999434</c:v>
                </c:pt>
                <c:pt idx="541">
                  <c:v>43.279999999999433</c:v>
                </c:pt>
                <c:pt idx="542">
                  <c:v>43.359999999999431</c:v>
                </c:pt>
                <c:pt idx="543">
                  <c:v>43.439999999999429</c:v>
                </c:pt>
                <c:pt idx="544">
                  <c:v>43.519999999999428</c:v>
                </c:pt>
                <c:pt idx="545">
                  <c:v>43.599999999999426</c:v>
                </c:pt>
                <c:pt idx="546">
                  <c:v>43.679999999999424</c:v>
                </c:pt>
                <c:pt idx="547">
                  <c:v>43.759999999999422</c:v>
                </c:pt>
                <c:pt idx="548">
                  <c:v>43.839999999999421</c:v>
                </c:pt>
                <c:pt idx="549">
                  <c:v>43.919999999999419</c:v>
                </c:pt>
                <c:pt idx="550">
                  <c:v>43.999999999999417</c:v>
                </c:pt>
                <c:pt idx="551">
                  <c:v>44.079999999999416</c:v>
                </c:pt>
                <c:pt idx="552">
                  <c:v>44.159999999999414</c:v>
                </c:pt>
                <c:pt idx="553">
                  <c:v>44.239999999999412</c:v>
                </c:pt>
                <c:pt idx="554">
                  <c:v>44.319999999999411</c:v>
                </c:pt>
                <c:pt idx="555">
                  <c:v>44.399999999999409</c:v>
                </c:pt>
                <c:pt idx="556">
                  <c:v>44.479999999999407</c:v>
                </c:pt>
                <c:pt idx="557">
                  <c:v>44.559999999999405</c:v>
                </c:pt>
                <c:pt idx="558">
                  <c:v>44.639999999999404</c:v>
                </c:pt>
                <c:pt idx="559">
                  <c:v>44.719999999999402</c:v>
                </c:pt>
                <c:pt idx="560">
                  <c:v>44.7999999999994</c:v>
                </c:pt>
                <c:pt idx="561">
                  <c:v>44.879999999999399</c:v>
                </c:pt>
                <c:pt idx="562">
                  <c:v>44.959999999999397</c:v>
                </c:pt>
                <c:pt idx="563">
                  <c:v>45.039999999999395</c:v>
                </c:pt>
                <c:pt idx="564">
                  <c:v>45.119999999999393</c:v>
                </c:pt>
                <c:pt idx="565">
                  <c:v>45.199999999999392</c:v>
                </c:pt>
                <c:pt idx="566">
                  <c:v>45.27999999999939</c:v>
                </c:pt>
                <c:pt idx="567">
                  <c:v>45.359999999999388</c:v>
                </c:pt>
                <c:pt idx="568">
                  <c:v>45.439999999999387</c:v>
                </c:pt>
                <c:pt idx="569">
                  <c:v>45.519999999999385</c:v>
                </c:pt>
                <c:pt idx="570">
                  <c:v>45.599999999999383</c:v>
                </c:pt>
                <c:pt idx="571">
                  <c:v>45.679999999999382</c:v>
                </c:pt>
                <c:pt idx="572">
                  <c:v>45.75999999999938</c:v>
                </c:pt>
                <c:pt idx="573">
                  <c:v>45.839999999999378</c:v>
                </c:pt>
                <c:pt idx="574">
                  <c:v>45.919999999999376</c:v>
                </c:pt>
                <c:pt idx="575">
                  <c:v>45.999999999999375</c:v>
                </c:pt>
                <c:pt idx="576">
                  <c:v>46.079999999999373</c:v>
                </c:pt>
                <c:pt idx="577">
                  <c:v>46.159999999999371</c:v>
                </c:pt>
                <c:pt idx="578">
                  <c:v>46.23999999999937</c:v>
                </c:pt>
                <c:pt idx="579">
                  <c:v>46.319999999999368</c:v>
                </c:pt>
                <c:pt idx="580">
                  <c:v>46.399999999999366</c:v>
                </c:pt>
                <c:pt idx="581">
                  <c:v>46.479999999999364</c:v>
                </c:pt>
                <c:pt idx="582">
                  <c:v>46.559999999999363</c:v>
                </c:pt>
                <c:pt idx="583">
                  <c:v>46.639999999999361</c:v>
                </c:pt>
                <c:pt idx="584">
                  <c:v>46.719999999999359</c:v>
                </c:pt>
                <c:pt idx="585">
                  <c:v>46.799999999999358</c:v>
                </c:pt>
                <c:pt idx="586">
                  <c:v>46.879999999999356</c:v>
                </c:pt>
                <c:pt idx="587">
                  <c:v>46.959999999999354</c:v>
                </c:pt>
                <c:pt idx="588">
                  <c:v>47.039999999999353</c:v>
                </c:pt>
                <c:pt idx="589">
                  <c:v>47.119999999999351</c:v>
                </c:pt>
                <c:pt idx="590">
                  <c:v>47.199999999999349</c:v>
                </c:pt>
                <c:pt idx="591">
                  <c:v>47.279999999999347</c:v>
                </c:pt>
                <c:pt idx="592">
                  <c:v>47.359999999999346</c:v>
                </c:pt>
                <c:pt idx="593">
                  <c:v>47.439999999999344</c:v>
                </c:pt>
                <c:pt idx="594">
                  <c:v>47.519999999999342</c:v>
                </c:pt>
                <c:pt idx="595">
                  <c:v>47.599999999999341</c:v>
                </c:pt>
                <c:pt idx="596">
                  <c:v>47.679999999999339</c:v>
                </c:pt>
                <c:pt idx="597">
                  <c:v>47.759999999999337</c:v>
                </c:pt>
                <c:pt idx="598">
                  <c:v>47.839999999999336</c:v>
                </c:pt>
                <c:pt idx="599">
                  <c:v>47.919999999999334</c:v>
                </c:pt>
                <c:pt idx="600">
                  <c:v>47.999999999999332</c:v>
                </c:pt>
                <c:pt idx="601">
                  <c:v>48.07999999999933</c:v>
                </c:pt>
                <c:pt idx="602">
                  <c:v>48.159999999999329</c:v>
                </c:pt>
                <c:pt idx="603">
                  <c:v>48.239999999999327</c:v>
                </c:pt>
                <c:pt idx="604">
                  <c:v>48.319999999999325</c:v>
                </c:pt>
                <c:pt idx="605">
                  <c:v>48.399999999999324</c:v>
                </c:pt>
                <c:pt idx="606">
                  <c:v>48.479999999999322</c:v>
                </c:pt>
                <c:pt idx="607">
                  <c:v>48.55999999999932</c:v>
                </c:pt>
                <c:pt idx="608">
                  <c:v>48.639999999999318</c:v>
                </c:pt>
                <c:pt idx="609">
                  <c:v>48.719999999999317</c:v>
                </c:pt>
                <c:pt idx="610">
                  <c:v>48.799999999999315</c:v>
                </c:pt>
                <c:pt idx="611">
                  <c:v>48.879999999999313</c:v>
                </c:pt>
                <c:pt idx="612">
                  <c:v>48.959999999999312</c:v>
                </c:pt>
                <c:pt idx="613">
                  <c:v>49.03999999999931</c:v>
                </c:pt>
                <c:pt idx="614">
                  <c:v>49.119999999999308</c:v>
                </c:pt>
                <c:pt idx="615">
                  <c:v>49.199999999999307</c:v>
                </c:pt>
                <c:pt idx="616">
                  <c:v>49.279999999999305</c:v>
                </c:pt>
                <c:pt idx="617">
                  <c:v>49.359999999999303</c:v>
                </c:pt>
                <c:pt idx="618">
                  <c:v>49.439999999999301</c:v>
                </c:pt>
                <c:pt idx="619">
                  <c:v>49.5199999999993</c:v>
                </c:pt>
                <c:pt idx="620">
                  <c:v>49.599999999999298</c:v>
                </c:pt>
                <c:pt idx="621">
                  <c:v>49.679999999999296</c:v>
                </c:pt>
                <c:pt idx="622">
                  <c:v>49.759999999999295</c:v>
                </c:pt>
                <c:pt idx="623">
                  <c:v>49.839999999999293</c:v>
                </c:pt>
                <c:pt idx="624">
                  <c:v>49.919999999999291</c:v>
                </c:pt>
                <c:pt idx="625">
                  <c:v>49.999999999999289</c:v>
                </c:pt>
                <c:pt idx="626">
                  <c:v>50.079999999999288</c:v>
                </c:pt>
                <c:pt idx="627">
                  <c:v>50.159999999999286</c:v>
                </c:pt>
                <c:pt idx="628">
                  <c:v>50.239999999999284</c:v>
                </c:pt>
                <c:pt idx="629">
                  <c:v>50.319999999999283</c:v>
                </c:pt>
                <c:pt idx="630">
                  <c:v>50.399999999999281</c:v>
                </c:pt>
                <c:pt idx="631">
                  <c:v>50.479999999999279</c:v>
                </c:pt>
                <c:pt idx="632">
                  <c:v>50.559999999999278</c:v>
                </c:pt>
                <c:pt idx="633">
                  <c:v>50.639999999999276</c:v>
                </c:pt>
                <c:pt idx="634">
                  <c:v>50.719999999999274</c:v>
                </c:pt>
                <c:pt idx="635">
                  <c:v>50.799999999999272</c:v>
                </c:pt>
                <c:pt idx="636">
                  <c:v>50.879999999999271</c:v>
                </c:pt>
                <c:pt idx="637">
                  <c:v>50.959999999999269</c:v>
                </c:pt>
                <c:pt idx="638">
                  <c:v>51.039999999999267</c:v>
                </c:pt>
                <c:pt idx="639">
                  <c:v>51.119999999999266</c:v>
                </c:pt>
                <c:pt idx="640">
                  <c:v>51.199999999999264</c:v>
                </c:pt>
                <c:pt idx="641">
                  <c:v>51.279999999999262</c:v>
                </c:pt>
                <c:pt idx="642">
                  <c:v>51.35999999999926</c:v>
                </c:pt>
                <c:pt idx="643">
                  <c:v>51.439999999999259</c:v>
                </c:pt>
                <c:pt idx="644">
                  <c:v>51.519999999999257</c:v>
                </c:pt>
                <c:pt idx="645">
                  <c:v>51.599999999999255</c:v>
                </c:pt>
                <c:pt idx="646">
                  <c:v>51.679999999999254</c:v>
                </c:pt>
                <c:pt idx="647">
                  <c:v>51.759999999999252</c:v>
                </c:pt>
                <c:pt idx="648">
                  <c:v>51.83999999999925</c:v>
                </c:pt>
                <c:pt idx="649">
                  <c:v>51.919999999999249</c:v>
                </c:pt>
                <c:pt idx="650">
                  <c:v>51.999999999999247</c:v>
                </c:pt>
                <c:pt idx="651">
                  <c:v>52.079999999999245</c:v>
                </c:pt>
                <c:pt idx="652">
                  <c:v>52.159999999999243</c:v>
                </c:pt>
                <c:pt idx="653">
                  <c:v>52.239999999999242</c:v>
                </c:pt>
                <c:pt idx="654">
                  <c:v>52.31999999999924</c:v>
                </c:pt>
                <c:pt idx="655">
                  <c:v>52.399999999999238</c:v>
                </c:pt>
                <c:pt idx="656">
                  <c:v>52.479999999999237</c:v>
                </c:pt>
                <c:pt idx="657">
                  <c:v>52.559999999999235</c:v>
                </c:pt>
                <c:pt idx="658">
                  <c:v>52.639999999999233</c:v>
                </c:pt>
                <c:pt idx="659">
                  <c:v>52.719999999999231</c:v>
                </c:pt>
                <c:pt idx="660">
                  <c:v>52.79999999999923</c:v>
                </c:pt>
                <c:pt idx="661">
                  <c:v>52.879999999999228</c:v>
                </c:pt>
                <c:pt idx="662">
                  <c:v>52.959999999999226</c:v>
                </c:pt>
                <c:pt idx="663">
                  <c:v>53.039999999999225</c:v>
                </c:pt>
                <c:pt idx="664">
                  <c:v>53.119999999999223</c:v>
                </c:pt>
                <c:pt idx="665">
                  <c:v>53.199999999999221</c:v>
                </c:pt>
                <c:pt idx="666">
                  <c:v>53.27999999999922</c:v>
                </c:pt>
                <c:pt idx="667">
                  <c:v>53.359999999999218</c:v>
                </c:pt>
                <c:pt idx="668">
                  <c:v>53.439999999999216</c:v>
                </c:pt>
                <c:pt idx="669">
                  <c:v>53.519999999999214</c:v>
                </c:pt>
                <c:pt idx="670">
                  <c:v>53.599999999999213</c:v>
                </c:pt>
                <c:pt idx="671">
                  <c:v>53.679999999999211</c:v>
                </c:pt>
                <c:pt idx="672">
                  <c:v>53.759999999999209</c:v>
                </c:pt>
                <c:pt idx="673">
                  <c:v>53.839999999999208</c:v>
                </c:pt>
                <c:pt idx="674">
                  <c:v>53.919999999999206</c:v>
                </c:pt>
                <c:pt idx="675">
                  <c:v>53.999999999999204</c:v>
                </c:pt>
                <c:pt idx="676">
                  <c:v>54.079999999999202</c:v>
                </c:pt>
                <c:pt idx="677">
                  <c:v>54.159999999999201</c:v>
                </c:pt>
                <c:pt idx="678">
                  <c:v>54.239999999999199</c:v>
                </c:pt>
                <c:pt idx="679">
                  <c:v>54.319999999999197</c:v>
                </c:pt>
                <c:pt idx="680">
                  <c:v>54.399999999999196</c:v>
                </c:pt>
                <c:pt idx="681">
                  <c:v>54.479999999999194</c:v>
                </c:pt>
                <c:pt idx="682">
                  <c:v>54.559999999999192</c:v>
                </c:pt>
                <c:pt idx="683">
                  <c:v>54.639999999999191</c:v>
                </c:pt>
                <c:pt idx="684">
                  <c:v>54.719999999999189</c:v>
                </c:pt>
                <c:pt idx="685">
                  <c:v>54.799999999999187</c:v>
                </c:pt>
                <c:pt idx="686">
                  <c:v>54.879999999999185</c:v>
                </c:pt>
                <c:pt idx="687">
                  <c:v>54.959999999999184</c:v>
                </c:pt>
                <c:pt idx="688">
                  <c:v>55.039999999999182</c:v>
                </c:pt>
                <c:pt idx="689">
                  <c:v>55.11999999999918</c:v>
                </c:pt>
                <c:pt idx="690">
                  <c:v>55.199999999999179</c:v>
                </c:pt>
                <c:pt idx="691">
                  <c:v>55.279999999999177</c:v>
                </c:pt>
                <c:pt idx="692">
                  <c:v>55.359999999999175</c:v>
                </c:pt>
                <c:pt idx="693">
                  <c:v>55.439999999999173</c:v>
                </c:pt>
                <c:pt idx="694">
                  <c:v>55.519999999999172</c:v>
                </c:pt>
                <c:pt idx="695">
                  <c:v>55.59999999999917</c:v>
                </c:pt>
                <c:pt idx="696">
                  <c:v>55.679999999999168</c:v>
                </c:pt>
                <c:pt idx="697">
                  <c:v>55.759999999999167</c:v>
                </c:pt>
                <c:pt idx="698">
                  <c:v>55.839999999999165</c:v>
                </c:pt>
                <c:pt idx="699">
                  <c:v>55.919999999999163</c:v>
                </c:pt>
                <c:pt idx="700">
                  <c:v>55.999999999999162</c:v>
                </c:pt>
                <c:pt idx="701">
                  <c:v>56.07999999999916</c:v>
                </c:pt>
                <c:pt idx="702">
                  <c:v>56.159999999999158</c:v>
                </c:pt>
                <c:pt idx="703">
                  <c:v>56.239999999999156</c:v>
                </c:pt>
                <c:pt idx="704">
                  <c:v>56.319999999999155</c:v>
                </c:pt>
                <c:pt idx="705">
                  <c:v>56.399999999999153</c:v>
                </c:pt>
                <c:pt idx="706">
                  <c:v>56.479999999999151</c:v>
                </c:pt>
                <c:pt idx="707">
                  <c:v>56.55999999999915</c:v>
                </c:pt>
                <c:pt idx="708">
                  <c:v>56.639999999999148</c:v>
                </c:pt>
                <c:pt idx="709">
                  <c:v>56.719999999999146</c:v>
                </c:pt>
                <c:pt idx="710">
                  <c:v>56.799999999999145</c:v>
                </c:pt>
                <c:pt idx="711">
                  <c:v>56.879999999999143</c:v>
                </c:pt>
                <c:pt idx="712">
                  <c:v>56.959999999999141</c:v>
                </c:pt>
                <c:pt idx="713">
                  <c:v>57.039999999999139</c:v>
                </c:pt>
                <c:pt idx="714">
                  <c:v>57.119999999999138</c:v>
                </c:pt>
                <c:pt idx="715">
                  <c:v>57.199999999999136</c:v>
                </c:pt>
                <c:pt idx="716">
                  <c:v>57.279999999999134</c:v>
                </c:pt>
                <c:pt idx="717">
                  <c:v>57.359999999999133</c:v>
                </c:pt>
                <c:pt idx="718">
                  <c:v>57.439999999999131</c:v>
                </c:pt>
                <c:pt idx="719">
                  <c:v>57.519999999999129</c:v>
                </c:pt>
                <c:pt idx="720">
                  <c:v>57.599999999999127</c:v>
                </c:pt>
                <c:pt idx="721">
                  <c:v>57.679999999999126</c:v>
                </c:pt>
                <c:pt idx="722">
                  <c:v>57.759999999999124</c:v>
                </c:pt>
                <c:pt idx="723">
                  <c:v>57.839999999999122</c:v>
                </c:pt>
                <c:pt idx="724">
                  <c:v>57.919999999999121</c:v>
                </c:pt>
                <c:pt idx="725">
                  <c:v>57.999999999999119</c:v>
                </c:pt>
                <c:pt idx="726">
                  <c:v>58.079999999999117</c:v>
                </c:pt>
                <c:pt idx="727">
                  <c:v>58.159999999999116</c:v>
                </c:pt>
                <c:pt idx="728">
                  <c:v>58.239999999999114</c:v>
                </c:pt>
                <c:pt idx="729">
                  <c:v>58.319999999999112</c:v>
                </c:pt>
                <c:pt idx="730">
                  <c:v>58.39999999999911</c:v>
                </c:pt>
                <c:pt idx="731">
                  <c:v>58.479999999999109</c:v>
                </c:pt>
                <c:pt idx="732">
                  <c:v>58.559999999999107</c:v>
                </c:pt>
                <c:pt idx="733">
                  <c:v>58.639999999999105</c:v>
                </c:pt>
                <c:pt idx="734">
                  <c:v>58.719999999999104</c:v>
                </c:pt>
                <c:pt idx="735">
                  <c:v>58.799999999999102</c:v>
                </c:pt>
                <c:pt idx="736">
                  <c:v>58.8799999999991</c:v>
                </c:pt>
                <c:pt idx="737">
                  <c:v>58.959999999999098</c:v>
                </c:pt>
                <c:pt idx="738">
                  <c:v>59.039999999999097</c:v>
                </c:pt>
                <c:pt idx="739">
                  <c:v>59.119999999999095</c:v>
                </c:pt>
                <c:pt idx="740">
                  <c:v>59.199999999999093</c:v>
                </c:pt>
                <c:pt idx="741">
                  <c:v>59.279999999999092</c:v>
                </c:pt>
                <c:pt idx="742">
                  <c:v>59.35999999999909</c:v>
                </c:pt>
                <c:pt idx="743">
                  <c:v>59.439999999999088</c:v>
                </c:pt>
                <c:pt idx="744">
                  <c:v>59.519999999999087</c:v>
                </c:pt>
                <c:pt idx="745">
                  <c:v>59.599999999999085</c:v>
                </c:pt>
                <c:pt idx="746">
                  <c:v>59.679999999999083</c:v>
                </c:pt>
                <c:pt idx="747">
                  <c:v>59.759999999999081</c:v>
                </c:pt>
                <c:pt idx="748">
                  <c:v>59.83999999999908</c:v>
                </c:pt>
                <c:pt idx="749">
                  <c:v>59.919999999999078</c:v>
                </c:pt>
                <c:pt idx="750">
                  <c:v>59.999999999999076</c:v>
                </c:pt>
                <c:pt idx="751">
                  <c:v>60.079999999999075</c:v>
                </c:pt>
                <c:pt idx="752">
                  <c:v>60.159999999999073</c:v>
                </c:pt>
                <c:pt idx="753">
                  <c:v>60.239999999999071</c:v>
                </c:pt>
                <c:pt idx="754">
                  <c:v>60.319999999999069</c:v>
                </c:pt>
                <c:pt idx="755">
                  <c:v>60.399999999999068</c:v>
                </c:pt>
                <c:pt idx="756">
                  <c:v>60.479999999999066</c:v>
                </c:pt>
                <c:pt idx="757">
                  <c:v>60.559999999999064</c:v>
                </c:pt>
                <c:pt idx="758">
                  <c:v>60.639999999999063</c:v>
                </c:pt>
                <c:pt idx="759">
                  <c:v>60.719999999999061</c:v>
                </c:pt>
                <c:pt idx="760">
                  <c:v>60.799999999999059</c:v>
                </c:pt>
                <c:pt idx="761">
                  <c:v>60.879999999999058</c:v>
                </c:pt>
                <c:pt idx="762">
                  <c:v>60.959999999999056</c:v>
                </c:pt>
                <c:pt idx="763">
                  <c:v>61.039999999999054</c:v>
                </c:pt>
                <c:pt idx="764">
                  <c:v>61.119999999999052</c:v>
                </c:pt>
                <c:pt idx="765">
                  <c:v>61.199999999999051</c:v>
                </c:pt>
                <c:pt idx="766">
                  <c:v>61.279999999999049</c:v>
                </c:pt>
                <c:pt idx="767">
                  <c:v>61.359999999999047</c:v>
                </c:pt>
                <c:pt idx="768">
                  <c:v>61.439999999999046</c:v>
                </c:pt>
                <c:pt idx="769">
                  <c:v>61.519999999999044</c:v>
                </c:pt>
                <c:pt idx="770">
                  <c:v>61.599999999999042</c:v>
                </c:pt>
                <c:pt idx="771">
                  <c:v>61.67999999999904</c:v>
                </c:pt>
                <c:pt idx="772">
                  <c:v>61.759999999999039</c:v>
                </c:pt>
                <c:pt idx="773">
                  <c:v>61.839999999999037</c:v>
                </c:pt>
                <c:pt idx="774">
                  <c:v>61.919999999999035</c:v>
                </c:pt>
                <c:pt idx="775">
                  <c:v>61.999999999999034</c:v>
                </c:pt>
                <c:pt idx="776">
                  <c:v>62.079999999999032</c:v>
                </c:pt>
                <c:pt idx="777">
                  <c:v>62.15999999999903</c:v>
                </c:pt>
                <c:pt idx="778">
                  <c:v>62.239999999999029</c:v>
                </c:pt>
                <c:pt idx="779">
                  <c:v>62.319999999999027</c:v>
                </c:pt>
                <c:pt idx="780">
                  <c:v>62.399999999999025</c:v>
                </c:pt>
                <c:pt idx="781">
                  <c:v>62.479999999999023</c:v>
                </c:pt>
                <c:pt idx="782">
                  <c:v>62.559999999999022</c:v>
                </c:pt>
                <c:pt idx="783">
                  <c:v>62.63999999999902</c:v>
                </c:pt>
                <c:pt idx="784">
                  <c:v>62.719999999999018</c:v>
                </c:pt>
                <c:pt idx="785">
                  <c:v>62.799999999999017</c:v>
                </c:pt>
                <c:pt idx="786">
                  <c:v>62.879999999999015</c:v>
                </c:pt>
                <c:pt idx="787">
                  <c:v>62.959999999999013</c:v>
                </c:pt>
                <c:pt idx="788">
                  <c:v>63.039999999999011</c:v>
                </c:pt>
                <c:pt idx="789">
                  <c:v>63.11999999999901</c:v>
                </c:pt>
                <c:pt idx="790">
                  <c:v>63.199999999999008</c:v>
                </c:pt>
                <c:pt idx="791">
                  <c:v>63.279999999999006</c:v>
                </c:pt>
                <c:pt idx="792">
                  <c:v>63.359999999999005</c:v>
                </c:pt>
                <c:pt idx="793">
                  <c:v>63.439999999999003</c:v>
                </c:pt>
                <c:pt idx="794">
                  <c:v>63.519999999999001</c:v>
                </c:pt>
                <c:pt idx="795">
                  <c:v>63.599999999999</c:v>
                </c:pt>
                <c:pt idx="796">
                  <c:v>63.679999999998998</c:v>
                </c:pt>
                <c:pt idx="797">
                  <c:v>63.759999999998996</c:v>
                </c:pt>
                <c:pt idx="798">
                  <c:v>63.839999999998994</c:v>
                </c:pt>
                <c:pt idx="799">
                  <c:v>63.919999999998993</c:v>
                </c:pt>
                <c:pt idx="800">
                  <c:v>63.999999999998991</c:v>
                </c:pt>
                <c:pt idx="801">
                  <c:v>64.079999999998989</c:v>
                </c:pt>
                <c:pt idx="802">
                  <c:v>64.159999999998988</c:v>
                </c:pt>
                <c:pt idx="803">
                  <c:v>64.239999999998986</c:v>
                </c:pt>
                <c:pt idx="804">
                  <c:v>64.319999999998984</c:v>
                </c:pt>
                <c:pt idx="805">
                  <c:v>64.399999999998983</c:v>
                </c:pt>
                <c:pt idx="806">
                  <c:v>64.479999999998981</c:v>
                </c:pt>
                <c:pt idx="807">
                  <c:v>64.559999999998979</c:v>
                </c:pt>
                <c:pt idx="808">
                  <c:v>64.639999999998977</c:v>
                </c:pt>
                <c:pt idx="809">
                  <c:v>64.719999999998976</c:v>
                </c:pt>
                <c:pt idx="810">
                  <c:v>64.799999999998974</c:v>
                </c:pt>
                <c:pt idx="811">
                  <c:v>64.879999999998972</c:v>
                </c:pt>
                <c:pt idx="812">
                  <c:v>64.959999999998971</c:v>
                </c:pt>
                <c:pt idx="813">
                  <c:v>65.039999999998969</c:v>
                </c:pt>
                <c:pt idx="814">
                  <c:v>65.119999999998967</c:v>
                </c:pt>
                <c:pt idx="815">
                  <c:v>65.199999999998965</c:v>
                </c:pt>
                <c:pt idx="816">
                  <c:v>65.279999999998964</c:v>
                </c:pt>
                <c:pt idx="817">
                  <c:v>65.359999999998962</c:v>
                </c:pt>
                <c:pt idx="818">
                  <c:v>65.43999999999896</c:v>
                </c:pt>
                <c:pt idx="819">
                  <c:v>65.519999999998959</c:v>
                </c:pt>
                <c:pt idx="820">
                  <c:v>65.599999999998957</c:v>
                </c:pt>
                <c:pt idx="821">
                  <c:v>65.679999999998955</c:v>
                </c:pt>
                <c:pt idx="822">
                  <c:v>65.759999999998954</c:v>
                </c:pt>
                <c:pt idx="823">
                  <c:v>65.839999999998952</c:v>
                </c:pt>
                <c:pt idx="824">
                  <c:v>65.91999999999895</c:v>
                </c:pt>
                <c:pt idx="825">
                  <c:v>65.999999999998948</c:v>
                </c:pt>
                <c:pt idx="826">
                  <c:v>66.079999999998947</c:v>
                </c:pt>
                <c:pt idx="827">
                  <c:v>66.159999999998945</c:v>
                </c:pt>
                <c:pt idx="828">
                  <c:v>66.239999999998943</c:v>
                </c:pt>
                <c:pt idx="829">
                  <c:v>66.319999999998942</c:v>
                </c:pt>
                <c:pt idx="830">
                  <c:v>66.39999999999894</c:v>
                </c:pt>
                <c:pt idx="831">
                  <c:v>66.479999999998938</c:v>
                </c:pt>
                <c:pt idx="832">
                  <c:v>66.559999999998936</c:v>
                </c:pt>
                <c:pt idx="833">
                  <c:v>66.639999999998935</c:v>
                </c:pt>
                <c:pt idx="834">
                  <c:v>66.719999999998933</c:v>
                </c:pt>
                <c:pt idx="835">
                  <c:v>66.799999999998931</c:v>
                </c:pt>
                <c:pt idx="836">
                  <c:v>66.87999999999893</c:v>
                </c:pt>
                <c:pt idx="837">
                  <c:v>66.959999999998928</c:v>
                </c:pt>
                <c:pt idx="838">
                  <c:v>67.039999999998926</c:v>
                </c:pt>
                <c:pt idx="839">
                  <c:v>67.119999999998925</c:v>
                </c:pt>
                <c:pt idx="840">
                  <c:v>67.199999999998923</c:v>
                </c:pt>
                <c:pt idx="841">
                  <c:v>67.279999999998921</c:v>
                </c:pt>
                <c:pt idx="842">
                  <c:v>67.359999999998919</c:v>
                </c:pt>
                <c:pt idx="843">
                  <c:v>67.439999999998918</c:v>
                </c:pt>
                <c:pt idx="844">
                  <c:v>67.519999999998916</c:v>
                </c:pt>
                <c:pt idx="845">
                  <c:v>67.599999999998914</c:v>
                </c:pt>
                <c:pt idx="846">
                  <c:v>67.679999999998913</c:v>
                </c:pt>
                <c:pt idx="847">
                  <c:v>67.759999999998911</c:v>
                </c:pt>
                <c:pt idx="848">
                  <c:v>67.839999999998909</c:v>
                </c:pt>
                <c:pt idx="849">
                  <c:v>67.919999999998907</c:v>
                </c:pt>
                <c:pt idx="850">
                  <c:v>67.999999999998906</c:v>
                </c:pt>
                <c:pt idx="851">
                  <c:v>68.079999999998904</c:v>
                </c:pt>
                <c:pt idx="852">
                  <c:v>68.159999999998902</c:v>
                </c:pt>
                <c:pt idx="853">
                  <c:v>68.239999999998901</c:v>
                </c:pt>
                <c:pt idx="854">
                  <c:v>68.319999999998899</c:v>
                </c:pt>
                <c:pt idx="855">
                  <c:v>68.399999999998897</c:v>
                </c:pt>
                <c:pt idx="856">
                  <c:v>68.479999999998896</c:v>
                </c:pt>
                <c:pt idx="857">
                  <c:v>68.559999999998894</c:v>
                </c:pt>
                <c:pt idx="858">
                  <c:v>68.639999999998892</c:v>
                </c:pt>
                <c:pt idx="859">
                  <c:v>68.71999999999889</c:v>
                </c:pt>
                <c:pt idx="860">
                  <c:v>68.799999999998889</c:v>
                </c:pt>
                <c:pt idx="861">
                  <c:v>68.879999999998887</c:v>
                </c:pt>
                <c:pt idx="862">
                  <c:v>68.959999999998885</c:v>
                </c:pt>
                <c:pt idx="863">
                  <c:v>69.039999999998884</c:v>
                </c:pt>
                <c:pt idx="864">
                  <c:v>69.119999999998882</c:v>
                </c:pt>
                <c:pt idx="865">
                  <c:v>69.19999999999888</c:v>
                </c:pt>
                <c:pt idx="866">
                  <c:v>69.279999999998878</c:v>
                </c:pt>
                <c:pt idx="867">
                  <c:v>69.359999999998877</c:v>
                </c:pt>
                <c:pt idx="868">
                  <c:v>69.439999999998875</c:v>
                </c:pt>
                <c:pt idx="869">
                  <c:v>69.519999999998873</c:v>
                </c:pt>
                <c:pt idx="870">
                  <c:v>69.599999999998872</c:v>
                </c:pt>
                <c:pt idx="871">
                  <c:v>69.67999999999887</c:v>
                </c:pt>
                <c:pt idx="872">
                  <c:v>69.759999999998868</c:v>
                </c:pt>
                <c:pt idx="873">
                  <c:v>69.839999999998867</c:v>
                </c:pt>
                <c:pt idx="874">
                  <c:v>69.919999999998865</c:v>
                </c:pt>
                <c:pt idx="875">
                  <c:v>69.999999999998863</c:v>
                </c:pt>
                <c:pt idx="876">
                  <c:v>70.079999999998861</c:v>
                </c:pt>
                <c:pt idx="877">
                  <c:v>70.15999999999886</c:v>
                </c:pt>
                <c:pt idx="878">
                  <c:v>70.239999999998858</c:v>
                </c:pt>
                <c:pt idx="879">
                  <c:v>70.319999999998856</c:v>
                </c:pt>
                <c:pt idx="880">
                  <c:v>70.399999999998855</c:v>
                </c:pt>
                <c:pt idx="881">
                  <c:v>70.479999999998853</c:v>
                </c:pt>
                <c:pt idx="882">
                  <c:v>70.559999999998851</c:v>
                </c:pt>
                <c:pt idx="883">
                  <c:v>70.639999999998849</c:v>
                </c:pt>
                <c:pt idx="884">
                  <c:v>70.719999999998848</c:v>
                </c:pt>
                <c:pt idx="885">
                  <c:v>70.799999999998846</c:v>
                </c:pt>
                <c:pt idx="886">
                  <c:v>70.879999999998844</c:v>
                </c:pt>
                <c:pt idx="887">
                  <c:v>70.959999999998843</c:v>
                </c:pt>
                <c:pt idx="888">
                  <c:v>71.039999999998841</c:v>
                </c:pt>
                <c:pt idx="889">
                  <c:v>71.119999999998839</c:v>
                </c:pt>
                <c:pt idx="890">
                  <c:v>71.199999999998838</c:v>
                </c:pt>
                <c:pt idx="891">
                  <c:v>71.279999999998836</c:v>
                </c:pt>
                <c:pt idx="892">
                  <c:v>71.359999999998834</c:v>
                </c:pt>
                <c:pt idx="893">
                  <c:v>71.439999999998832</c:v>
                </c:pt>
                <c:pt idx="894">
                  <c:v>71.519999999998831</c:v>
                </c:pt>
                <c:pt idx="895">
                  <c:v>71.599999999998829</c:v>
                </c:pt>
                <c:pt idx="896">
                  <c:v>71.679999999998827</c:v>
                </c:pt>
                <c:pt idx="897">
                  <c:v>71.759999999998826</c:v>
                </c:pt>
                <c:pt idx="898">
                  <c:v>71.839999999998824</c:v>
                </c:pt>
                <c:pt idx="899">
                  <c:v>71.919999999998822</c:v>
                </c:pt>
                <c:pt idx="900">
                  <c:v>71.99999999999882</c:v>
                </c:pt>
                <c:pt idx="901">
                  <c:v>72.079999999998819</c:v>
                </c:pt>
                <c:pt idx="902">
                  <c:v>72.159999999998817</c:v>
                </c:pt>
                <c:pt idx="903">
                  <c:v>72.239999999998815</c:v>
                </c:pt>
                <c:pt idx="904">
                  <c:v>72.319999999998814</c:v>
                </c:pt>
                <c:pt idx="905">
                  <c:v>72.399999999998812</c:v>
                </c:pt>
                <c:pt idx="906">
                  <c:v>72.47999999999881</c:v>
                </c:pt>
                <c:pt idx="907">
                  <c:v>72.559999999998809</c:v>
                </c:pt>
                <c:pt idx="908">
                  <c:v>72.639999999998807</c:v>
                </c:pt>
                <c:pt idx="909">
                  <c:v>72.719999999998805</c:v>
                </c:pt>
                <c:pt idx="910">
                  <c:v>72.799999999998803</c:v>
                </c:pt>
                <c:pt idx="911">
                  <c:v>72.879999999998802</c:v>
                </c:pt>
                <c:pt idx="912">
                  <c:v>72.9599999999988</c:v>
                </c:pt>
                <c:pt idx="913">
                  <c:v>73.039999999998798</c:v>
                </c:pt>
                <c:pt idx="914">
                  <c:v>73.119999999998797</c:v>
                </c:pt>
                <c:pt idx="915">
                  <c:v>73.199999999998795</c:v>
                </c:pt>
                <c:pt idx="916">
                  <c:v>73.279999999998793</c:v>
                </c:pt>
                <c:pt idx="917">
                  <c:v>73.359999999998792</c:v>
                </c:pt>
                <c:pt idx="918">
                  <c:v>73.43999999999879</c:v>
                </c:pt>
                <c:pt idx="919">
                  <c:v>73.519999999998788</c:v>
                </c:pt>
                <c:pt idx="920">
                  <c:v>73.599999999998786</c:v>
                </c:pt>
                <c:pt idx="921">
                  <c:v>73.679999999998785</c:v>
                </c:pt>
                <c:pt idx="922">
                  <c:v>73.759999999998783</c:v>
                </c:pt>
                <c:pt idx="923">
                  <c:v>73.839999999998781</c:v>
                </c:pt>
                <c:pt idx="924">
                  <c:v>73.91999999999878</c:v>
                </c:pt>
                <c:pt idx="925">
                  <c:v>73.999999999998778</c:v>
                </c:pt>
                <c:pt idx="926">
                  <c:v>74.079999999998776</c:v>
                </c:pt>
                <c:pt idx="927">
                  <c:v>74.159999999998774</c:v>
                </c:pt>
                <c:pt idx="928">
                  <c:v>74.239999999998773</c:v>
                </c:pt>
                <c:pt idx="929">
                  <c:v>74.319999999998771</c:v>
                </c:pt>
                <c:pt idx="930">
                  <c:v>74.399999999998769</c:v>
                </c:pt>
                <c:pt idx="931">
                  <c:v>74.479999999998768</c:v>
                </c:pt>
                <c:pt idx="932">
                  <c:v>74.559999999998766</c:v>
                </c:pt>
                <c:pt idx="933">
                  <c:v>74.639999999998764</c:v>
                </c:pt>
                <c:pt idx="934">
                  <c:v>74.719999999998763</c:v>
                </c:pt>
                <c:pt idx="935">
                  <c:v>74.799999999998761</c:v>
                </c:pt>
                <c:pt idx="936">
                  <c:v>74.879999999998759</c:v>
                </c:pt>
                <c:pt idx="937">
                  <c:v>74.959999999998757</c:v>
                </c:pt>
                <c:pt idx="938">
                  <c:v>75.039999999998756</c:v>
                </c:pt>
                <c:pt idx="939">
                  <c:v>75.119999999998754</c:v>
                </c:pt>
                <c:pt idx="940">
                  <c:v>75.199999999998752</c:v>
                </c:pt>
                <c:pt idx="941">
                  <c:v>75.279999999998751</c:v>
                </c:pt>
                <c:pt idx="942">
                  <c:v>75.359999999998749</c:v>
                </c:pt>
                <c:pt idx="943">
                  <c:v>75.439999999998747</c:v>
                </c:pt>
                <c:pt idx="944">
                  <c:v>75.519999999998745</c:v>
                </c:pt>
                <c:pt idx="945">
                  <c:v>75.599999999998744</c:v>
                </c:pt>
                <c:pt idx="946">
                  <c:v>75.679999999998742</c:v>
                </c:pt>
                <c:pt idx="947">
                  <c:v>75.75999999999874</c:v>
                </c:pt>
                <c:pt idx="948">
                  <c:v>75.839999999998739</c:v>
                </c:pt>
                <c:pt idx="949">
                  <c:v>75.919999999998737</c:v>
                </c:pt>
                <c:pt idx="950">
                  <c:v>75.999999999998735</c:v>
                </c:pt>
                <c:pt idx="951">
                  <c:v>76.079999999998734</c:v>
                </c:pt>
                <c:pt idx="952">
                  <c:v>76.159999999998732</c:v>
                </c:pt>
                <c:pt idx="953">
                  <c:v>76.23999999999873</c:v>
                </c:pt>
                <c:pt idx="954">
                  <c:v>76.319999999998728</c:v>
                </c:pt>
                <c:pt idx="955">
                  <c:v>76.399999999998727</c:v>
                </c:pt>
                <c:pt idx="956">
                  <c:v>76.479999999998725</c:v>
                </c:pt>
                <c:pt idx="957">
                  <c:v>76.559999999998723</c:v>
                </c:pt>
                <c:pt idx="958">
                  <c:v>76.639999999998722</c:v>
                </c:pt>
                <c:pt idx="959">
                  <c:v>76.71999999999872</c:v>
                </c:pt>
                <c:pt idx="960">
                  <c:v>76.799999999998718</c:v>
                </c:pt>
                <c:pt idx="961">
                  <c:v>76.879999999998716</c:v>
                </c:pt>
                <c:pt idx="962">
                  <c:v>76.959999999998715</c:v>
                </c:pt>
                <c:pt idx="963">
                  <c:v>77.039999999998713</c:v>
                </c:pt>
                <c:pt idx="964">
                  <c:v>77.119999999998711</c:v>
                </c:pt>
                <c:pt idx="965">
                  <c:v>77.19999999999871</c:v>
                </c:pt>
                <c:pt idx="966">
                  <c:v>77.279999999998708</c:v>
                </c:pt>
                <c:pt idx="967">
                  <c:v>77.359999999998706</c:v>
                </c:pt>
                <c:pt idx="968">
                  <c:v>77.439999999998705</c:v>
                </c:pt>
                <c:pt idx="969">
                  <c:v>77.519999999998703</c:v>
                </c:pt>
                <c:pt idx="970">
                  <c:v>77.599999999998701</c:v>
                </c:pt>
                <c:pt idx="971">
                  <c:v>77.679999999998699</c:v>
                </c:pt>
                <c:pt idx="972">
                  <c:v>77.759999999998698</c:v>
                </c:pt>
                <c:pt idx="973">
                  <c:v>77.839999999998696</c:v>
                </c:pt>
                <c:pt idx="974">
                  <c:v>77.919999999998694</c:v>
                </c:pt>
                <c:pt idx="975">
                  <c:v>77.999999999998693</c:v>
                </c:pt>
                <c:pt idx="976">
                  <c:v>78.079999999998691</c:v>
                </c:pt>
                <c:pt idx="977">
                  <c:v>78.159999999998689</c:v>
                </c:pt>
                <c:pt idx="978">
                  <c:v>78.239999999998687</c:v>
                </c:pt>
                <c:pt idx="979">
                  <c:v>78.319999999998686</c:v>
                </c:pt>
                <c:pt idx="980">
                  <c:v>78.399999999998684</c:v>
                </c:pt>
                <c:pt idx="981">
                  <c:v>78.479999999998682</c:v>
                </c:pt>
                <c:pt idx="982">
                  <c:v>78.559999999998681</c:v>
                </c:pt>
                <c:pt idx="983">
                  <c:v>78.639999999998679</c:v>
                </c:pt>
                <c:pt idx="984">
                  <c:v>78.719999999998677</c:v>
                </c:pt>
                <c:pt idx="985">
                  <c:v>78.799999999998676</c:v>
                </c:pt>
                <c:pt idx="986">
                  <c:v>78.879999999998674</c:v>
                </c:pt>
                <c:pt idx="987">
                  <c:v>78.959999999998672</c:v>
                </c:pt>
                <c:pt idx="988">
                  <c:v>79.03999999999867</c:v>
                </c:pt>
                <c:pt idx="989">
                  <c:v>79.119999999998669</c:v>
                </c:pt>
                <c:pt idx="990">
                  <c:v>79.199999999998667</c:v>
                </c:pt>
                <c:pt idx="991">
                  <c:v>79.279999999998665</c:v>
                </c:pt>
                <c:pt idx="992">
                  <c:v>79.359999999998664</c:v>
                </c:pt>
                <c:pt idx="993">
                  <c:v>79.439999999998662</c:v>
                </c:pt>
                <c:pt idx="994">
                  <c:v>79.51999999999866</c:v>
                </c:pt>
                <c:pt idx="995">
                  <c:v>79.599999999998658</c:v>
                </c:pt>
                <c:pt idx="996">
                  <c:v>79.679999999998657</c:v>
                </c:pt>
                <c:pt idx="997">
                  <c:v>79.759999999998655</c:v>
                </c:pt>
                <c:pt idx="998">
                  <c:v>79.839999999998653</c:v>
                </c:pt>
                <c:pt idx="999">
                  <c:v>79.919999999998652</c:v>
                </c:pt>
                <c:pt idx="1000">
                  <c:v>79.99999999999865</c:v>
                </c:pt>
              </c:numCache>
            </c:numRef>
          </c:xVal>
          <c:yVal>
            <c:numRef>
              <c:f>Model!$V$25:$V$1025</c:f>
              <c:numCache>
                <c:formatCode>0.00E+00</c:formatCode>
                <c:ptCount val="1001"/>
                <c:pt idx="0">
                  <c:v>0</c:v>
                </c:pt>
                <c:pt idx="1">
                  <c:v>1.5166158047338661E-6</c:v>
                </c:pt>
                <c:pt idx="2">
                  <c:v>5.7882850769485259E-6</c:v>
                </c:pt>
                <c:pt idx="3">
                  <c:v>1.2308157673679221E-5</c:v>
                </c:pt>
                <c:pt idx="4">
                  <c:v>2.0659573584824446E-5</c:v>
                </c:pt>
                <c:pt idx="5">
                  <c:v>3.0499992521618878E-5</c:v>
                </c:pt>
                <c:pt idx="6">
                  <c:v>4.1547790353503361E-5</c:v>
                </c:pt>
                <c:pt idx="7">
                  <c:v>5.3571410696687066E-5</c:v>
                </c:pt>
                <c:pt idx="8">
                  <c:v>6.6380451310180211E-5</c:v>
                </c:pt>
                <c:pt idx="9">
                  <c:v>7.9818339996910143E-5</c:v>
                </c:pt>
                <c:pt idx="10">
                  <c:v>9.3756316351049945E-5</c:v>
                </c:pt>
                <c:pt idx="11">
                  <c:v>1.0808848633020091E-4</c:v>
                </c:pt>
                <c:pt idx="12">
                  <c:v>1.2272775822772645E-4</c:v>
                </c:pt>
                <c:pt idx="13">
                  <c:v>1.3760250279059466E-4</c:v>
                </c:pt>
                <c:pt idx="14">
                  <c:v>1.5265380829757236E-4</c:v>
                </c:pt>
                <c:pt idx="15">
                  <c:v>1.6783322447077822E-4</c:v>
                </c:pt>
                <c:pt idx="16">
                  <c:v>1.8310090803520885E-4</c:v>
                </c:pt>
                <c:pt idx="17">
                  <c:v>1.9842409830089739E-4</c:v>
                </c:pt>
                <c:pt idx="18">
                  <c:v>2.137758639246081E-4</c:v>
                </c:pt>
                <c:pt idx="19">
                  <c:v>2.2913407250837393E-4</c:v>
                </c:pt>
                <c:pt idx="20">
                  <c:v>2.4448054331814497E-4</c:v>
                </c:pt>
                <c:pt idx="21">
                  <c:v>2.5980035049199895E-4</c:v>
                </c:pt>
                <c:pt idx="22">
                  <c:v>2.7508124992867329E-4</c:v>
                </c:pt>
                <c:pt idx="23">
                  <c:v>2.9031320782943693E-4</c:v>
                </c:pt>
                <c:pt idx="24">
                  <c:v>3.0548801279502852E-4</c:v>
                </c:pt>
                <c:pt idx="25">
                  <c:v>3.2059895660692758E-4</c:v>
                </c:pt>
                <c:pt idx="26">
                  <c:v>3.356405714737725E-4</c:v>
                </c:pt>
                <c:pt idx="27">
                  <c:v>3.5060841370211562E-4</c:v>
                </c:pt>
                <c:pt idx="28">
                  <c:v>3.654988855403816E-4</c:v>
                </c:pt>
                <c:pt idx="29">
                  <c:v>3.8030908841525277E-4</c:v>
                </c:pt>
                <c:pt idx="30">
                  <c:v>3.9503670198774639E-4</c:v>
                </c:pt>
                <c:pt idx="31">
                  <c:v>4.0967988444879061E-4</c:v>
                </c:pt>
                <c:pt idx="32">
                  <c:v>4.2423719028961707E-4</c:v>
                </c:pt>
                <c:pt idx="33">
                  <c:v>4.3870750245235954E-4</c:v>
                </c:pt>
                <c:pt idx="34">
                  <c:v>4.5308997631683759E-4</c:v>
                </c:pt>
                <c:pt idx="35">
                  <c:v>4.6738399343193343E-4</c:v>
                </c:pt>
                <c:pt idx="36">
                  <c:v>4.8158912327175623E-4</c:v>
                </c:pt>
                <c:pt idx="37">
                  <c:v>4.9570509160231681E-4</c:v>
                </c:pt>
                <c:pt idx="38">
                  <c:v>5.097317542955295E-4</c:v>
                </c:pt>
                <c:pt idx="39">
                  <c:v>5.2366907563372892E-4</c:v>
                </c:pt>
                <c:pt idx="40">
                  <c:v>5.3751711031751158E-4</c:v>
                </c:pt>
                <c:pt idx="41">
                  <c:v>5.5127598852914173E-4</c:v>
                </c:pt>
                <c:pt idx="42">
                  <c:v>5.6494590351838269E-4</c:v>
                </c:pt>
                <c:pt idx="43">
                  <c:v>5.7852710127184628E-4</c:v>
                </c:pt>
                <c:pt idx="44">
                  <c:v>5.9201987190443813E-4</c:v>
                </c:pt>
                <c:pt idx="45">
                  <c:v>6.0542454247518968E-4</c:v>
                </c:pt>
                <c:pt idx="46">
                  <c:v>6.1874147098217103E-4</c:v>
                </c:pt>
                <c:pt idx="47">
                  <c:v>6.3197104133428002E-4</c:v>
                </c:pt>
                <c:pt idx="48">
                  <c:v>6.4511365913316678E-4</c:v>
                </c:pt>
                <c:pt idx="49">
                  <c:v>6.5816974812772753E-4</c:v>
                </c:pt>
                <c:pt idx="50">
                  <c:v>6.7113974722761915E-4</c:v>
                </c:pt>
                <c:pt idx="51">
                  <c:v>6.8402410798201209E-4</c:v>
                </c:pt>
                <c:pt idx="52">
                  <c:v>6.9682329244607924E-4</c:v>
                </c:pt>
                <c:pt idx="53">
                  <c:v>7.095377713711243E-4</c:v>
                </c:pt>
                <c:pt idx="54">
                  <c:v>7.221680226652999E-4</c:v>
                </c:pt>
                <c:pt idx="55">
                  <c:v>7.3471453008097187E-4</c:v>
                </c:pt>
                <c:pt idx="56">
                  <c:v>7.4717778209229166E-4</c:v>
                </c:pt>
                <c:pt idx="57">
                  <c:v>7.5955827093273363E-4</c:v>
                </c:pt>
                <c:pt idx="58">
                  <c:v>7.7185649176746466E-4</c:v>
                </c:pt>
                <c:pt idx="59">
                  <c:v>7.8407294197963505E-4</c:v>
                </c:pt>
                <c:pt idx="60">
                  <c:v>7.9620812055316561E-4</c:v>
                </c:pt>
                <c:pt idx="61">
                  <c:v>8.0826252753749364E-4</c:v>
                </c:pt>
                <c:pt idx="62">
                  <c:v>8.2023666358212351E-4</c:v>
                </c:pt>
                <c:pt idx="63">
                  <c:v>8.3213102953080625E-4</c:v>
                </c:pt>
                <c:pt idx="64">
                  <c:v>8.4394612606681014E-4</c:v>
                </c:pt>
                <c:pt idx="65">
                  <c:v>8.5568245340210435E-4</c:v>
                </c:pt>
                <c:pt idx="66">
                  <c:v>8.6734051100440912E-4</c:v>
                </c:pt>
                <c:pt idx="67">
                  <c:v>8.7892079735700187E-4</c:v>
                </c:pt>
                <c:pt idx="68">
                  <c:v>8.9042380974695481E-4</c:v>
                </c:pt>
                <c:pt idx="69">
                  <c:v>9.018500440781316E-4</c:v>
                </c:pt>
                <c:pt idx="70">
                  <c:v>9.1319999470581539E-4</c:v>
                </c:pt>
                <c:pt idx="71">
                  <c:v>9.2447415429029809E-4</c:v>
                </c:pt>
                <c:pt idx="72">
                  <c:v>9.3567301366714352E-4</c:v>
                </c:pt>
                <c:pt idx="73">
                  <c:v>9.4679706173215897E-4</c:v>
                </c:pt>
                <c:pt idx="74">
                  <c:v>9.5784678533938059E-4</c:v>
                </c:pt>
                <c:pt idx="75">
                  <c:v>9.6882266921060668E-4</c:v>
                </c:pt>
                <c:pt idx="76">
                  <c:v>9.7972519585520735E-4</c:v>
                </c:pt>
                <c:pt idx="77">
                  <c:v>9.9055484549910328E-4</c:v>
                </c:pt>
                <c:pt idx="78">
                  <c:v>1.0013120960219452E-3</c:v>
                </c:pt>
                <c:pt idx="79">
                  <c:v>1.0119974229016453E-3</c:v>
                </c:pt>
                <c:pt idx="80">
                  <c:v>1.022611299165516E-3</c:v>
                </c:pt>
                <c:pt idx="81">
                  <c:v>1.0331541953473562E-3</c:v>
                </c:pt>
                <c:pt idx="82">
                  <c:v>1.0436265794499019E-3</c:v>
                </c:pt>
                <c:pt idx="83">
                  <c:v>1.0540289169121259E-3</c:v>
                </c:pt>
                <c:pt idx="84">
                  <c:v>1.064361670580923E-3</c:v>
                </c:pt>
                <c:pt idx="85">
                  <c:v>1.0746253006867711E-3</c:v>
                </c:pt>
                <c:pt idx="86">
                  <c:v>1.0848202648229982E-3</c:v>
                </c:pt>
                <c:pt idx="87">
                  <c:v>1.0949470179283272E-3</c:v>
                </c:pt>
                <c:pt idx="88">
                  <c:v>1.1050060122723979E-3</c:v>
                </c:pt>
                <c:pt idx="89">
                  <c:v>1.1149976974440001E-3</c:v>
                </c:pt>
                <c:pt idx="90">
                  <c:v>1.124922520341774E-3</c:v>
                </c:pt>
                <c:pt idx="91">
                  <c:v>1.1347809251671605E-3</c:v>
                </c:pt>
                <c:pt idx="92">
                  <c:v>1.1445733534193997E-3</c:v>
                </c:pt>
                <c:pt idx="93">
                  <c:v>1.1543002438923991E-3</c:v>
                </c:pt>
                <c:pt idx="94">
                  <c:v>1.1639620326733065E-3</c:v>
                </c:pt>
                <c:pt idx="95">
                  <c:v>1.1735591531426366E-3</c:v>
                </c:pt>
                <c:pt idx="96">
                  <c:v>1.1830920359758178E-3</c:v>
                </c:pt>
                <c:pt idx="97">
                  <c:v>1.1925611091460309E-3</c:v>
                </c:pt>
                <c:pt idx="98">
                  <c:v>1.2019667979282288E-3</c:v>
                </c:pt>
                <c:pt idx="99">
                  <c:v>1.2113095249042304E-3</c:v>
                </c:pt>
                <c:pt idx="100">
                  <c:v>1.2205897099687962E-3</c:v>
                </c:pt>
                <c:pt idx="101">
                  <c:v>1.2298077703365962E-3</c:v>
                </c:pt>
                <c:pt idx="102">
                  <c:v>1.2389641205499892E-3</c:v>
                </c:pt>
                <c:pt idx="103">
                  <c:v>1.2480591724875439E-3</c:v>
                </c:pt>
                <c:pt idx="104">
                  <c:v>1.2570933353732289E-3</c:v>
                </c:pt>
                <c:pt idx="105">
                  <c:v>1.2660670157862161E-3</c:v>
                </c:pt>
                <c:pt idx="106">
                  <c:v>1.2749806176712334E-3</c:v>
                </c:pt>
                <c:pt idx="107">
                  <c:v>1.2838345423494214E-3</c:v>
                </c:pt>
                <c:pt idx="108">
                  <c:v>1.2926291885296424E-3</c:v>
                </c:pt>
                <c:pt idx="109">
                  <c:v>1.3013649523201966E-3</c:v>
                </c:pt>
                <c:pt idx="110">
                  <c:v>1.3100422272409088E-3</c:v>
                </c:pt>
                <c:pt idx="111">
                  <c:v>1.3186614042355453E-3</c:v>
                </c:pt>
                <c:pt idx="112">
                  <c:v>1.3272228716845267E-3</c:v>
                </c:pt>
                <c:pt idx="113">
                  <c:v>1.3357270154179075E-3</c:v>
                </c:pt>
                <c:pt idx="114">
                  <c:v>1.3441742187285915E-3</c:v>
                </c:pt>
                <c:pt idx="115">
                  <c:v>1.3525648623857554E-3</c:v>
                </c:pt>
                <c:pt idx="116">
                  <c:v>1.3608993246484601E-3</c:v>
                </c:pt>
                <c:pt idx="117">
                  <c:v>1.3691779812794224E-3</c:v>
                </c:pt>
                <c:pt idx="118">
                  <c:v>1.3774012055589289E-3</c:v>
                </c:pt>
                <c:pt idx="119">
                  <c:v>1.3855693682988742E-3</c:v>
                </c:pt>
                <c:pt idx="120">
                  <c:v>1.393682837856902E-3</c:v>
                </c:pt>
                <c:pt idx="121">
                  <c:v>1.4017419801506375E-3</c:v>
                </c:pt>
                <c:pt idx="122">
                  <c:v>1.4097471586719925E-3</c:v>
                </c:pt>
                <c:pt idx="123">
                  <c:v>1.4176987345015319E-3</c:v>
                </c:pt>
                <c:pt idx="124">
                  <c:v>1.4255970663228886E-3</c:v>
                </c:pt>
                <c:pt idx="125">
                  <c:v>1.4334425104372147E-3</c:v>
                </c:pt>
                <c:pt idx="126">
                  <c:v>1.4412354207776589E-3</c:v>
                </c:pt>
                <c:pt idx="127">
                  <c:v>1.4489761489238616E-3</c:v>
                </c:pt>
                <c:pt idx="128">
                  <c:v>1.4566650441164555E-3</c:v>
                </c:pt>
                <c:pt idx="129">
                  <c:v>1.4643024532715676E-3</c:v>
                </c:pt>
                <c:pt idx="130">
                  <c:v>1.4718887209953138E-3</c:v>
                </c:pt>
                <c:pt idx="131">
                  <c:v>1.4794241895982757E-3</c:v>
                </c:pt>
                <c:pt idx="132">
                  <c:v>1.4869091991099594E-3</c:v>
                </c:pt>
                <c:pt idx="133">
                  <c:v>1.4943440872932274E-3</c:v>
                </c:pt>
                <c:pt idx="134">
                  <c:v>1.5017291896586961E-3</c:v>
                </c:pt>
                <c:pt idx="135">
                  <c:v>1.5090648394791E-3</c:v>
                </c:pt>
                <c:pt idx="136">
                  <c:v>1.516351367803612E-3</c:v>
                </c:pt>
                <c:pt idx="137">
                  <c:v>1.5235891034721201E-3</c:v>
                </c:pt>
                <c:pt idx="138">
                  <c:v>1.5307783731294562E-3</c:v>
                </c:pt>
                <c:pt idx="139">
                  <c:v>1.5379195012395703E-3</c:v>
                </c:pt>
                <c:pt idx="140">
                  <c:v>1.5450128100996528E-3</c:v>
                </c:pt>
                <c:pt idx="141">
                  <c:v>1.552058619854198E-3</c:v>
                </c:pt>
                <c:pt idx="142">
                  <c:v>1.5590572485090059E-3</c:v>
                </c:pt>
                <c:pt idx="143">
                  <c:v>1.5660090119451247E-3</c:v>
                </c:pt>
                <c:pt idx="144">
                  <c:v>1.5729142239327269E-3</c:v>
                </c:pt>
                <c:pt idx="145">
                  <c:v>1.5797731961449198E-3</c:v>
                </c:pt>
                <c:pt idx="146">
                  <c:v>1.5865862381714885E-3</c:v>
                </c:pt>
                <c:pt idx="147">
                  <c:v>1.5933536575325688E-3</c:v>
                </c:pt>
                <c:pt idx="148">
                  <c:v>1.6000757596922519E-3</c:v>
                </c:pt>
                <c:pt idx="149">
                  <c:v>1.6067528480721144E-3</c:v>
                </c:pt>
                <c:pt idx="150">
                  <c:v>1.613385224064678E-3</c:v>
                </c:pt>
                <c:pt idx="151">
                  <c:v>1.619973187046795E-3</c:v>
                </c:pt>
                <c:pt idx="152">
                  <c:v>1.6265170343929584E-3</c:v>
                </c:pt>
                <c:pt idx="153">
                  <c:v>1.6330170614885394E-3</c:v>
                </c:pt>
                <c:pt idx="154">
                  <c:v>1.6394735617429464E-3</c:v>
                </c:pt>
                <c:pt idx="155">
                  <c:v>1.6458868266027108E-3</c:v>
                </c:pt>
                <c:pt idx="156">
                  <c:v>1.6522571455644935E-3</c:v>
                </c:pt>
                <c:pt idx="157">
                  <c:v>1.658584806188017E-3</c:v>
                </c:pt>
                <c:pt idx="158">
                  <c:v>1.6648700941089192E-3</c:v>
                </c:pt>
                <c:pt idx="159">
                  <c:v>1.67111329305153E-3</c:v>
                </c:pt>
                <c:pt idx="160">
                  <c:v>1.6773146848415705E-3</c:v>
                </c:pt>
                <c:pt idx="161">
                  <c:v>1.6834745494187741E-3</c:v>
                </c:pt>
                <c:pt idx="162">
                  <c:v>1.6895931648494313E-3</c:v>
                </c:pt>
                <c:pt idx="163">
                  <c:v>1.6956708073388557E-3</c:v>
                </c:pt>
                <c:pt idx="164">
                  <c:v>1.7017077512437727E-3</c:v>
                </c:pt>
                <c:pt idx="165">
                  <c:v>1.7077042690846313E-3</c:v>
                </c:pt>
                <c:pt idx="166">
                  <c:v>1.7136606315578369E-3</c:v>
                </c:pt>
                <c:pt idx="167">
                  <c:v>1.7195771075479091E-3</c:v>
                </c:pt>
                <c:pt idx="168">
                  <c:v>1.7254539641395599E-3</c:v>
                </c:pt>
                <c:pt idx="169">
                  <c:v>1.7312914666296969E-3</c:v>
                </c:pt>
                <c:pt idx="170">
                  <c:v>1.7370898785393492E-3</c:v>
                </c:pt>
                <c:pt idx="171">
                  <c:v>1.7428494616255159E-3</c:v>
                </c:pt>
                <c:pt idx="172">
                  <c:v>1.7485704758929401E-3</c:v>
                </c:pt>
                <c:pt idx="173">
                  <c:v>1.7542531796058049E-3</c:v>
                </c:pt>
                <c:pt idx="174">
                  <c:v>1.7598978292993565E-3</c:v>
                </c:pt>
                <c:pt idx="175">
                  <c:v>1.7655046797914477E-3</c:v>
                </c:pt>
                <c:pt idx="176">
                  <c:v>1.7710739841940116E-3</c:v>
                </c:pt>
                <c:pt idx="177">
                  <c:v>1.7766059939244565E-3</c:v>
                </c:pt>
                <c:pt idx="178">
                  <c:v>1.7821009587169882E-3</c:v>
                </c:pt>
                <c:pt idx="179">
                  <c:v>1.7875591266338568E-3</c:v>
                </c:pt>
                <c:pt idx="180">
                  <c:v>1.7929807440765335E-3</c:v>
                </c:pt>
                <c:pt idx="181">
                  <c:v>1.7983660557968093E-3</c:v>
                </c:pt>
                <c:pt idx="182">
                  <c:v>1.8037153049078234E-3</c:v>
                </c:pt>
                <c:pt idx="183">
                  <c:v>1.8090287328950197E-3</c:v>
                </c:pt>
                <c:pt idx="184">
                  <c:v>1.814306579627029E-3</c:v>
                </c:pt>
                <c:pt idx="185">
                  <c:v>1.8195490833664814E-3</c:v>
                </c:pt>
                <c:pt idx="186">
                  <c:v>1.8247564807807469E-3</c:v>
                </c:pt>
                <c:pt idx="187">
                  <c:v>1.8299290069526029E-3</c:v>
                </c:pt>
                <c:pt idx="188">
                  <c:v>1.835066895390835E-3</c:v>
                </c:pt>
                <c:pt idx="189">
                  <c:v>1.8401703780407651E-3</c:v>
                </c:pt>
                <c:pt idx="190">
                  <c:v>1.8452396852947086E-3</c:v>
                </c:pt>
                <c:pt idx="191">
                  <c:v>1.8502750460023662E-3</c:v>
                </c:pt>
                <c:pt idx="192">
                  <c:v>1.8552766874811431E-3</c:v>
                </c:pt>
                <c:pt idx="193">
                  <c:v>1.860244835526402E-3</c:v>
                </c:pt>
                <c:pt idx="194">
                  <c:v>1.865179714421646E-3</c:v>
                </c:pt>
                <c:pt idx="195">
                  <c:v>1.8700815469486359E-3</c:v>
                </c:pt>
                <c:pt idx="196">
                  <c:v>1.8749505543974388E-3</c:v>
                </c:pt>
                <c:pt idx="197">
                  <c:v>1.8797869565764104E-3</c:v>
                </c:pt>
                <c:pt idx="198">
                  <c:v>1.8845909718221106E-3</c:v>
                </c:pt>
                <c:pt idx="199">
                  <c:v>1.889362817009154E-3</c:v>
                </c:pt>
                <c:pt idx="200">
                  <c:v>1.8941027075599934E-3</c:v>
                </c:pt>
                <c:pt idx="201">
                  <c:v>1.8988108574546389E-3</c:v>
                </c:pt>
                <c:pt idx="202">
                  <c:v>1.9034874792403125E-3</c:v>
                </c:pt>
                <c:pt idx="203">
                  <c:v>1.9081327840410373E-3</c:v>
                </c:pt>
                <c:pt idx="204">
                  <c:v>1.912746981567164E-3</c:v>
                </c:pt>
                <c:pt idx="205">
                  <c:v>1.9173302801248331E-3</c:v>
                </c:pt>
                <c:pt idx="206">
                  <c:v>1.921882886625374E-3</c:v>
                </c:pt>
                <c:pt idx="207">
                  <c:v>1.9264050065946415E-3</c:v>
                </c:pt>
                <c:pt idx="208">
                  <c:v>1.9308968441822906E-3</c:v>
                </c:pt>
                <c:pt idx="209">
                  <c:v>1.9353586021709872E-3</c:v>
                </c:pt>
                <c:pt idx="210">
                  <c:v>1.9397904819855611E-3</c:v>
                </c:pt>
                <c:pt idx="211">
                  <c:v>1.9441926837020943E-3</c:v>
                </c:pt>
                <c:pt idx="212">
                  <c:v>1.9485654060569493E-3</c:v>
                </c:pt>
                <c:pt idx="213">
                  <c:v>1.952908846455739E-3</c:v>
                </c:pt>
                <c:pt idx="214">
                  <c:v>1.9572232009822349E-3</c:v>
                </c:pt>
                <c:pt idx="215">
                  <c:v>1.9615086644072161E-3</c:v>
                </c:pt>
                <c:pt idx="216">
                  <c:v>1.9657654301972593E-3</c:v>
                </c:pt>
                <c:pt idx="217">
                  <c:v>1.9699936905234706E-3</c:v>
                </c:pt>
                <c:pt idx="218">
                  <c:v>1.9741936362701572E-3</c:v>
                </c:pt>
                <c:pt idx="219">
                  <c:v>1.9783654570434436E-3</c:v>
                </c:pt>
                <c:pt idx="220">
                  <c:v>1.9825093411798287E-3</c:v>
                </c:pt>
                <c:pt idx="221">
                  <c:v>1.9866254757546845E-3</c:v>
                </c:pt>
                <c:pt idx="222">
                  <c:v>1.9907140465907002E-3</c:v>
                </c:pt>
                <c:pt idx="223">
                  <c:v>1.9947752382662707E-3</c:v>
                </c:pt>
                <c:pt idx="224">
                  <c:v>1.9988092341238248E-3</c:v>
                </c:pt>
                <c:pt idx="225">
                  <c:v>2.0028162162781002E-3</c:v>
                </c:pt>
                <c:pt idx="226">
                  <c:v>2.0067963656243653E-3</c:v>
                </c:pt>
                <c:pt idx="227">
                  <c:v>2.0107498618465816E-3</c:v>
                </c:pt>
                <c:pt idx="228">
                  <c:v>2.014676883425515E-3</c:v>
                </c:pt>
                <c:pt idx="229">
                  <c:v>2.0185776076467911E-3</c:v>
                </c:pt>
                <c:pt idx="230">
                  <c:v>2.0224522106088967E-3</c:v>
                </c:pt>
                <c:pt idx="231">
                  <c:v>2.0263008672311293E-3</c:v>
                </c:pt>
                <c:pt idx="232">
                  <c:v>2.0301237512614905E-3</c:v>
                </c:pt>
                <c:pt idx="233">
                  <c:v>2.0339210352845294E-3</c:v>
                </c:pt>
                <c:pt idx="234">
                  <c:v>2.0376928907291326E-3</c:v>
                </c:pt>
                <c:pt idx="235">
                  <c:v>2.0414394878762619E-3</c:v>
                </c:pt>
                <c:pt idx="236">
                  <c:v>2.045160995866639E-3</c:v>
                </c:pt>
                <c:pt idx="237">
                  <c:v>2.0488575827083814E-3</c:v>
                </c:pt>
                <c:pt idx="238">
                  <c:v>2.0525294152845845E-3</c:v>
                </c:pt>
                <c:pt idx="239">
                  <c:v>2.0561766593608565E-3</c:v>
                </c:pt>
                <c:pt idx="240">
                  <c:v>2.0597994795927975E-3</c:v>
                </c:pt>
                <c:pt idx="241">
                  <c:v>2.0633980395334344E-3</c:v>
                </c:pt>
                <c:pt idx="242">
                  <c:v>2.0669725016406017E-3</c:v>
                </c:pt>
                <c:pt idx="243">
                  <c:v>2.0705230272842754E-3</c:v>
                </c:pt>
                <c:pt idx="244">
                  <c:v>2.0740497767538558E-3</c:v>
                </c:pt>
                <c:pt idx="245">
                  <c:v>2.0775529092654042E-3</c:v>
                </c:pt>
                <c:pt idx="246">
                  <c:v>2.0810325829688286E-3</c:v>
                </c:pt>
                <c:pt idx="247">
                  <c:v>2.0844889549550224E-3</c:v>
                </c:pt>
                <c:pt idx="248">
                  <c:v>2.0879221812629555E-3</c:v>
                </c:pt>
                <c:pt idx="249">
                  <c:v>2.0913324168867174E-3</c:v>
                </c:pt>
                <c:pt idx="250">
                  <c:v>2.0947198157825146E-3</c:v>
                </c:pt>
                <c:pt idx="251">
                  <c:v>2.0980845308756183E-3</c:v>
                </c:pt>
                <c:pt idx="252">
                  <c:v>2.101426714067268E-3</c:v>
                </c:pt>
                <c:pt idx="253">
                  <c:v>2.1047465162415289E-3</c:v>
                </c:pt>
                <c:pt idx="254">
                  <c:v>2.1080440872721018E-3</c:v>
                </c:pt>
                <c:pt idx="255">
                  <c:v>2.1113195760290885E-3</c:v>
                </c:pt>
                <c:pt idx="256">
                  <c:v>2.114573130385712E-3</c:v>
                </c:pt>
                <c:pt idx="257">
                  <c:v>2.1178048972249905E-3</c:v>
                </c:pt>
                <c:pt idx="258">
                  <c:v>2.1210150224463698E-3</c:v>
                </c:pt>
                <c:pt idx="259">
                  <c:v>2.1242036509723067E-3</c:v>
                </c:pt>
                <c:pt idx="260">
                  <c:v>2.1273709267548122E-3</c:v>
                </c:pt>
                <c:pt idx="261">
                  <c:v>2.1305169927819489E-3</c:v>
                </c:pt>
                <c:pt idx="262">
                  <c:v>2.1336419910842857E-3</c:v>
                </c:pt>
                <c:pt idx="263">
                  <c:v>2.1367460627413088E-3</c:v>
                </c:pt>
                <c:pt idx="264">
                  <c:v>2.1398293478877908E-3</c:v>
                </c:pt>
                <c:pt idx="265">
                  <c:v>2.1428919857201158E-3</c:v>
                </c:pt>
                <c:pt idx="266">
                  <c:v>2.1459341145025623E-3</c:v>
                </c:pt>
                <c:pt idx="267">
                  <c:v>2.1489558715735465E-3</c:v>
                </c:pt>
                <c:pt idx="268">
                  <c:v>2.1519573933518189E-3</c:v>
                </c:pt>
                <c:pt idx="269">
                  <c:v>2.1549388153426245E-3</c:v>
                </c:pt>
                <c:pt idx="270">
                  <c:v>2.1579002721438187E-3</c:v>
                </c:pt>
                <c:pt idx="271">
                  <c:v>2.1608418974519436E-3</c:v>
                </c:pt>
                <c:pt idx="272">
                  <c:v>2.1637638240682624E-3</c:v>
                </c:pt>
                <c:pt idx="273">
                  <c:v>2.1666661839047554E-3</c:v>
                </c:pt>
                <c:pt idx="274">
                  <c:v>2.1695491079900741E-3</c:v>
                </c:pt>
                <c:pt idx="275">
                  <c:v>2.1724127264754547E-3</c:v>
                </c:pt>
                <c:pt idx="276">
                  <c:v>2.1752571686405949E-3</c:v>
                </c:pt>
                <c:pt idx="277">
                  <c:v>2.1780825628994888E-3</c:v>
                </c:pt>
                <c:pt idx="278">
                  <c:v>2.1808890368062248E-3</c:v>
                </c:pt>
                <c:pt idx="279">
                  <c:v>2.1836767170607422E-3</c:v>
                </c:pt>
                <c:pt idx="280">
                  <c:v>2.1864457295145512E-3</c:v>
                </c:pt>
                <c:pt idx="281">
                  <c:v>2.1891961991764141E-3</c:v>
                </c:pt>
                <c:pt idx="282">
                  <c:v>2.1919282502179879E-3</c:v>
                </c:pt>
                <c:pt idx="283">
                  <c:v>2.1946420059794302E-3</c:v>
                </c:pt>
                <c:pt idx="284">
                  <c:v>2.1973375889749662E-3</c:v>
                </c:pt>
                <c:pt idx="285">
                  <c:v>2.2000151208984207E-3</c:v>
                </c:pt>
                <c:pt idx="286">
                  <c:v>2.2026747226287094E-3</c:v>
                </c:pt>
                <c:pt idx="287">
                  <c:v>2.2053165142352973E-3</c:v>
                </c:pt>
                <c:pt idx="288">
                  <c:v>2.2079406149836177E-3</c:v>
                </c:pt>
                <c:pt idx="289">
                  <c:v>2.2105471433404573E-3</c:v>
                </c:pt>
                <c:pt idx="290">
                  <c:v>2.2131362169793035E-3</c:v>
                </c:pt>
                <c:pt idx="291">
                  <c:v>2.215707952785655E-3</c:v>
                </c:pt>
                <c:pt idx="292">
                  <c:v>2.2182624668623E-3</c:v>
                </c:pt>
                <c:pt idx="293">
                  <c:v>2.2207998745345579E-3</c:v>
                </c:pt>
                <c:pt idx="294">
                  <c:v>2.2233202903554823E-3</c:v>
                </c:pt>
                <c:pt idx="295">
                  <c:v>2.2258238281110351E-3</c:v>
                </c:pt>
                <c:pt idx="296">
                  <c:v>2.2283106008252214E-3</c:v>
                </c:pt>
                <c:pt idx="297">
                  <c:v>2.2307807207651931E-3</c:v>
                </c:pt>
                <c:pt idx="298">
                  <c:v>2.2332342994463156E-3</c:v>
                </c:pt>
                <c:pt idx="299">
                  <c:v>2.2356714476372019E-3</c:v>
                </c:pt>
                <c:pt idx="300">
                  <c:v>2.2380922753647138E-3</c:v>
                </c:pt>
                <c:pt idx="301">
                  <c:v>2.2404968919189278E-3</c:v>
                </c:pt>
                <c:pt idx="302">
                  <c:v>2.2428854058580703E-3</c:v>
                </c:pt>
                <c:pt idx="303">
                  <c:v>2.2452579250134162E-3</c:v>
                </c:pt>
                <c:pt idx="304">
                  <c:v>2.2476145564941574E-3</c:v>
                </c:pt>
                <c:pt idx="305">
                  <c:v>2.249955406692239E-3</c:v>
                </c:pt>
                <c:pt idx="306">
                  <c:v>2.2522805812871609E-3</c:v>
                </c:pt>
                <c:pt idx="307">
                  <c:v>2.2545901852507487E-3</c:v>
                </c:pt>
                <c:pt idx="308">
                  <c:v>2.2568843228518922E-3</c:v>
                </c:pt>
                <c:pt idx="309">
                  <c:v>2.2591630976612534E-3</c:v>
                </c:pt>
                <c:pt idx="310">
                  <c:v>2.2614266125559413E-3</c:v>
                </c:pt>
                <c:pt idx="311">
                  <c:v>2.2636749697241558E-3</c:v>
                </c:pt>
                <c:pt idx="312">
                  <c:v>2.2659082706698009E-3</c:v>
                </c:pt>
                <c:pt idx="313">
                  <c:v>2.268126616217067E-3</c:v>
                </c:pt>
                <c:pt idx="314">
                  <c:v>2.2703301065149827E-3</c:v>
                </c:pt>
                <c:pt idx="315">
                  <c:v>2.2725188410419352E-3</c:v>
                </c:pt>
                <c:pt idx="316">
                  <c:v>2.2746929186101615E-3</c:v>
                </c:pt>
                <c:pt idx="317">
                  <c:v>2.2768524373702093E-3</c:v>
                </c:pt>
                <c:pt idx="318">
                  <c:v>2.2789974948153667E-3</c:v>
                </c:pt>
                <c:pt idx="319">
                  <c:v>2.2811281877860648E-3</c:v>
                </c:pt>
                <c:pt idx="320">
                  <c:v>2.2832446124742486E-3</c:v>
                </c:pt>
                <c:pt idx="321">
                  <c:v>2.2853468644277192E-3</c:v>
                </c:pt>
                <c:pt idx="322">
                  <c:v>2.2874350385544474E-3</c:v>
                </c:pt>
                <c:pt idx="323">
                  <c:v>2.2895092291268584E-3</c:v>
                </c:pt>
                <c:pt idx="324">
                  <c:v>2.2915695297860881E-3</c:v>
                </c:pt>
                <c:pt idx="325">
                  <c:v>2.2936160335462084E-3</c:v>
                </c:pt>
                <c:pt idx="326">
                  <c:v>2.2956488327984283E-3</c:v>
                </c:pt>
                <c:pt idx="327">
                  <c:v>2.2976680193152635E-3</c:v>
                </c:pt>
                <c:pt idx="328">
                  <c:v>2.2996736842546793E-3</c:v>
                </c:pt>
                <c:pt idx="329">
                  <c:v>2.301665918164207E-3</c:v>
                </c:pt>
                <c:pt idx="330">
                  <c:v>2.3036448109850305E-3</c:v>
                </c:pt>
                <c:pt idx="331">
                  <c:v>2.3056104520560463E-3</c:v>
                </c:pt>
                <c:pt idx="332">
                  <c:v>2.3075629301178976E-3</c:v>
                </c:pt>
                <c:pt idx="333">
                  <c:v>2.3095023333169792E-3</c:v>
                </c:pt>
                <c:pt idx="334">
                  <c:v>2.3114287492094179E-3</c:v>
                </c:pt>
                <c:pt idx="335">
                  <c:v>2.3133422647650245E-3</c:v>
                </c:pt>
                <c:pt idx="336">
                  <c:v>2.3152429663712195E-3</c:v>
                </c:pt>
                <c:pt idx="337">
                  <c:v>2.3171309398369341E-3</c:v>
                </c:pt>
                <c:pt idx="338">
                  <c:v>2.3190062703964832E-3</c:v>
                </c:pt>
                <c:pt idx="339">
                  <c:v>2.3208690427134128E-3</c:v>
                </c:pt>
                <c:pt idx="340">
                  <c:v>2.3227193408843229E-3</c:v>
                </c:pt>
                <c:pt idx="341">
                  <c:v>2.3245572484426637E-3</c:v>
                </c:pt>
                <c:pt idx="342">
                  <c:v>2.3263828483625058E-3</c:v>
                </c:pt>
                <c:pt idx="343">
                  <c:v>2.3281962230622872E-3</c:v>
                </c:pt>
                <c:pt idx="344">
                  <c:v>2.3299974544085337E-3</c:v>
                </c:pt>
                <c:pt idx="345">
                  <c:v>2.3317866237195536E-3</c:v>
                </c:pt>
                <c:pt idx="346">
                  <c:v>2.3335638117691101E-3</c:v>
                </c:pt>
                <c:pt idx="347">
                  <c:v>2.3353290987900674E-3</c:v>
                </c:pt>
                <c:pt idx="348">
                  <c:v>2.337082564478012E-3</c:v>
                </c:pt>
                <c:pt idx="349">
                  <c:v>2.3388242879948513E-3</c:v>
                </c:pt>
                <c:pt idx="350">
                  <c:v>2.3405543479723869E-3</c:v>
                </c:pt>
                <c:pt idx="351">
                  <c:v>2.3422728225158647E-3</c:v>
                </c:pt>
                <c:pt idx="352">
                  <c:v>2.3439797892075001E-3</c:v>
                </c:pt>
                <c:pt idx="353">
                  <c:v>2.3456753251099812E-3</c:v>
                </c:pt>
                <c:pt idx="354">
                  <c:v>2.3473595067699479E-3</c:v>
                </c:pt>
                <c:pt idx="355">
                  <c:v>2.3490324102214463E-3</c:v>
                </c:pt>
                <c:pt idx="356">
                  <c:v>2.3506941109893626E-3</c:v>
                </c:pt>
                <c:pt idx="357">
                  <c:v>2.3523446840928324E-3</c:v>
                </c:pt>
                <c:pt idx="358">
                  <c:v>2.3539842040486256E-3</c:v>
                </c:pt>
                <c:pt idx="359">
                  <c:v>2.3556127448745132E-3</c:v>
                </c:pt>
                <c:pt idx="360">
                  <c:v>2.3572303800926063E-3</c:v>
                </c:pt>
                <c:pt idx="361">
                  <c:v>2.3588371827326774E-3</c:v>
                </c:pt>
                <c:pt idx="362">
                  <c:v>2.360433225335455E-3</c:v>
                </c:pt>
                <c:pt idx="363">
                  <c:v>2.3620185799559006E-3</c:v>
                </c:pt>
                <c:pt idx="364">
                  <c:v>2.3635933181664595E-3</c:v>
                </c:pt>
                <c:pt idx="365">
                  <c:v>2.365157511060294E-3</c:v>
                </c:pt>
                <c:pt idx="366">
                  <c:v>2.3667112292544913E-3</c:v>
                </c:pt>
                <c:pt idx="367">
                  <c:v>2.3682545428932514E-3</c:v>
                </c:pt>
                <c:pt idx="368">
                  <c:v>2.3697875216510556E-3</c:v>
                </c:pt>
                <c:pt idx="369">
                  <c:v>2.3713102347358095E-3</c:v>
                </c:pt>
                <c:pt idx="370">
                  <c:v>2.372822750891969E-3</c:v>
                </c:pt>
                <c:pt idx="371">
                  <c:v>2.3743251384036428E-3</c:v>
                </c:pt>
                <c:pt idx="372">
                  <c:v>2.3758174650976758E-3</c:v>
                </c:pt>
                <c:pt idx="373">
                  <c:v>2.377299798346711E-3</c:v>
                </c:pt>
                <c:pt idx="374">
                  <c:v>2.3787722050722304E-3</c:v>
                </c:pt>
                <c:pt idx="375">
                  <c:v>2.3802347517475763E-3</c:v>
                </c:pt>
                <c:pt idx="376">
                  <c:v>2.3816875044009533E-3</c:v>
                </c:pt>
                <c:pt idx="377">
                  <c:v>2.3831305286184071E-3</c:v>
                </c:pt>
                <c:pt idx="378">
                  <c:v>2.3845638895467879E-3</c:v>
                </c:pt>
                <c:pt idx="379">
                  <c:v>2.385987651896689E-3</c:v>
                </c:pt>
                <c:pt idx="380">
                  <c:v>2.3874018799453695E-3</c:v>
                </c:pt>
                <c:pt idx="381">
                  <c:v>2.3888066375396554E-3</c:v>
                </c:pt>
                <c:pt idx="382">
                  <c:v>2.3902019880988235E-3</c:v>
                </c:pt>
                <c:pt idx="383">
                  <c:v>2.3915879946174619E-3</c:v>
                </c:pt>
                <c:pt idx="384">
                  <c:v>2.3929647196683163E-3</c:v>
                </c:pt>
                <c:pt idx="385">
                  <c:v>2.3943322254051133E-3</c:v>
                </c:pt>
                <c:pt idx="386">
                  <c:v>2.3956905735653669E-3</c:v>
                </c:pt>
                <c:pt idx="387">
                  <c:v>2.3970398254731648E-3</c:v>
                </c:pt>
                <c:pt idx="388">
                  <c:v>2.3983800420419388E-3</c:v>
                </c:pt>
                <c:pt idx="389">
                  <c:v>2.3997112837772132E-3</c:v>
                </c:pt>
                <c:pt idx="390">
                  <c:v>2.4010336107793359E-3</c:v>
                </c:pt>
                <c:pt idx="391">
                  <c:v>2.4023470827461936E-3</c:v>
                </c:pt>
                <c:pt idx="392">
                  <c:v>2.4036517589759044E-3</c:v>
                </c:pt>
                <c:pt idx="393">
                  <c:v>2.4049476983694969E-3</c:v>
                </c:pt>
                <c:pt idx="394">
                  <c:v>2.4062349594335679E-3</c:v>
                </c:pt>
                <c:pt idx="395">
                  <c:v>2.4075136002829245E-3</c:v>
                </c:pt>
                <c:pt idx="396">
                  <c:v>2.4087836786432074E-3</c:v>
                </c:pt>
                <c:pt idx="397">
                  <c:v>2.4100452518534972E-3</c:v>
                </c:pt>
                <c:pt idx="398">
                  <c:v>2.4112983768689012E-3</c:v>
                </c:pt>
                <c:pt idx="399">
                  <c:v>2.4125431102631281E-3</c:v>
                </c:pt>
                <c:pt idx="400">
                  <c:v>2.4137795082310384E-3</c:v>
                </c:pt>
                <c:pt idx="401">
                  <c:v>2.4150076265911842E-3</c:v>
                </c:pt>
                <c:pt idx="402">
                  <c:v>2.4162275207883269E-3</c:v>
                </c:pt>
                <c:pt idx="403">
                  <c:v>2.4174392458959416E-3</c:v>
                </c:pt>
                <c:pt idx="404">
                  <c:v>2.4186428566187038E-3</c:v>
                </c:pt>
                <c:pt idx="405">
                  <c:v>2.419838407294957E-3</c:v>
                </c:pt>
                <c:pt idx="406">
                  <c:v>2.4210259518991683E-3</c:v>
                </c:pt>
                <c:pt idx="407">
                  <c:v>2.4222055440443623E-3</c:v>
                </c:pt>
                <c:pt idx="408">
                  <c:v>2.4233772369845448E-3</c:v>
                </c:pt>
                <c:pt idx="409">
                  <c:v>2.4245410836171051E-3</c:v>
                </c:pt>
                <c:pt idx="410">
                  <c:v>2.4256971364852026E-3</c:v>
                </c:pt>
                <c:pt idx="411">
                  <c:v>2.4268454477801415E-3</c:v>
                </c:pt>
                <c:pt idx="412">
                  <c:v>2.4279860693437261E-3</c:v>
                </c:pt>
                <c:pt idx="413">
                  <c:v>2.4291190526706005E-3</c:v>
                </c:pt>
                <c:pt idx="414">
                  <c:v>2.4302444489105743E-3</c:v>
                </c:pt>
                <c:pt idx="415">
                  <c:v>2.4313623088709313E-3</c:v>
                </c:pt>
                <c:pt idx="416">
                  <c:v>2.4324726830187229E-3</c:v>
                </c:pt>
                <c:pt idx="417">
                  <c:v>2.4335756214830468E-3</c:v>
                </c:pt>
                <c:pt idx="418">
                  <c:v>2.4346711740573109E-3</c:v>
                </c:pt>
                <c:pt idx="419">
                  <c:v>2.4357593902014801E-3</c:v>
                </c:pt>
                <c:pt idx="420">
                  <c:v>2.4368403190443083E-3</c:v>
                </c:pt>
                <c:pt idx="421">
                  <c:v>2.437914009385559E-3</c:v>
                </c:pt>
                <c:pt idx="422">
                  <c:v>2.4389805096982063E-3</c:v>
                </c:pt>
                <c:pt idx="423">
                  <c:v>2.440039868130624E-3</c:v>
                </c:pt>
                <c:pt idx="424">
                  <c:v>2.4410921325087589E-3</c:v>
                </c:pt>
                <c:pt idx="425">
                  <c:v>2.4421373503382905E-3</c:v>
                </c:pt>
                <c:pt idx="426">
                  <c:v>2.4431755688067748E-3</c:v>
                </c:pt>
                <c:pt idx="427">
                  <c:v>2.4442068347857765E-3</c:v>
                </c:pt>
                <c:pt idx="428">
                  <c:v>2.4452311948329813E-3</c:v>
                </c:pt>
                <c:pt idx="429">
                  <c:v>2.4462486951943021E-3</c:v>
                </c:pt>
                <c:pt idx="430">
                  <c:v>2.4472593818059638E-3</c:v>
                </c:pt>
                <c:pt idx="431">
                  <c:v>2.448263300296578E-3</c:v>
                </c:pt>
                <c:pt idx="432">
                  <c:v>2.4492604959892041E-3</c:v>
                </c:pt>
                <c:pt idx="433">
                  <c:v>2.4502510139033933E-3</c:v>
                </c:pt>
                <c:pt idx="434">
                  <c:v>2.4512348987572228E-3</c:v>
                </c:pt>
                <c:pt idx="435">
                  <c:v>2.4522121949693129E-3</c:v>
                </c:pt>
                <c:pt idx="436">
                  <c:v>2.4531829466608339E-3</c:v>
                </c:pt>
                <c:pt idx="437">
                  <c:v>2.4541471976574974E-3</c:v>
                </c:pt>
                <c:pt idx="438">
                  <c:v>2.4551049914915352E-3</c:v>
                </c:pt>
                <c:pt idx="439">
                  <c:v>2.4560563714036629E-3</c:v>
                </c:pt>
                <c:pt idx="440">
                  <c:v>2.4570013803450344E-3</c:v>
                </c:pt>
                <c:pt idx="441">
                  <c:v>2.4579400609791805E-3</c:v>
                </c:pt>
                <c:pt idx="442">
                  <c:v>2.4588724556839324E-3</c:v>
                </c:pt>
                <c:pt idx="443">
                  <c:v>2.459798606553338E-3</c:v>
                </c:pt>
                <c:pt idx="444">
                  <c:v>2.4607185553995607E-3</c:v>
                </c:pt>
                <c:pt idx="445">
                  <c:v>2.4616323437547678E-3</c:v>
                </c:pt>
                <c:pt idx="446">
                  <c:v>2.4625400128730044E-3</c:v>
                </c:pt>
                <c:pt idx="447">
                  <c:v>2.4634416037320572E-3</c:v>
                </c:pt>
                <c:pt idx="448">
                  <c:v>2.4643371570353036E-3</c:v>
                </c:pt>
                <c:pt idx="449">
                  <c:v>2.465226713213549E-3</c:v>
                </c:pt>
                <c:pt idx="450">
                  <c:v>2.4661103124268527E-3</c:v>
                </c:pt>
                <c:pt idx="451">
                  <c:v>2.4669879945663411E-3</c:v>
                </c:pt>
                <c:pt idx="452">
                  <c:v>2.4678597992560079E-3</c:v>
                </c:pt>
                <c:pt idx="453">
                  <c:v>2.4687257658545033E-3</c:v>
                </c:pt>
                <c:pt idx="454">
                  <c:v>2.469585933456911E-3</c:v>
                </c:pt>
                <c:pt idx="455">
                  <c:v>2.4704403408965141E-3</c:v>
                </c:pt>
                <c:pt idx="456">
                  <c:v>2.4712890267465453E-3</c:v>
                </c:pt>
                <c:pt idx="457">
                  <c:v>2.4721320293219313E-3</c:v>
                </c:pt>
                <c:pt idx="458">
                  <c:v>2.4729693866810216E-3</c:v>
                </c:pt>
                <c:pt idx="459">
                  <c:v>2.4738011366273061E-3</c:v>
                </c:pt>
                <c:pt idx="460">
                  <c:v>2.4746273167111227E-3</c:v>
                </c:pt>
                <c:pt idx="461">
                  <c:v>2.4754479642313519E-3</c:v>
                </c:pt>
                <c:pt idx="462">
                  <c:v>2.4762631162371005E-3</c:v>
                </c:pt>
                <c:pt idx="463">
                  <c:v>2.4770728095293744E-3</c:v>
                </c:pt>
                <c:pt idx="464">
                  <c:v>2.4778770806627407E-3</c:v>
                </c:pt>
                <c:pt idx="465">
                  <c:v>2.478675965946977E-3</c:v>
                </c:pt>
                <c:pt idx="466">
                  <c:v>2.4794695014487118E-3</c:v>
                </c:pt>
                <c:pt idx="467">
                  <c:v>2.4802577229930509E-3</c:v>
                </c:pt>
                <c:pt idx="468">
                  <c:v>2.4810406661651967E-3</c:v>
                </c:pt>
                <c:pt idx="469">
                  <c:v>2.4818183663120538E-3</c:v>
                </c:pt>
                <c:pt idx="470">
                  <c:v>2.4825908585438244E-3</c:v>
                </c:pt>
                <c:pt idx="471">
                  <c:v>2.4833581777355938E-3</c:v>
                </c:pt>
                <c:pt idx="472">
                  <c:v>2.4841203585289056E-3</c:v>
                </c:pt>
                <c:pt idx="473">
                  <c:v>2.484877435333324E-3</c:v>
                </c:pt>
                <c:pt idx="474">
                  <c:v>2.4856294423279894E-3</c:v>
                </c:pt>
                <c:pt idx="475">
                  <c:v>2.4863764134631585E-3</c:v>
                </c:pt>
                <c:pt idx="476">
                  <c:v>2.4871183824617398E-3</c:v>
                </c:pt>
                <c:pt idx="477">
                  <c:v>2.4878553828208143E-3</c:v>
                </c:pt>
                <c:pt idx="478">
                  <c:v>2.488587447813149E-3</c:v>
                </c:pt>
                <c:pt idx="479">
                  <c:v>2.4893146104886981E-3</c:v>
                </c:pt>
                <c:pt idx="480">
                  <c:v>2.4900369036760959E-3</c:v>
                </c:pt>
                <c:pt idx="481">
                  <c:v>2.4907543599841371E-3</c:v>
                </c:pt>
                <c:pt idx="482">
                  <c:v>2.4914670118032513E-3</c:v>
                </c:pt>
                <c:pt idx="483">
                  <c:v>2.4921748913069642E-3</c:v>
                </c:pt>
                <c:pt idx="484">
                  <c:v>2.4928780304533495E-3</c:v>
                </c:pt>
                <c:pt idx="485">
                  <c:v>2.493576460986472E-3</c:v>
                </c:pt>
                <c:pt idx="486">
                  <c:v>2.4942702144378224E-3</c:v>
                </c:pt>
                <c:pt idx="487">
                  <c:v>2.4949593221277383E-3</c:v>
                </c:pt>
                <c:pt idx="488">
                  <c:v>2.4956438151668187E-3</c:v>
                </c:pt>
                <c:pt idx="489">
                  <c:v>2.4963237244573309E-3</c:v>
                </c:pt>
                <c:pt idx="490">
                  <c:v>2.4969990806946018E-3</c:v>
                </c:pt>
                <c:pt idx="491">
                  <c:v>2.4976699143684075E-3</c:v>
                </c:pt>
                <c:pt idx="492">
                  <c:v>2.4983362557643466E-3</c:v>
                </c:pt>
                <c:pt idx="493">
                  <c:v>2.4989981349652093E-3</c:v>
                </c:pt>
                <c:pt idx="494">
                  <c:v>2.4996555818523349E-3</c:v>
                </c:pt>
                <c:pt idx="495">
                  <c:v>2.5003086261069611E-3</c:v>
                </c:pt>
                <c:pt idx="496">
                  <c:v>2.5009572972115634E-3</c:v>
                </c:pt>
                <c:pt idx="497">
                  <c:v>2.5016016244511874E-3</c:v>
                </c:pt>
                <c:pt idx="498">
                  <c:v>2.5022416369147697E-3</c:v>
                </c:pt>
                <c:pt idx="499">
                  <c:v>2.502877363496451E-3</c:v>
                </c:pt>
                <c:pt idx="500">
                  <c:v>2.5035088328968814E-3</c:v>
                </c:pt>
                <c:pt idx="501">
                  <c:v>2.5041360736245159E-3</c:v>
                </c:pt>
                <c:pt idx="502">
                  <c:v>2.504759113996901E-3</c:v>
                </c:pt>
                <c:pt idx="503">
                  <c:v>2.5053779821419533E-3</c:v>
                </c:pt>
                <c:pt idx="504">
                  <c:v>2.5059927059992303E-3</c:v>
                </c:pt>
                <c:pt idx="505">
                  <c:v>2.5066033133211907E-3</c:v>
                </c:pt>
                <c:pt idx="506">
                  <c:v>2.5072098316744462E-3</c:v>
                </c:pt>
                <c:pt idx="507">
                  <c:v>2.5078122884410084E-3</c:v>
                </c:pt>
                <c:pt idx="508">
                  <c:v>2.5084107108195247E-3</c:v>
                </c:pt>
                <c:pt idx="509">
                  <c:v>2.5090051258265045E-3</c:v>
                </c:pt>
                <c:pt idx="510">
                  <c:v>2.5095955602975391E-3</c:v>
                </c:pt>
                <c:pt idx="511">
                  <c:v>2.5101820408885158E-3</c:v>
                </c:pt>
                <c:pt idx="512">
                  <c:v>2.5107645940768185E-3</c:v>
                </c:pt>
                <c:pt idx="513">
                  <c:v>2.5113432461625236E-3</c:v>
                </c:pt>
                <c:pt idx="514">
                  <c:v>2.5119180232695886E-3</c:v>
                </c:pt>
                <c:pt idx="515">
                  <c:v>2.5124889513470296E-3</c:v>
                </c:pt>
                <c:pt idx="516">
                  <c:v>2.5130560561700951E-3</c:v>
                </c:pt>
                <c:pt idx="517">
                  <c:v>2.5136193633414276E-3</c:v>
                </c:pt>
                <c:pt idx="518">
                  <c:v>2.5141788982922203E-3</c:v>
                </c:pt>
                <c:pt idx="519">
                  <c:v>2.5147346862833654E-3</c:v>
                </c:pt>
                <c:pt idx="520">
                  <c:v>2.5152867524065935E-3</c:v>
                </c:pt>
                <c:pt idx="521">
                  <c:v>2.5158351215856085E-3</c:v>
                </c:pt>
                <c:pt idx="522">
                  <c:v>2.5163798185772104E-3</c:v>
                </c:pt>
                <c:pt idx="523">
                  <c:v>2.5169208679724142E-3</c:v>
                </c:pt>
                <c:pt idx="524">
                  <c:v>2.5174582941975606E-3</c:v>
                </c:pt>
                <c:pt idx="525">
                  <c:v>2.5179921215154177E-3</c:v>
                </c:pt>
                <c:pt idx="526">
                  <c:v>2.5185223740262761E-3</c:v>
                </c:pt>
                <c:pt idx="527">
                  <c:v>2.5190490756690385E-3</c:v>
                </c:pt>
                <c:pt idx="528">
                  <c:v>2.5195722502222989E-3</c:v>
                </c:pt>
                <c:pt idx="529">
                  <c:v>2.5200919213054177E-3</c:v>
                </c:pt>
                <c:pt idx="530">
                  <c:v>2.5206081123795854E-3</c:v>
                </c:pt>
                <c:pt idx="531">
                  <c:v>2.5211208467488849E-3</c:v>
                </c:pt>
                <c:pt idx="532">
                  <c:v>2.5216301475613416E-3</c:v>
                </c:pt>
                <c:pt idx="533">
                  <c:v>2.5221360378099686E-3</c:v>
                </c:pt>
                <c:pt idx="534">
                  <c:v>2.5226385403338057E-3</c:v>
                </c:pt>
                <c:pt idx="535">
                  <c:v>2.5231376778189494E-3</c:v>
                </c:pt>
                <c:pt idx="536">
                  <c:v>2.5236334727995781E-3</c:v>
                </c:pt>
                <c:pt idx="537">
                  <c:v>2.5241259476589686E-3</c:v>
                </c:pt>
                <c:pt idx="538">
                  <c:v>2.5246151246305065E-3</c:v>
                </c:pt>
                <c:pt idx="539">
                  <c:v>2.5251010257986914E-3</c:v>
                </c:pt>
                <c:pt idx="540">
                  <c:v>2.5255836731001317E-3</c:v>
                </c:pt>
                <c:pt idx="541">
                  <c:v>2.5260630883245372E-3</c:v>
                </c:pt>
                <c:pt idx="542">
                  <c:v>2.5265392931157014E-3</c:v>
                </c:pt>
                <c:pt idx="543">
                  <c:v>2.5270123089724786E-3</c:v>
                </c:pt>
                <c:pt idx="544">
                  <c:v>2.5274821572497551E-3</c:v>
                </c:pt>
                <c:pt idx="545">
                  <c:v>2.5279488591594137E-3</c:v>
                </c:pt>
                <c:pt idx="546">
                  <c:v>2.5284124357712896E-3</c:v>
                </c:pt>
                <c:pt idx="547">
                  <c:v>2.5288729080141237E-3</c:v>
                </c:pt>
                <c:pt idx="548">
                  <c:v>2.5293302966765061E-3</c:v>
                </c:pt>
                <c:pt idx="549">
                  <c:v>2.5297846224078147E-3</c:v>
                </c:pt>
                <c:pt idx="550">
                  <c:v>2.5302359057191477E-3</c:v>
                </c:pt>
                <c:pt idx="551">
                  <c:v>2.5306841669842503E-3</c:v>
                </c:pt>
                <c:pt idx="552">
                  <c:v>2.5311294264404333E-3</c:v>
                </c:pt>
                <c:pt idx="553">
                  <c:v>2.5315717041894882E-3</c:v>
                </c:pt>
                <c:pt idx="554">
                  <c:v>2.5320110201985926E-3</c:v>
                </c:pt>
                <c:pt idx="555">
                  <c:v>2.5324473943012129E-3</c:v>
                </c:pt>
                <c:pt idx="556">
                  <c:v>2.5328808461980005E-3</c:v>
                </c:pt>
                <c:pt idx="557">
                  <c:v>2.5333113954576795E-3</c:v>
                </c:pt>
                <c:pt idx="558">
                  <c:v>2.5337390615179311E-3</c:v>
                </c:pt>
                <c:pt idx="559">
                  <c:v>2.5341638636862712E-3</c:v>
                </c:pt>
                <c:pt idx="560">
                  <c:v>2.534585821140922E-3</c:v>
                </c:pt>
                <c:pt idx="561">
                  <c:v>2.5350049529316776E-3</c:v>
                </c:pt>
                <c:pt idx="562">
                  <c:v>2.5354212779807638E-3</c:v>
                </c:pt>
                <c:pt idx="563">
                  <c:v>2.5358348150836931E-3</c:v>
                </c:pt>
                <c:pt idx="564">
                  <c:v>2.5362455829101124E-3</c:v>
                </c:pt>
                <c:pt idx="565">
                  <c:v>2.5366536000046469E-3</c:v>
                </c:pt>
                <c:pt idx="566">
                  <c:v>2.5370588847877362E-3</c:v>
                </c:pt>
                <c:pt idx="567">
                  <c:v>2.5374614555564662E-3</c:v>
                </c:pt>
                <c:pt idx="568">
                  <c:v>2.5378613304853958E-3</c:v>
                </c:pt>
                <c:pt idx="569">
                  <c:v>2.5382585276273774E-3</c:v>
                </c:pt>
                <c:pt idx="570">
                  <c:v>2.5386530649143704E-3</c:v>
                </c:pt>
                <c:pt idx="571">
                  <c:v>2.5390449601582527E-3</c:v>
                </c:pt>
                <c:pt idx="572">
                  <c:v>2.5394342310516237E-3</c:v>
                </c:pt>
                <c:pt idx="573">
                  <c:v>2.5398208951686032E-3</c:v>
                </c:pt>
                <c:pt idx="574">
                  <c:v>2.5402049699656251E-3</c:v>
                </c:pt>
                <c:pt idx="575">
                  <c:v>2.5405864727822249E-3</c:v>
                </c:pt>
                <c:pt idx="576">
                  <c:v>2.5409654208418237E-3</c:v>
                </c:pt>
                <c:pt idx="577">
                  <c:v>2.5413418312525042E-3</c:v>
                </c:pt>
                <c:pt idx="578">
                  <c:v>2.5417157210077847E-3</c:v>
                </c:pt>
                <c:pt idx="579">
                  <c:v>2.5420871069873848E-3</c:v>
                </c:pt>
                <c:pt idx="580">
                  <c:v>2.5424560059579882E-3</c:v>
                </c:pt>
                <c:pt idx="581">
                  <c:v>2.5428224345739998E-3</c:v>
                </c:pt>
                <c:pt idx="582">
                  <c:v>2.5431864093782967E-3</c:v>
                </c:pt>
                <c:pt idx="583">
                  <c:v>2.5435479468029769E-3</c:v>
                </c:pt>
                <c:pt idx="584">
                  <c:v>2.5439070631700991E-3</c:v>
                </c:pt>
                <c:pt idx="585">
                  <c:v>2.5442637746924206E-3</c:v>
                </c:pt>
                <c:pt idx="586">
                  <c:v>2.5446180974741288E-3</c:v>
                </c:pt>
                <c:pt idx="587">
                  <c:v>2.544970047511569E-3</c:v>
                </c:pt>
                <c:pt idx="588">
                  <c:v>2.5453196406939661E-3</c:v>
                </c:pt>
                <c:pt idx="589">
                  <c:v>2.5456668928041408E-3</c:v>
                </c:pt>
                <c:pt idx="590">
                  <c:v>2.5460118195192246E-3</c:v>
                </c:pt>
                <c:pt idx="591">
                  <c:v>2.5463544364113652E-3</c:v>
                </c:pt>
                <c:pt idx="592">
                  <c:v>2.5466947589484314E-3</c:v>
                </c:pt>
                <c:pt idx="593">
                  <c:v>2.5470328024947099E-3</c:v>
                </c:pt>
                <c:pt idx="594">
                  <c:v>2.5473685823115999E-3</c:v>
                </c:pt>
                <c:pt idx="595">
                  <c:v>2.5477021135583014E-3</c:v>
                </c:pt>
                <c:pt idx="596">
                  <c:v>2.5480334112925008E-3</c:v>
                </c:pt>
                <c:pt idx="597">
                  <c:v>2.5483624904710485E-3</c:v>
                </c:pt>
                <c:pt idx="598">
                  <c:v>2.5486893659506368E-3</c:v>
                </c:pt>
                <c:pt idx="599">
                  <c:v>2.5490140524884689E-3</c:v>
                </c:pt>
                <c:pt idx="600">
                  <c:v>2.5493365647429253E-3</c:v>
                </c:pt>
                <c:pt idx="601">
                  <c:v>2.5496569172742253E-3</c:v>
                </c:pt>
                <c:pt idx="602">
                  <c:v>2.5499751245450859E-3</c:v>
                </c:pt>
                <c:pt idx="603">
                  <c:v>2.5502912009213734E-3</c:v>
                </c:pt>
                <c:pt idx="604">
                  <c:v>2.5506051606727525E-3</c:v>
                </c:pt>
                <c:pt idx="605">
                  <c:v>2.5509170179733292E-3</c:v>
                </c:pt>
                <c:pt idx="606">
                  <c:v>2.5512267869022926E-3</c:v>
                </c:pt>
                <c:pt idx="607">
                  <c:v>2.5515344814445499E-3</c:v>
                </c:pt>
                <c:pt idx="608">
                  <c:v>2.551840115491357E-3</c:v>
                </c:pt>
                <c:pt idx="609">
                  <c:v>2.5521437028409467E-3</c:v>
                </c:pt>
                <c:pt idx="610">
                  <c:v>2.5524452571991504E-3</c:v>
                </c:pt>
                <c:pt idx="611">
                  <c:v>2.5527447921800187E-3</c:v>
                </c:pt>
                <c:pt idx="612">
                  <c:v>2.5530423213064339E-3</c:v>
                </c:pt>
                <c:pt idx="613">
                  <c:v>2.5533378580107221E-3</c:v>
                </c:pt>
                <c:pt idx="614">
                  <c:v>2.5536314156352586E-3</c:v>
                </c:pt>
                <c:pt idx="615">
                  <c:v>2.5539230074330711E-3</c:v>
                </c:pt>
                <c:pt idx="616">
                  <c:v>2.5542126465684374E-3</c:v>
                </c:pt>
                <c:pt idx="617">
                  <c:v>2.5545003461174805E-3</c:v>
                </c:pt>
                <c:pt idx="618">
                  <c:v>2.5547861190687582E-3</c:v>
                </c:pt>
                <c:pt idx="619">
                  <c:v>2.5550699783238487E-3</c:v>
                </c:pt>
                <c:pt idx="620">
                  <c:v>2.5553519366979353E-3</c:v>
                </c:pt>
                <c:pt idx="621">
                  <c:v>2.5556320069203826E-3</c:v>
                </c:pt>
                <c:pt idx="622">
                  <c:v>2.5559102016353133E-3</c:v>
                </c:pt>
                <c:pt idx="623">
                  <c:v>2.5561865334021773E-3</c:v>
                </c:pt>
                <c:pt idx="624">
                  <c:v>2.5564610146963196E-3</c:v>
                </c:pt>
                <c:pt idx="625">
                  <c:v>2.5567336579095435E-3</c:v>
                </c:pt>
                <c:pt idx="626">
                  <c:v>2.5570044753506693E-3</c:v>
                </c:pt>
                <c:pt idx="627">
                  <c:v>2.5572734792460917E-3</c:v>
                </c:pt>
                <c:pt idx="628">
                  <c:v>2.5575406817403296E-3</c:v>
                </c:pt>
                <c:pt idx="629">
                  <c:v>2.5578060948965751E-3</c:v>
                </c:pt>
                <c:pt idx="630">
                  <c:v>2.5580697306972397E-3</c:v>
                </c:pt>
                <c:pt idx="631">
                  <c:v>2.5583316010444929E-3</c:v>
                </c:pt>
                <c:pt idx="632">
                  <c:v>2.5585917177608011E-3</c:v>
                </c:pt>
                <c:pt idx="633">
                  <c:v>2.5588500925894614E-3</c:v>
                </c:pt>
                <c:pt idx="634">
                  <c:v>2.5591067371951298E-3</c:v>
                </c:pt>
                <c:pt idx="635">
                  <c:v>2.5593616631643507E-3</c:v>
                </c:pt>
                <c:pt idx="636">
                  <c:v>2.5596148820060771E-3</c:v>
                </c:pt>
                <c:pt idx="637">
                  <c:v>2.5598664051521931E-3</c:v>
                </c:pt>
                <c:pt idx="638">
                  <c:v>2.5601162439580277E-3</c:v>
                </c:pt>
                <c:pt idx="639">
                  <c:v>2.5603644097028679E-3</c:v>
                </c:pt>
                <c:pt idx="640">
                  <c:v>2.5606109135904694E-3</c:v>
                </c:pt>
                <c:pt idx="641">
                  <c:v>2.5608557667495604E-3</c:v>
                </c:pt>
                <c:pt idx="642">
                  <c:v>2.5610989802343454E-3</c:v>
                </c:pt>
                <c:pt idx="643">
                  <c:v>2.5613405650250034E-3</c:v>
                </c:pt>
                <c:pt idx="644">
                  <c:v>2.561580532028184E-3</c:v>
                </c:pt>
                <c:pt idx="645">
                  <c:v>2.5618188920775E-3</c:v>
                </c:pt>
                <c:pt idx="646">
                  <c:v>2.5620556559340156E-3</c:v>
                </c:pt>
                <c:pt idx="647">
                  <c:v>2.5622908342867344E-3</c:v>
                </c:pt>
                <c:pt idx="648">
                  <c:v>2.5625244377530791E-3</c:v>
                </c:pt>
                <c:pt idx="649">
                  <c:v>2.5627564768793726E-3</c:v>
                </c:pt>
                <c:pt idx="650">
                  <c:v>2.5629869621413138E-3</c:v>
                </c:pt>
                <c:pt idx="651">
                  <c:v>2.5632159039444503E-3</c:v>
                </c:pt>
                <c:pt idx="652">
                  <c:v>2.5634433126246483E-3</c:v>
                </c:pt>
                <c:pt idx="653">
                  <c:v>2.5636691984485599E-3</c:v>
                </c:pt>
                <c:pt idx="654">
                  <c:v>2.5638935716140849E-3</c:v>
                </c:pt>
                <c:pt idx="655">
                  <c:v>2.5641164422508327E-3</c:v>
                </c:pt>
                <c:pt idx="656">
                  <c:v>2.5643378204205799E-3</c:v>
                </c:pt>
                <c:pt idx="657">
                  <c:v>2.5645577161177223E-3</c:v>
                </c:pt>
                <c:pt idx="658">
                  <c:v>2.5647761392697294E-3</c:v>
                </c:pt>
                <c:pt idx="659">
                  <c:v>2.5649930997375891E-3</c:v>
                </c:pt>
                <c:pt idx="660">
                  <c:v>2.5652086073162561E-3</c:v>
                </c:pt>
                <c:pt idx="661">
                  <c:v>2.565422671735092E-3</c:v>
                </c:pt>
                <c:pt idx="662">
                  <c:v>2.5656353026583048E-3</c:v>
                </c:pt>
                <c:pt idx="663">
                  <c:v>2.5658465096853856E-3</c:v>
                </c:pt>
                <c:pt idx="664">
                  <c:v>2.566056302351542E-3</c:v>
                </c:pt>
                <c:pt idx="665">
                  <c:v>2.5662646901281295E-3</c:v>
                </c:pt>
                <c:pt idx="666">
                  <c:v>2.5664716824230762E-3</c:v>
                </c:pt>
                <c:pt idx="667">
                  <c:v>2.5666772885813115E-3</c:v>
                </c:pt>
                <c:pt idx="668">
                  <c:v>2.5668815178851844E-3</c:v>
                </c:pt>
                <c:pt idx="669">
                  <c:v>2.5670843795548848E-3</c:v>
                </c:pt>
                <c:pt idx="670">
                  <c:v>2.5672858827488587E-3</c:v>
                </c:pt>
                <c:pt idx="671">
                  <c:v>2.5674860365642225E-3</c:v>
                </c:pt>
                <c:pt idx="672">
                  <c:v>2.5676848500371728E-3</c:v>
                </c:pt>
                <c:pt idx="673">
                  <c:v>2.5678823321433944E-3</c:v>
                </c:pt>
                <c:pt idx="674">
                  <c:v>2.5680784917984671E-3</c:v>
                </c:pt>
                <c:pt idx="675">
                  <c:v>2.5682733378582659E-3</c:v>
                </c:pt>
                <c:pt idx="676">
                  <c:v>2.5684668791193621E-3</c:v>
                </c:pt>
                <c:pt idx="677">
                  <c:v>2.5686591243194203E-3</c:v>
                </c:pt>
                <c:pt idx="678">
                  <c:v>2.5688500821375933E-3</c:v>
                </c:pt>
                <c:pt idx="679">
                  <c:v>2.5690397611949126E-3</c:v>
                </c:pt>
                <c:pt idx="680">
                  <c:v>2.5692281700546793E-3</c:v>
                </c:pt>
                <c:pt idx="681">
                  <c:v>2.5694153172228489E-3</c:v>
                </c:pt>
                <c:pt idx="682">
                  <c:v>2.5696012111484177E-3</c:v>
                </c:pt>
                <c:pt idx="683">
                  <c:v>2.5697858602238008E-3</c:v>
                </c:pt>
                <c:pt idx="684">
                  <c:v>2.5699692727852138E-3</c:v>
                </c:pt>
                <c:pt idx="685">
                  <c:v>2.5701514571130494E-3</c:v>
                </c:pt>
                <c:pt idx="686">
                  <c:v>2.5703324214322492E-3</c:v>
                </c:pt>
                <c:pt idx="687">
                  <c:v>2.570512173912676E-3</c:v>
                </c:pt>
                <c:pt idx="688">
                  <c:v>2.5706907226694825E-3</c:v>
                </c:pt>
                <c:pt idx="689">
                  <c:v>2.570868075763478E-3</c:v>
                </c:pt>
                <c:pt idx="690">
                  <c:v>2.5710442412014921E-3</c:v>
                </c:pt>
                <c:pt idx="691">
                  <c:v>2.5712192269367364E-3</c:v>
                </c:pt>
                <c:pt idx="692">
                  <c:v>2.5713930408691626E-3</c:v>
                </c:pt>
                <c:pt idx="693">
                  <c:v>2.5715656908458211E-3</c:v>
                </c:pt>
                <c:pt idx="694">
                  <c:v>2.5717371846612131E-3</c:v>
                </c:pt>
                <c:pt idx="695">
                  <c:v>2.5719075300576436E-3</c:v>
                </c:pt>
                <c:pt idx="696">
                  <c:v>2.5720767347255711E-3</c:v>
                </c:pt>
                <c:pt idx="697">
                  <c:v>2.5722448063039537E-3</c:v>
                </c:pt>
                <c:pt idx="698">
                  <c:v>2.5724117523805963E-3</c:v>
                </c:pt>
                <c:pt idx="699">
                  <c:v>2.57257758049249E-3</c:v>
                </c:pt>
                <c:pt idx="700">
                  <c:v>2.5727422981261547E-3</c:v>
                </c:pt>
                <c:pt idx="701">
                  <c:v>2.5729059127179762E-3</c:v>
                </c:pt>
                <c:pt idx="702">
                  <c:v>2.5730684316545424E-3</c:v>
                </c:pt>
                <c:pt idx="703">
                  <c:v>2.5732298622729759E-3</c:v>
                </c:pt>
                <c:pt idx="704">
                  <c:v>2.5733902118612669E-3</c:v>
                </c:pt>
                <c:pt idx="705">
                  <c:v>2.5735494876585998E-3</c:v>
                </c:pt>
                <c:pt idx="706">
                  <c:v>2.5737076968556818E-3</c:v>
                </c:pt>
                <c:pt idx="707">
                  <c:v>2.5738648465950678E-3</c:v>
                </c:pt>
                <c:pt idx="708">
                  <c:v>2.5740209439714815E-3</c:v>
                </c:pt>
                <c:pt idx="709">
                  <c:v>2.5741759960321358E-3</c:v>
                </c:pt>
                <c:pt idx="710">
                  <c:v>2.574330009777053E-3</c:v>
                </c:pt>
                <c:pt idx="711">
                  <c:v>2.5744829921593776E-3</c:v>
                </c:pt>
                <c:pt idx="712">
                  <c:v>2.5746349500856934E-3</c:v>
                </c:pt>
                <c:pt idx="713">
                  <c:v>2.5747858904163331E-3</c:v>
                </c:pt>
                <c:pt idx="714">
                  <c:v>2.5749358199656895E-3</c:v>
                </c:pt>
                <c:pt idx="715">
                  <c:v>2.5750847455025213E-3</c:v>
                </c:pt>
                <c:pt idx="716">
                  <c:v>2.5752326737502598E-3</c:v>
                </c:pt>
                <c:pt idx="717">
                  <c:v>2.5753796113873136E-3</c:v>
                </c:pt>
                <c:pt idx="718">
                  <c:v>2.5755255650473682E-3</c:v>
                </c:pt>
                <c:pt idx="719">
                  <c:v>2.5756705413196865E-3</c:v>
                </c:pt>
                <c:pt idx="720">
                  <c:v>2.5758145467494054E-3</c:v>
                </c:pt>
                <c:pt idx="721">
                  <c:v>2.5759575878378325E-3</c:v>
                </c:pt>
                <c:pt idx="722">
                  <c:v>2.5760996710427393E-3</c:v>
                </c:pt>
                <c:pt idx="723">
                  <c:v>2.5762408027786513E-3</c:v>
                </c:pt>
                <c:pt idx="724">
                  <c:v>2.576380989417139E-3</c:v>
                </c:pt>
                <c:pt idx="725">
                  <c:v>2.5765202372871067E-3</c:v>
                </c:pt>
                <c:pt idx="726">
                  <c:v>2.5766585526750757E-3</c:v>
                </c:pt>
                <c:pt idx="727">
                  <c:v>2.5767959418254681E-3</c:v>
                </c:pt>
                <c:pt idx="728">
                  <c:v>2.5769324109408921E-3</c:v>
                </c:pt>
                <c:pt idx="729">
                  <c:v>2.5770679661824185E-3</c:v>
                </c:pt>
                <c:pt idx="730">
                  <c:v>2.5772026136698604E-3</c:v>
                </c:pt>
                <c:pt idx="731">
                  <c:v>2.5773363594820487E-3</c:v>
                </c:pt>
                <c:pt idx="732">
                  <c:v>2.5774692096571074E-3</c:v>
                </c:pt>
                <c:pt idx="733">
                  <c:v>2.5776011701927268E-3</c:v>
                </c:pt>
                <c:pt idx="734">
                  <c:v>2.5777322470464316E-3</c:v>
                </c:pt>
                <c:pt idx="735">
                  <c:v>2.5778624461358524E-3</c:v>
                </c:pt>
                <c:pt idx="736">
                  <c:v>2.5779917733389922E-3</c:v>
                </c:pt>
                <c:pt idx="737">
                  <c:v>2.5781202344944913E-3</c:v>
                </c:pt>
                <c:pt idx="738">
                  <c:v>2.5782478354018914E-3</c:v>
                </c:pt>
                <c:pt idx="739">
                  <c:v>2.5783745818218971E-3</c:v>
                </c:pt>
                <c:pt idx="740">
                  <c:v>2.5785004794766355E-3</c:v>
                </c:pt>
                <c:pt idx="741">
                  <c:v>2.578625534049916E-3</c:v>
                </c:pt>
                <c:pt idx="742">
                  <c:v>2.5787497511874859E-3</c:v>
                </c:pt>
                <c:pt idx="743">
                  <c:v>2.578873136497285E-3</c:v>
                </c:pt>
                <c:pt idx="744">
                  <c:v>2.5789956955497E-3</c:v>
                </c:pt>
                <c:pt idx="745">
                  <c:v>2.5791174338778136E-3</c:v>
                </c:pt>
                <c:pt idx="746">
                  <c:v>2.5792383569776573E-3</c:v>
                </c:pt>
                <c:pt idx="747">
                  <c:v>2.5793584703084575E-3</c:v>
                </c:pt>
                <c:pt idx="748">
                  <c:v>2.579477779292883E-3</c:v>
                </c:pt>
                <c:pt idx="749">
                  <c:v>2.5795962893172893E-3</c:v>
                </c:pt>
                <c:pt idx="750">
                  <c:v>2.5797140057319612E-3</c:v>
                </c:pt>
                <c:pt idx="751">
                  <c:v>2.5798309338513552E-3</c:v>
                </c:pt>
                <c:pt idx="752">
                  <c:v>2.5799470789543396E-3</c:v>
                </c:pt>
                <c:pt idx="753">
                  <c:v>2.5800624462844327E-3</c:v>
                </c:pt>
                <c:pt idx="754">
                  <c:v>2.5801770410500378E-3</c:v>
                </c:pt>
                <c:pt idx="755">
                  <c:v>2.5802908684246814E-3</c:v>
                </c:pt>
                <c:pt idx="756">
                  <c:v>2.5804039335472445E-3</c:v>
                </c:pt>
                <c:pt idx="757">
                  <c:v>2.5805162415221952E-3</c:v>
                </c:pt>
                <c:pt idx="758">
                  <c:v>2.5806277974198197E-3</c:v>
                </c:pt>
                <c:pt idx="759">
                  <c:v>2.58073860627645E-3</c:v>
                </c:pt>
                <c:pt idx="760">
                  <c:v>2.5808486730946926E-3</c:v>
                </c:pt>
                <c:pt idx="761">
                  <c:v>2.5809580028436532E-3</c:v>
                </c:pt>
                <c:pt idx="762">
                  <c:v>2.5810666004591623E-3</c:v>
                </c:pt>
                <c:pt idx="763">
                  <c:v>2.5811744708439969E-3</c:v>
                </c:pt>
                <c:pt idx="764">
                  <c:v>2.5812816188681021E-3</c:v>
                </c:pt>
                <c:pt idx="765">
                  <c:v>2.5813880493688111E-3</c:v>
                </c:pt>
                <c:pt idx="766">
                  <c:v>2.5814937671510634E-3</c:v>
                </c:pt>
                <c:pt idx="767">
                  <c:v>2.5815987769876232E-3</c:v>
                </c:pt>
                <c:pt idx="768">
                  <c:v>2.5817030836192919E-3</c:v>
                </c:pt>
                <c:pt idx="769">
                  <c:v>2.5818066917551248E-3</c:v>
                </c:pt>
                <c:pt idx="770">
                  <c:v>2.5819096060726424E-3</c:v>
                </c:pt>
                <c:pt idx="771">
                  <c:v>2.5820118312180423E-3</c:v>
                </c:pt>
                <c:pt idx="772">
                  <c:v>2.5821133718064077E-3</c:v>
                </c:pt>
                <c:pt idx="773">
                  <c:v>2.5822142324219183E-3</c:v>
                </c:pt>
                <c:pt idx="774">
                  <c:v>2.5823144176180535E-3</c:v>
                </c:pt>
                <c:pt idx="775">
                  <c:v>2.5824139319178016E-3</c:v>
                </c:pt>
                <c:pt idx="776">
                  <c:v>2.5825127798138614E-3</c:v>
                </c:pt>
                <c:pt idx="777">
                  <c:v>2.5826109657688463E-3</c:v>
                </c:pt>
                <c:pt idx="778">
                  <c:v>2.5827084942154862E-3</c:v>
                </c:pt>
                <c:pt idx="779">
                  <c:v>2.5828053695568262E-3</c:v>
                </c:pt>
                <c:pt idx="780">
                  <c:v>2.5829015961664264E-3</c:v>
                </c:pt>
                <c:pt idx="781">
                  <c:v>2.5829971783885596E-3</c:v>
                </c:pt>
                <c:pt idx="782">
                  <c:v>2.5830921205384056E-3</c:v>
                </c:pt>
                <c:pt idx="783">
                  <c:v>2.5831864269022483E-3</c:v>
                </c:pt>
                <c:pt idx="784">
                  <c:v>2.5832801017376681E-3</c:v>
                </c:pt>
                <c:pt idx="785">
                  <c:v>2.5833731492737348E-3</c:v>
                </c:pt>
                <c:pt idx="786">
                  <c:v>2.5834655737111967E-3</c:v>
                </c:pt>
                <c:pt idx="787">
                  <c:v>2.583557379222673E-3</c:v>
                </c:pt>
                <c:pt idx="788">
                  <c:v>2.5836485699528393E-3</c:v>
                </c:pt>
                <c:pt idx="789">
                  <c:v>2.5837391500186167E-3</c:v>
                </c:pt>
                <c:pt idx="790">
                  <c:v>2.5838291235093574E-3</c:v>
                </c:pt>
                <c:pt idx="791">
                  <c:v>2.5839184944870283E-3</c:v>
                </c:pt>
                <c:pt idx="792">
                  <c:v>2.5840072669863962E-3</c:v>
                </c:pt>
                <c:pt idx="793">
                  <c:v>2.5840954450152081E-3</c:v>
                </c:pt>
                <c:pt idx="794">
                  <c:v>2.5841830325543723E-3</c:v>
                </c:pt>
                <c:pt idx="795">
                  <c:v>2.5842700335581398E-3</c:v>
                </c:pt>
                <c:pt idx="796">
                  <c:v>2.5843564519542808E-3</c:v>
                </c:pt>
                <c:pt idx="797">
                  <c:v>2.584442291644264E-3</c:v>
                </c:pt>
                <c:pt idx="798">
                  <c:v>2.5845275565034307E-3</c:v>
                </c:pt>
                <c:pt idx="799">
                  <c:v>2.5846122503811711E-3</c:v>
                </c:pt>
                <c:pt idx="800">
                  <c:v>2.5846963771010982E-3</c:v>
                </c:pt>
                <c:pt idx="801">
                  <c:v>2.584779940461219E-3</c:v>
                </c:pt>
                <c:pt idx="802">
                  <c:v>2.5848629442341074E-3</c:v>
                </c:pt>
                <c:pt idx="803">
                  <c:v>2.5849453921670739E-3</c:v>
                </c:pt>
                <c:pt idx="804">
                  <c:v>2.5850272879823356E-3</c:v>
                </c:pt>
                <c:pt idx="805">
                  <c:v>2.5851086353771823E-3</c:v>
                </c:pt>
                <c:pt idx="806">
                  <c:v>2.5851894380241455E-3</c:v>
                </c:pt>
                <c:pt idx="807">
                  <c:v>2.5852696995711634E-3</c:v>
                </c:pt>
                <c:pt idx="808">
                  <c:v>2.5853494236417452E-3</c:v>
                </c:pt>
                <c:pt idx="809">
                  <c:v>2.5854286138351354E-3</c:v>
                </c:pt>
                <c:pt idx="810">
                  <c:v>2.585507273726475E-3</c:v>
                </c:pt>
                <c:pt idx="811">
                  <c:v>2.5855854068669651E-3</c:v>
                </c:pt>
                <c:pt idx="812">
                  <c:v>2.5856630167840258E-3</c:v>
                </c:pt>
                <c:pt idx="813">
                  <c:v>2.5857401069814545E-3</c:v>
                </c:pt>
                <c:pt idx="814">
                  <c:v>2.5858166809395863E-3</c:v>
                </c:pt>
                <c:pt idx="815">
                  <c:v>2.5858927421154496E-3</c:v>
                </c:pt>
                <c:pt idx="816">
                  <c:v>2.5859682939429231E-3</c:v>
                </c:pt>
                <c:pt idx="817">
                  <c:v>2.5860433398328898E-3</c:v>
                </c:pt>
                <c:pt idx="818">
                  <c:v>2.5861178831733909E-3</c:v>
                </c:pt>
                <c:pt idx="819">
                  <c:v>2.5861919273297809E-3</c:v>
                </c:pt>
                <c:pt idx="820">
                  <c:v>2.5862654756448767E-3</c:v>
                </c:pt>
                <c:pt idx="821">
                  <c:v>2.5863385314391103E-3</c:v>
                </c:pt>
                <c:pt idx="822">
                  <c:v>2.5864110980106784E-3</c:v>
                </c:pt>
                <c:pt idx="823">
                  <c:v>2.586483178635691E-3</c:v>
                </c:pt>
                <c:pt idx="824">
                  <c:v>2.5865547765683188E-3</c:v>
                </c:pt>
                <c:pt idx="825">
                  <c:v>2.5866258950409419E-3</c:v>
                </c:pt>
                <c:pt idx="826">
                  <c:v>2.5866965372642937E-3</c:v>
                </c:pt>
                <c:pt idx="827">
                  <c:v>2.5867667064276073E-3</c:v>
                </c:pt>
                <c:pt idx="828">
                  <c:v>2.5868364056987584E-3</c:v>
                </c:pt>
                <c:pt idx="829">
                  <c:v>2.5869056382244087E-3</c:v>
                </c:pt>
                <c:pt idx="830">
                  <c:v>2.5869744071301492E-3</c:v>
                </c:pt>
                <c:pt idx="831">
                  <c:v>2.5870427155206387E-3</c:v>
                </c:pt>
                <c:pt idx="832">
                  <c:v>2.5871105664797465E-3</c:v>
                </c:pt>
                <c:pt idx="833">
                  <c:v>2.58717796307069E-3</c:v>
                </c:pt>
                <c:pt idx="834">
                  <c:v>2.5872449083361739E-3</c:v>
                </c:pt>
                <c:pt idx="835">
                  <c:v>2.5873114052985275E-3</c:v>
                </c:pt>
                <c:pt idx="836">
                  <c:v>2.5873774569598398E-3</c:v>
                </c:pt>
                <c:pt idx="837">
                  <c:v>2.587443066302098E-3</c:v>
                </c:pt>
                <c:pt idx="838">
                  <c:v>2.5875082362873179E-3</c:v>
                </c:pt>
                <c:pt idx="839">
                  <c:v>2.5875729698576818E-3</c:v>
                </c:pt>
                <c:pt idx="840">
                  <c:v>2.5876372699356687E-3</c:v>
                </c:pt>
                <c:pt idx="841">
                  <c:v>2.5877011394241874E-3</c:v>
                </c:pt>
                <c:pt idx="842">
                  <c:v>2.5877645812067071E-3</c:v>
                </c:pt>
                <c:pt idx="843">
                  <c:v>2.5878275981473871E-3</c:v>
                </c:pt>
                <c:pt idx="844">
                  <c:v>2.5878901930912069E-3</c:v>
                </c:pt>
                <c:pt idx="845">
                  <c:v>2.5879523688640957E-3</c:v>
                </c:pt>
                <c:pt idx="846">
                  <c:v>2.5880141282730571E-3</c:v>
                </c:pt>
                <c:pt idx="847">
                  <c:v>2.5880754741062981E-3</c:v>
                </c:pt>
                <c:pt idx="848">
                  <c:v>2.5881364091333535E-3</c:v>
                </c:pt>
                <c:pt idx="849">
                  <c:v>2.5881969361052134E-3</c:v>
                </c:pt>
                <c:pt idx="850">
                  <c:v>2.5882570577544445E-3</c:v>
                </c:pt>
                <c:pt idx="851">
                  <c:v>2.5883167767953149E-3</c:v>
                </c:pt>
                <c:pt idx="852">
                  <c:v>2.5883760959239163E-3</c:v>
                </c:pt>
                <c:pt idx="853">
                  <c:v>2.588435017818286E-3</c:v>
                </c:pt>
                <c:pt idx="854">
                  <c:v>2.5884935451385279E-3</c:v>
                </c:pt>
                <c:pt idx="855">
                  <c:v>2.5885516805269322E-3</c:v>
                </c:pt>
                <c:pt idx="856">
                  <c:v>2.5886094266080947E-3</c:v>
                </c:pt>
                <c:pt idx="857">
                  <c:v>2.5886667859890355E-3</c:v>
                </c:pt>
                <c:pt idx="858">
                  <c:v>2.5887237612593162E-3</c:v>
                </c:pt>
                <c:pt idx="859">
                  <c:v>2.5887803549911586E-3</c:v>
                </c:pt>
                <c:pt idx="860">
                  <c:v>2.5888365697395582E-3</c:v>
                </c:pt>
                <c:pt idx="861">
                  <c:v>2.5888924080424008E-3</c:v>
                </c:pt>
                <c:pt idx="862">
                  <c:v>2.5889478724205779E-3</c:v>
                </c:pt>
                <c:pt idx="863">
                  <c:v>2.589002965378099E-3</c:v>
                </c:pt>
                <c:pt idx="864">
                  <c:v>2.589057689402206E-3</c:v>
                </c:pt>
                <c:pt idx="865">
                  <c:v>2.5891120469634836E-3</c:v>
                </c:pt>
                <c:pt idx="866">
                  <c:v>2.5891660405159733E-3</c:v>
                </c:pt>
                <c:pt idx="867">
                  <c:v>2.5892196724972829E-3</c:v>
                </c:pt>
                <c:pt idx="868">
                  <c:v>2.5892729453286961E-3</c:v>
                </c:pt>
                <c:pt idx="869">
                  <c:v>2.5893258614152819E-3</c:v>
                </c:pt>
                <c:pt idx="870">
                  <c:v>2.5893784231460046E-3</c:v>
                </c:pt>
                <c:pt idx="871">
                  <c:v>2.5894306328938309E-3</c:v>
                </c:pt>
                <c:pt idx="872">
                  <c:v>2.5894824930158349E-3</c:v>
                </c:pt>
                <c:pt idx="873">
                  <c:v>2.5895340058533084E-3</c:v>
                </c:pt>
                <c:pt idx="874">
                  <c:v>2.5895851737318641E-3</c:v>
                </c:pt>
                <c:pt idx="875">
                  <c:v>2.5896359989615401E-3</c:v>
                </c:pt>
                <c:pt idx="876">
                  <c:v>2.5896864838369058E-3</c:v>
                </c:pt>
                <c:pt idx="877">
                  <c:v>2.5897366306371658E-3</c:v>
                </c:pt>
                <c:pt idx="878">
                  <c:v>2.5897864416262605E-3</c:v>
                </c:pt>
                <c:pt idx="879">
                  <c:v>2.5898359190529704E-3</c:v>
                </c:pt>
                <c:pt idx="880">
                  <c:v>2.5898850651510166E-3</c:v>
                </c:pt>
                <c:pt idx="881">
                  <c:v>2.5899338821391621E-3</c:v>
                </c:pt>
                <c:pt idx="882">
                  <c:v>2.5899823722213122E-3</c:v>
                </c:pt>
                <c:pt idx="883">
                  <c:v>2.5900305375866129E-3</c:v>
                </c:pt>
                <c:pt idx="884">
                  <c:v>2.5900783804095502E-3</c:v>
                </c:pt>
                <c:pt idx="885">
                  <c:v>2.5901259028500499E-3</c:v>
                </c:pt>
                <c:pt idx="886">
                  <c:v>2.5901731070535725E-3</c:v>
                </c:pt>
                <c:pt idx="887">
                  <c:v>2.5902199951512118E-3</c:v>
                </c:pt>
                <c:pt idx="888">
                  <c:v>2.5902665692597907E-3</c:v>
                </c:pt>
                <c:pt idx="889">
                  <c:v>2.5903128314819562E-3</c:v>
                </c:pt>
                <c:pt idx="890">
                  <c:v>2.590358783906275E-3</c:v>
                </c:pt>
                <c:pt idx="891">
                  <c:v>2.5904044286073277E-3</c:v>
                </c:pt>
                <c:pt idx="892">
                  <c:v>2.5904497676458018E-3</c:v>
                </c:pt>
                <c:pt idx="893">
                  <c:v>2.5904948030685865E-3</c:v>
                </c:pt>
                <c:pt idx="894">
                  <c:v>2.5905395369088631E-3</c:v>
                </c:pt>
                <c:pt idx="895">
                  <c:v>2.590583971186197E-3</c:v>
                </c:pt>
                <c:pt idx="896">
                  <c:v>2.5906281079066304E-3</c:v>
                </c:pt>
                <c:pt idx="897">
                  <c:v>2.5906719490627712E-3</c:v>
                </c:pt>
                <c:pt idx="898">
                  <c:v>2.5907154966338846E-3</c:v>
                </c:pt>
                <c:pt idx="899">
                  <c:v>2.5907587525859808E-3</c:v>
                </c:pt>
                <c:pt idx="900">
                  <c:v>2.5908017188719049E-3</c:v>
                </c:pt>
                <c:pt idx="901">
                  <c:v>2.5908443974314238E-3</c:v>
                </c:pt>
                <c:pt idx="902">
                  <c:v>2.5908867901913162E-3</c:v>
                </c:pt>
                <c:pt idx="903">
                  <c:v>2.5909288990654564E-3</c:v>
                </c:pt>
                <c:pt idx="904">
                  <c:v>2.5909707259549027E-3</c:v>
                </c:pt>
                <c:pt idx="905">
                  <c:v>2.5910122727479837E-3</c:v>
                </c:pt>
                <c:pt idx="906">
                  <c:v>2.5910535413203816E-3</c:v>
                </c:pt>
                <c:pt idx="907">
                  <c:v>2.591094533535219E-3</c:v>
                </c:pt>
                <c:pt idx="908">
                  <c:v>2.5911352512431409E-3</c:v>
                </c:pt>
                <c:pt idx="909">
                  <c:v>2.5911756962824E-3</c:v>
                </c:pt>
                <c:pt idx="910">
                  <c:v>2.5912158704789398E-3</c:v>
                </c:pt>
                <c:pt idx="911">
                  <c:v>2.5912557756464748E-3</c:v>
                </c:pt>
                <c:pt idx="912">
                  <c:v>2.5912954135865742E-3</c:v>
                </c:pt>
                <c:pt idx="913">
                  <c:v>2.5913347860887434E-3</c:v>
                </c:pt>
                <c:pt idx="914">
                  <c:v>2.5913738949305039E-3</c:v>
                </c:pt>
                <c:pt idx="915">
                  <c:v>2.5914127418774748E-3</c:v>
                </c:pt>
                <c:pt idx="916">
                  <c:v>2.5914513286834496E-3</c:v>
                </c:pt>
                <c:pt idx="917">
                  <c:v>2.591489657090479E-3</c:v>
                </c:pt>
                <c:pt idx="918">
                  <c:v>2.5915277288289483E-3</c:v>
                </c:pt>
                <c:pt idx="919">
                  <c:v>2.5915655456176536E-3</c:v>
                </c:pt>
                <c:pt idx="920">
                  <c:v>2.5916031091638824E-3</c:v>
                </c:pt>
                <c:pt idx="921">
                  <c:v>2.5916404211634883E-3</c:v>
                </c:pt>
                <c:pt idx="922">
                  <c:v>2.5916774833009688E-3</c:v>
                </c:pt>
                <c:pt idx="923">
                  <c:v>2.5917142972495416E-3</c:v>
                </c:pt>
                <c:pt idx="924">
                  <c:v>2.591750864671219E-3</c:v>
                </c:pt>
                <c:pt idx="925">
                  <c:v>2.5917871872168834E-3</c:v>
                </c:pt>
                <c:pt idx="926">
                  <c:v>2.5918232665263627E-3</c:v>
                </c:pt>
                <c:pt idx="927">
                  <c:v>2.5918591042285027E-3</c:v>
                </c:pt>
                <c:pt idx="928">
                  <c:v>2.5918947019412421E-3</c:v>
                </c:pt>
                <c:pt idx="929">
                  <c:v>2.5919300612716849E-3</c:v>
                </c:pt>
                <c:pt idx="930">
                  <c:v>2.5919651838161731E-3</c:v>
                </c:pt>
                <c:pt idx="931">
                  <c:v>2.5920000711603581E-3</c:v>
                </c:pt>
                <c:pt idx="932">
                  <c:v>2.5920347248792738E-3</c:v>
                </c:pt>
                <c:pt idx="933">
                  <c:v>2.5920691465374066E-3</c:v>
                </c:pt>
                <c:pt idx="934">
                  <c:v>2.5921033376887651E-3</c:v>
                </c:pt>
                <c:pt idx="935">
                  <c:v>2.5921372998769527E-3</c:v>
                </c:pt>
                <c:pt idx="936">
                  <c:v>2.5921710346352355E-3</c:v>
                </c:pt>
                <c:pt idx="937">
                  <c:v>2.5922045434866119E-3</c:v>
                </c:pt>
                <c:pt idx="938">
                  <c:v>2.5922378279438821E-3</c:v>
                </c:pt>
                <c:pt idx="939">
                  <c:v>2.5922708895097144E-3</c:v>
                </c:pt>
                <c:pt idx="940">
                  <c:v>2.5923037296767155E-3</c:v>
                </c:pt>
                <c:pt idx="941">
                  <c:v>2.5923363499274965E-3</c:v>
                </c:pt>
                <c:pt idx="942">
                  <c:v>2.5923687517347398E-3</c:v>
                </c:pt>
                <c:pt idx="943">
                  <c:v>2.5924009365612664E-3</c:v>
                </c:pt>
                <c:pt idx="944">
                  <c:v>2.5924329058601009E-3</c:v>
                </c:pt>
                <c:pt idx="945">
                  <c:v>2.592464661074538E-3</c:v>
                </c:pt>
                <c:pt idx="946">
                  <c:v>2.5924962036382075E-3</c:v>
                </c:pt>
                <c:pt idx="947">
                  <c:v>2.5925275349751378E-3</c:v>
                </c:pt>
                <c:pt idx="948">
                  <c:v>2.5925586564998224E-3</c:v>
                </c:pt>
                <c:pt idx="949">
                  <c:v>2.5925895696172815E-3</c:v>
                </c:pt>
                <c:pt idx="950">
                  <c:v>2.5926202757231278E-3</c:v>
                </c:pt>
                <c:pt idx="951">
                  <c:v>2.5926507762036271E-3</c:v>
                </c:pt>
                <c:pt idx="952">
                  <c:v>2.5926810724357621E-3</c:v>
                </c:pt>
                <c:pt idx="953">
                  <c:v>2.5927111657872946E-3</c:v>
                </c:pt>
                <c:pt idx="954">
                  <c:v>2.5927410576168275E-3</c:v>
                </c:pt>
                <c:pt idx="955">
                  <c:v>2.5927707492738659E-3</c:v>
                </c:pt>
                <c:pt idx="956">
                  <c:v>2.5928002420988767E-3</c:v>
                </c:pt>
                <c:pt idx="957">
                  <c:v>2.5928295374233502E-3</c:v>
                </c:pt>
                <c:pt idx="958">
                  <c:v>2.5928586365698623E-3</c:v>
                </c:pt>
                <c:pt idx="959">
                  <c:v>2.5928875408521303E-3</c:v>
                </c:pt>
                <c:pt idx="960">
                  <c:v>2.5929162515750752E-3</c:v>
                </c:pt>
                <c:pt idx="961">
                  <c:v>2.5929447700348785E-3</c:v>
                </c:pt>
                <c:pt idx="962">
                  <c:v>2.5929730975190425E-3</c:v>
                </c:pt>
                <c:pt idx="963">
                  <c:v>2.5930012353064472E-3</c:v>
                </c:pt>
                <c:pt idx="964">
                  <c:v>2.5930291846674091E-3</c:v>
                </c:pt>
                <c:pt idx="965">
                  <c:v>2.5930569468637379E-3</c:v>
                </c:pt>
                <c:pt idx="966">
                  <c:v>2.5930845231487924E-3</c:v>
                </c:pt>
                <c:pt idx="967">
                  <c:v>2.593111914767539E-3</c:v>
                </c:pt>
                <c:pt idx="968">
                  <c:v>2.5931391229566075E-3</c:v>
                </c:pt>
                <c:pt idx="969">
                  <c:v>2.5931661489443465E-3</c:v>
                </c:pt>
                <c:pt idx="970">
                  <c:v>2.593192993950878E-3</c:v>
                </c:pt>
                <c:pt idx="971">
                  <c:v>2.5932196591881541E-3</c:v>
                </c:pt>
                <c:pt idx="972">
                  <c:v>2.5932461458600107E-3</c:v>
                </c:pt>
                <c:pt idx="973">
                  <c:v>2.5932724551622223E-3</c:v>
                </c:pt>
                <c:pt idx="974">
                  <c:v>2.5932985882825554E-3</c:v>
                </c:pt>
                <c:pt idx="975">
                  <c:v>2.5933245464008236E-3</c:v>
                </c:pt>
                <c:pt idx="976">
                  <c:v>2.5933503306889384E-3</c:v>
                </c:pt>
                <c:pt idx="977">
                  <c:v>2.5933759423109647E-3</c:v>
                </c:pt>
                <c:pt idx="978">
                  <c:v>2.5934013824231716E-3</c:v>
                </c:pt>
                <c:pt idx="979">
                  <c:v>2.5934266521740854E-3</c:v>
                </c:pt>
                <c:pt idx="980">
                  <c:v>2.5934517527045407E-3</c:v>
                </c:pt>
                <c:pt idx="981">
                  <c:v>2.5934766851477328E-3</c:v>
                </c:pt>
                <c:pt idx="982">
                  <c:v>2.5935014506292689E-3</c:v>
                </c:pt>
                <c:pt idx="983">
                  <c:v>2.593526050267218E-3</c:v>
                </c:pt>
                <c:pt idx="984">
                  <c:v>2.593550485172162E-3</c:v>
                </c:pt>
                <c:pt idx="985">
                  <c:v>2.5935747564472455E-3</c:v>
                </c:pt>
                <c:pt idx="986">
                  <c:v>2.5935988651882261E-3</c:v>
                </c:pt>
                <c:pt idx="987">
                  <c:v>2.5936228124835239E-3</c:v>
                </c:pt>
                <c:pt idx="988">
                  <c:v>2.5936465994142693E-3</c:v>
                </c:pt>
                <c:pt idx="989">
                  <c:v>2.5936702270543538E-3</c:v>
                </c:pt>
                <c:pt idx="990">
                  <c:v>2.5936936964704774E-3</c:v>
                </c:pt>
                <c:pt idx="991">
                  <c:v>2.5937170087221967E-3</c:v>
                </c:pt>
                <c:pt idx="992">
                  <c:v>2.5937401648619728E-3</c:v>
                </c:pt>
                <c:pt idx="993">
                  <c:v>2.5937631659352189E-3</c:v>
                </c:pt>
                <c:pt idx="994">
                  <c:v>2.593786012980348E-3</c:v>
                </c:pt>
                <c:pt idx="995">
                  <c:v>2.5938087070288187E-3</c:v>
                </c:pt>
                <c:pt idx="996">
                  <c:v>2.5938312491051827E-3</c:v>
                </c:pt>
                <c:pt idx="997">
                  <c:v>2.5938536402271301E-3</c:v>
                </c:pt>
                <c:pt idx="998">
                  <c:v>2.5938758814055374E-3</c:v>
                </c:pt>
                <c:pt idx="999">
                  <c:v>2.59389797364451E-3</c:v>
                </c:pt>
                <c:pt idx="1000">
                  <c:v>2.5939199179414309E-3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96C-42DD-ADCB-A4D884514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Time (d)</a:t>
                </a:r>
              </a:p>
            </c:rich>
          </c:tx>
          <c:overlay val="1"/>
        </c:title>
        <c:numFmt formatCode="General" sourceLinked="0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Internal concentration (µg/kg ww)</a:t>
                </a:r>
              </a:p>
            </c:rich>
          </c:tx>
          <c:overlay val="1"/>
        </c:title>
        <c:numFmt formatCode="General" sourceLinked="0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38</xdr:row>
      <xdr:rowOff>0</xdr:rowOff>
    </xdr:from>
    <xdr:ext cx="6552000" cy="331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V1025"/>
  <sheetViews>
    <sheetView showGridLines="0" tabSelected="1" topLeftCell="D1" zoomScale="90" zoomScaleNormal="90" workbookViewId="0">
      <selection activeCell="D13" sqref="D13:E13"/>
    </sheetView>
  </sheetViews>
  <sheetFormatPr defaultRowHeight="14.6" x14ac:dyDescent="0.4"/>
  <cols>
    <col min="1" max="1" width="2.4609375" customWidth="1"/>
    <col min="2" max="2" width="38" customWidth="1"/>
    <col min="3" max="3" width="11" customWidth="1"/>
    <col min="4" max="7" width="14" customWidth="1"/>
    <col min="8" max="8" width="42" customWidth="1"/>
    <col min="9" max="9" width="2.4609375" customWidth="1"/>
    <col min="10" max="10" width="34" customWidth="1"/>
    <col min="11" max="11" width="17" customWidth="1"/>
    <col min="12" max="16" width="13" customWidth="1"/>
    <col min="17" max="17" width="2.4609375" customWidth="1"/>
    <col min="18" max="18" width="30" customWidth="1"/>
    <col min="19" max="22" width="12" customWidth="1"/>
  </cols>
  <sheetData>
    <row r="1" spans="2:22" ht="24" customHeight="1" x14ac:dyDescent="0.5">
      <c r="B1" s="1" t="s">
        <v>0</v>
      </c>
    </row>
    <row r="2" spans="2:22" ht="27" customHeight="1" x14ac:dyDescent="0.4">
      <c r="B2" s="52" t="s">
        <v>560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</row>
    <row r="3" spans="2:22" ht="15" customHeight="1" x14ac:dyDescent="0.4"/>
    <row r="4" spans="2:22" ht="15" customHeight="1" x14ac:dyDescent="0.4">
      <c r="B4" s="2" t="s">
        <v>1</v>
      </c>
      <c r="J4" s="2" t="s">
        <v>2</v>
      </c>
    </row>
    <row r="5" spans="2:22" ht="15" customHeight="1" x14ac:dyDescent="0.4">
      <c r="B5" s="3" t="s">
        <v>3</v>
      </c>
      <c r="J5" s="4" t="s">
        <v>4</v>
      </c>
    </row>
    <row r="6" spans="2:22" ht="15" customHeight="1" x14ac:dyDescent="0.4">
      <c r="B6" s="3" t="s">
        <v>5</v>
      </c>
      <c r="J6" s="5" t="s">
        <v>6</v>
      </c>
    </row>
    <row r="7" spans="2:22" ht="15" customHeight="1" x14ac:dyDescent="0.4">
      <c r="B7" s="3" t="s">
        <v>7</v>
      </c>
      <c r="J7" s="6" t="s">
        <v>8</v>
      </c>
    </row>
    <row r="8" spans="2:22" ht="15" customHeight="1" x14ac:dyDescent="0.4">
      <c r="B8" s="3" t="s">
        <v>9</v>
      </c>
      <c r="J8" s="7" t="s">
        <v>10</v>
      </c>
    </row>
    <row r="9" spans="2:22" ht="15" customHeight="1" x14ac:dyDescent="0.4"/>
    <row r="10" spans="2:22" ht="15" customHeight="1" x14ac:dyDescent="0.4"/>
    <row r="11" spans="2:22" ht="18" customHeight="1" x14ac:dyDescent="0.4">
      <c r="B11" s="8" t="s">
        <v>11</v>
      </c>
      <c r="C11" s="9"/>
      <c r="D11" s="9"/>
      <c r="E11" s="9"/>
      <c r="F11" s="9"/>
      <c r="G11" s="9"/>
      <c r="H11" s="9"/>
      <c r="J11" s="8" t="s">
        <v>12</v>
      </c>
      <c r="K11" s="9"/>
      <c r="L11" s="9"/>
      <c r="M11" s="9"/>
      <c r="N11" s="9"/>
      <c r="O11" s="9"/>
      <c r="R11" s="8" t="s">
        <v>13</v>
      </c>
      <c r="S11" s="9"/>
      <c r="T11" s="9"/>
      <c r="U11" s="9"/>
      <c r="V11" s="9"/>
    </row>
    <row r="12" spans="2:22" ht="15" customHeight="1" x14ac:dyDescent="0.4">
      <c r="B12" s="10" t="s">
        <v>14</v>
      </c>
      <c r="D12" s="11" t="s">
        <v>562</v>
      </c>
      <c r="E12" s="12" t="s">
        <v>15</v>
      </c>
      <c r="J12" s="13" t="s">
        <v>16</v>
      </c>
      <c r="K12" s="14" t="s">
        <v>17</v>
      </c>
      <c r="L12" s="14" t="s">
        <v>18</v>
      </c>
      <c r="M12" s="14" t="s">
        <v>19</v>
      </c>
      <c r="N12" s="14" t="s">
        <v>20</v>
      </c>
      <c r="O12" s="14" t="s">
        <v>21</v>
      </c>
      <c r="R12" s="13" t="s">
        <v>22</v>
      </c>
      <c r="S12" s="14" t="s">
        <v>18</v>
      </c>
      <c r="T12" s="14" t="s">
        <v>19</v>
      </c>
      <c r="U12" s="14" t="s">
        <v>20</v>
      </c>
      <c r="V12" s="14" t="s">
        <v>21</v>
      </c>
    </row>
    <row r="13" spans="2:22" ht="15" customHeight="1" x14ac:dyDescent="0.4">
      <c r="B13" s="10" t="s">
        <v>23</v>
      </c>
      <c r="D13" s="50" t="s">
        <v>501</v>
      </c>
      <c r="E13" s="51"/>
      <c r="F13" s="12" t="s">
        <v>25</v>
      </c>
      <c r="J13" s="15" t="s">
        <v>26</v>
      </c>
      <c r="K13" s="16" t="s">
        <v>27</v>
      </c>
      <c r="L13" s="16" t="str">
        <f>IF(D$46="None","–",D$46)</f>
        <v>Algae</v>
      </c>
      <c r="M13" s="16" t="str">
        <f>IF(E$46="None","–",E$46)</f>
        <v>Crustaceans</v>
      </c>
      <c r="N13" s="16" t="str">
        <f>IF(F$46="None","–",F$46)</f>
        <v>Fish</v>
      </c>
      <c r="O13" s="16" t="str">
        <f>IF(G$46="None","–",G$46)</f>
        <v>Birds</v>
      </c>
      <c r="R13" s="15" t="s">
        <v>28</v>
      </c>
      <c r="S13" s="16" t="b">
        <f>ISNUMBER(L$14)</f>
        <v>1</v>
      </c>
      <c r="T13" s="16" t="b">
        <f>ISNUMBER(M$14)</f>
        <v>1</v>
      </c>
      <c r="U13" s="16" t="b">
        <f>ISNUMBER(N$14)</f>
        <v>1</v>
      </c>
      <c r="V13" s="16" t="b">
        <f>ISNUMBER(O$14)</f>
        <v>1</v>
      </c>
    </row>
    <row r="14" spans="2:22" ht="15" customHeight="1" x14ac:dyDescent="0.4">
      <c r="B14" s="13" t="s">
        <v>29</v>
      </c>
      <c r="C14" s="14" t="s">
        <v>17</v>
      </c>
      <c r="D14" s="14" t="s">
        <v>30</v>
      </c>
      <c r="E14" s="14" t="s">
        <v>31</v>
      </c>
      <c r="F14" s="14" t="s">
        <v>32</v>
      </c>
      <c r="G14" s="14" t="s">
        <v>33</v>
      </c>
      <c r="H14" s="14" t="s">
        <v>34</v>
      </c>
      <c r="J14" s="10" t="s">
        <v>35</v>
      </c>
      <c r="K14" s="16" t="s">
        <v>36</v>
      </c>
      <c r="L14" s="17">
        <f>IF(OR(D$46="None",$D$31&lt;&gt;"OK"),"-",IFERROR((L24*$D$35+L25*$D$72+L26*$D$73+L27*IF(D$48="Detritus",$D$71,0))/L35,"-"))</f>
        <v>6.637849979918338E-2</v>
      </c>
      <c r="M14" s="17">
        <f>IF(OR(E$46="None",$D$31&lt;&gt;"OK"),"-",IFERROR((M24*$D$35+M25*$D$72+M26*$D$73+M27*IF(E$48="Detritus",$D$71,L14))/M35,"-"))</f>
        <v>0.18130764966046672</v>
      </c>
      <c r="N14" s="17">
        <f>IF(OR(F$46="None",$D$31&lt;&gt;"OK"),"-",IFERROR((N24*$D$35+N25*$D$72+N26*$D$73+N27*IF(F$48="Detritus",$D$71,M14))/N35,"-"))</f>
        <v>0.22165911296120955</v>
      </c>
      <c r="O14" s="17">
        <f>IF(OR(G$46="None",$D$31&lt;&gt;"OK"),"-",IFERROR((O24*$D$35+O25*$D$72+O26*$D$73+O27*IF(G$48="Detritus",$D$71,N14))/O35,"-"))</f>
        <v>2.5971749232655281E-3</v>
      </c>
      <c r="R14" s="15" t="s">
        <v>37</v>
      </c>
      <c r="S14" s="18">
        <f>IF(S13,L24*$D$35+L25*$D$72+L26*$D$73,0)</f>
        <v>1.5104866673509802E-2</v>
      </c>
      <c r="T14" s="18">
        <f>IF(T13,M24*$D$35+M25*$D$72+M26*$D$73,0)</f>
        <v>0.1816601339246369</v>
      </c>
      <c r="U14" s="18">
        <f>IF(U13,N24*$D$35+N25*$D$72+N26*$D$73,0)</f>
        <v>1.8166013392463692E-2</v>
      </c>
      <c r="V14" s="18">
        <f>IF(V13,O24*$D$35+O25*$D$72+O26*$D$73,0)</f>
        <v>0</v>
      </c>
    </row>
    <row r="15" spans="2:22" ht="15" customHeight="1" x14ac:dyDescent="0.4">
      <c r="B15" s="15" t="s">
        <v>38</v>
      </c>
      <c r="C15" s="16" t="s">
        <v>27</v>
      </c>
      <c r="D15" s="16" t="str">
        <f>IF(ISNUMBER($D$64),INDEX('Chemical Data'!$A$5:$A$500,$D$64),"–")</f>
        <v>Metoprolol</v>
      </c>
      <c r="E15" s="42" t="s">
        <v>39</v>
      </c>
      <c r="F15" s="16" t="str">
        <f>IF($D$12="Manual Input",IF(E15="","(manual compound)",E15),D15)</f>
        <v>Metoprolol</v>
      </c>
      <c r="G15" s="20" t="str">
        <f>IF($D$12="Manual Input","Manual","PubChem")</f>
        <v>PubChem</v>
      </c>
      <c r="H15" s="12" t="s">
        <v>40</v>
      </c>
      <c r="J15" s="15" t="s">
        <v>41</v>
      </c>
      <c r="K15" s="16" t="s">
        <v>42</v>
      </c>
      <c r="L15" s="21">
        <f>IF(AND(ISNUMBER(L14),N($D$35)&gt;0),L14/$D$35,"–")</f>
        <v>0.66378499799183377</v>
      </c>
      <c r="M15" s="21">
        <f>IF(AND(ISNUMBER(M14),N($D$35)&gt;0),M14/$D$35,"–")</f>
        <v>1.8130764966046671</v>
      </c>
      <c r="N15" s="21">
        <f>IF(AND(ISNUMBER(N14),N($D$35)&gt;0),N14/$D$35,"–")</f>
        <v>2.2165911296120955</v>
      </c>
      <c r="O15" s="21">
        <f>IF(AND(ISNUMBER(O14),N($D$35)&gt;0),O14/$D$35,"–")</f>
        <v>2.5971749232655279E-2</v>
      </c>
      <c r="R15" s="15" t="s">
        <v>43</v>
      </c>
      <c r="S15" s="18">
        <f>IF(S13,L27,0)</f>
        <v>0</v>
      </c>
      <c r="T15" s="18">
        <f>IF(T13,M27,0)</f>
        <v>2.9568944129770868E-3</v>
      </c>
      <c r="U15" s="18">
        <f>IF(U13,N27,0)</f>
        <v>2.4864710737983057E-3</v>
      </c>
      <c r="V15" s="18">
        <f>IF(V13,O27,0)</f>
        <v>2.8808553307108509E-2</v>
      </c>
    </row>
    <row r="16" spans="2:22" ht="15" customHeight="1" x14ac:dyDescent="0.4">
      <c r="B16" s="15" t="s">
        <v>44</v>
      </c>
      <c r="C16" s="16" t="s">
        <v>27</v>
      </c>
      <c r="D16" s="22">
        <f>IF(ISNUMBER($D$64),INDEX('Chemical Data'!$E$5:$E$500,$D$64),"–")</f>
        <v>1.61319999999999</v>
      </c>
      <c r="E16" s="43">
        <v>4.3640999999999996</v>
      </c>
      <c r="F16" s="22">
        <f>IF($D$12="Manual Input",E16,D16)</f>
        <v>1.61319999999999</v>
      </c>
      <c r="G16" s="20" t="str">
        <f>IF($D$12="Manual Input","Manual","RDKit (Crippen)")</f>
        <v>RDKit (Crippen)</v>
      </c>
      <c r="H16" s="12"/>
      <c r="J16" s="15" t="s">
        <v>45</v>
      </c>
      <c r="K16" s="16" t="s">
        <v>46</v>
      </c>
      <c r="L16" s="21" t="str">
        <f>IF(AND(ISNUMBER(L14),N($D$38)&gt;0),L14/$D$38,"–")</f>
        <v>–</v>
      </c>
      <c r="M16" s="21" t="str">
        <f>IF(AND(ISNUMBER(M14),N($D$38)&gt;0),M14/$D$38,"–")</f>
        <v>–</v>
      </c>
      <c r="N16" s="21" t="str">
        <f>IF(AND(ISNUMBER(N14),N($D$38)&gt;0),N14/$D$38,"–")</f>
        <v>–</v>
      </c>
      <c r="O16" s="21" t="str">
        <f>IF(AND(ISNUMBER(O14),N($D$38)&gt;0),O14/$D$38,"–")</f>
        <v>–</v>
      </c>
      <c r="R16" s="15" t="s">
        <v>47</v>
      </c>
      <c r="S16" s="18">
        <f>IF(S13,L35,1)</f>
        <v>0.22755661425321377</v>
      </c>
      <c r="T16" s="18">
        <f>IF(T13,M35,1)</f>
        <v>1.0030266703053943</v>
      </c>
      <c r="U16" s="18">
        <f>IF(U13,N35,1)</f>
        <v>8.3988559595385343E-2</v>
      </c>
      <c r="V16" s="18">
        <f>IF(V13,O35,1)</f>
        <v>2.4587016894959208</v>
      </c>
    </row>
    <row r="17" spans="2:22" ht="15" customHeight="1" x14ac:dyDescent="0.4">
      <c r="B17" s="15" t="s">
        <v>48</v>
      </c>
      <c r="C17" s="16" t="s">
        <v>27</v>
      </c>
      <c r="D17" s="22">
        <f>IF(ISNUMBER($D$64),INDEX('Chemical Data'!$F$5:$F$500,$D$64),"–")</f>
        <v>0.58699999999999997</v>
      </c>
      <c r="E17" s="43">
        <v>3.0293999999999999</v>
      </c>
      <c r="F17" s="22">
        <f>IF($D$12="Manual Input",E17,D17)</f>
        <v>0.58699999999999997</v>
      </c>
      <c r="G17" s="20" t="str">
        <f>IF($D$12="Manual Input","Manual","RDKit (Crippen)")</f>
        <v>RDKit (Crippen)</v>
      </c>
      <c r="H17" s="12" t="s">
        <v>49</v>
      </c>
      <c r="J17" s="15" t="s">
        <v>50</v>
      </c>
      <c r="K17" s="16" t="s">
        <v>27</v>
      </c>
      <c r="L17" s="16" t="s">
        <v>27</v>
      </c>
      <c r="M17" s="23">
        <f>IF(AND(ISNUMBER(M14),ISNUMBER(L14),OR(E$48="Herbivore",E$48="Carnivore")),IF(L14&gt;0,M14/L14,"–"),"–")</f>
        <v>2.7314213217981957</v>
      </c>
      <c r="N17" s="23">
        <f>IF(AND(ISNUMBER(N14),ISNUMBER(M14),OR(F$48="Herbivore",F$48="Carnivore")),IF(M14&gt;0,N14/M14,"–"),"–")</f>
        <v>1.2225579746707249</v>
      </c>
      <c r="O17" s="23">
        <f>IF(AND(ISNUMBER(O14),ISNUMBER(N14),OR(G$48="Herbivore",G$48="Carnivore")),IF(N14&gt;0,O14/N14,"–"),"–")</f>
        <v>1.1716977879091463E-2</v>
      </c>
      <c r="R17" s="15" t="s">
        <v>51</v>
      </c>
      <c r="S17" s="16" t="b">
        <f>D$48="Detritus"</f>
        <v>0</v>
      </c>
      <c r="T17" s="16" t="b">
        <f>E$48="Detritus"</f>
        <v>0</v>
      </c>
      <c r="U17" s="16" t="b">
        <f>F$48="Detritus"</f>
        <v>0</v>
      </c>
      <c r="V17" s="16" t="b">
        <f>G$48="Detritus"</f>
        <v>0</v>
      </c>
    </row>
    <row r="18" spans="2:22" ht="15" customHeight="1" x14ac:dyDescent="0.4">
      <c r="B18" s="15" t="s">
        <v>52</v>
      </c>
      <c r="C18" s="16" t="s">
        <v>27</v>
      </c>
      <c r="D18" s="22">
        <f>IF(ISNUMBER($D$64),INDEX('Chemical Data'!$G$5:$G$500,$D$64),"–")</f>
        <v>8.4</v>
      </c>
      <c r="E18" s="43">
        <v>9.3000000000000007</v>
      </c>
      <c r="F18" s="22">
        <f>IF($D$12="Manual Input",E18,D18)</f>
        <v>8.4</v>
      </c>
      <c r="G18" s="20" t="str">
        <f>IF($D$12="Manual Input","Manual","CompTox")</f>
        <v>CompTox</v>
      </c>
      <c r="H18" s="12"/>
      <c r="J18" s="15" t="s">
        <v>53</v>
      </c>
      <c r="K18" s="16" t="s">
        <v>27</v>
      </c>
      <c r="L18" s="56">
        <f>IF(SUM($D$134:$G$134)&gt;=2,10^((SUM($D$134:$G$134)*SUMPRODUCT($D$135:$G$135,$D$136:$G$136)-SUM($D$135:$G$135)*SUM($D$136:$G$136))/(SUM($D$134:$G$134)*SUMPRODUCT($D$135:$G$135,$D$135:$G$135)-SUM($D$135:$G$135)^2)),"–")</f>
        <v>0.38589493355488491</v>
      </c>
      <c r="M18" s="51"/>
      <c r="N18" s="51"/>
      <c r="O18" s="51"/>
      <c r="R18" s="15" t="s">
        <v>54</v>
      </c>
      <c r="S18" s="18">
        <f>EXP(-S16*$S$22)</f>
        <v>0.98196017234832123</v>
      </c>
      <c r="T18" s="18">
        <f>EXP(-T16*$S$22)</f>
        <v>0.92289285593828119</v>
      </c>
      <c r="U18" s="18">
        <f>EXP(-U16*$S$22)</f>
        <v>0.99330343781049069</v>
      </c>
      <c r="V18" s="18">
        <f>EXP(-V16*$S$22)</f>
        <v>0.82144020218901004</v>
      </c>
    </row>
    <row r="19" spans="2:22" ht="15" customHeight="1" x14ac:dyDescent="0.4">
      <c r="B19" s="15" t="s">
        <v>55</v>
      </c>
      <c r="C19" s="16" t="s">
        <v>27</v>
      </c>
      <c r="D19" s="22">
        <f>IFERROR(D16-D18,"–")</f>
        <v>-6.7868000000000102</v>
      </c>
      <c r="E19" s="44" t="s">
        <v>56</v>
      </c>
      <c r="F19" s="22">
        <f>IFERROR($F$16-$F$18,"–")</f>
        <v>-6.7868000000000102</v>
      </c>
      <c r="G19" s="20" t="s">
        <v>56</v>
      </c>
      <c r="H19" s="12" t="s">
        <v>57</v>
      </c>
      <c r="J19" s="15" t="s">
        <v>58</v>
      </c>
      <c r="K19" s="16" t="s">
        <v>59</v>
      </c>
      <c r="L19" s="22">
        <f>IF(ISNUMBER(L14),IF(COUNTIF(S$25:S$1025,"&lt;"&amp;0.95*L14)&gt;1000,"&gt; "&amp;ROUND($S$20,3),COUNTIF(S$25:S$1025,"&lt;"&amp;0.95*L14)*$S$22),"–")</f>
        <v>13.200000000000001</v>
      </c>
      <c r="M19" s="22">
        <f>IF(ISNUMBER(M14),IF(COUNTIF(T$25:T$1025,"&lt;"&amp;0.95*M14)&gt;1000,"&gt; "&amp;ROUND($S$20,3),COUNTIF(T$25:T$1025,"&lt;"&amp;0.95*M14)*$S$22),"–")</f>
        <v>3.04</v>
      </c>
      <c r="N19" s="22">
        <f>IF(ISNUMBER(N14),IF(COUNTIF(U$25:U$1025,"&lt;"&amp;0.95*N14)&gt;1000,"&gt; "&amp;ROUND($S$20,3),COUNTIF(U$25:U$1025,"&lt;"&amp;0.95*N14)*$S$22),"–")</f>
        <v>35.76</v>
      </c>
      <c r="O19" s="22">
        <f>IF(ISNUMBER(O14),IF(COUNTIF(V$25:V$1025,"&lt;"&amp;0.95*O14)&gt;1000,"&gt; "&amp;ROUND($S$20,3),COUNTIF(V$25:V$1025,"&lt;"&amp;0.95*O14)*$S$22),"–")</f>
        <v>36.160000000000004</v>
      </c>
      <c r="R19" s="15" t="s">
        <v>60</v>
      </c>
      <c r="S19" s="18">
        <f>(1-S18)/S16</f>
        <v>7.9276217528904458E-2</v>
      </c>
      <c r="T19" s="18">
        <f>(1-T18)/T16</f>
        <v>7.6874470384961743E-2</v>
      </c>
      <c r="U19" s="18">
        <f>(1-U18)/U16</f>
        <v>7.9731837547518183E-2</v>
      </c>
      <c r="V19" s="18">
        <f>(1-V18)/V16</f>
        <v>7.2623612117661177E-2</v>
      </c>
    </row>
    <row r="20" spans="2:22" ht="15" customHeight="1" x14ac:dyDescent="0.4">
      <c r="B20" s="15" t="s">
        <v>61</v>
      </c>
      <c r="C20" s="16" t="s">
        <v>27</v>
      </c>
      <c r="D20" s="22">
        <f>IF(ISNUMBER($D$64),INDEX('Chemical Data'!$J$5:$J$500,$D$64),"–")</f>
        <v>9.93</v>
      </c>
      <c r="E20" s="43">
        <v>4.13</v>
      </c>
      <c r="F20" s="22">
        <f>IF($D$12="Manual Input",E20,D20)</f>
        <v>9.93</v>
      </c>
      <c r="G20" s="20" t="str">
        <f>IF($D$12="Manual Input","Manual","CompTox")</f>
        <v>CompTox</v>
      </c>
      <c r="H20" s="12" t="s">
        <v>62</v>
      </c>
      <c r="J20" s="15" t="s">
        <v>63</v>
      </c>
      <c r="K20" s="16" t="s">
        <v>27</v>
      </c>
      <c r="L20" s="20" t="str">
        <f>IF(D$46="None","Not modelled",IF($D$31&lt;&gt;"OK","Check chemical",IF(OR(NOT(ISNUMBER(D$50)),N(D$50)&lt;=0),"Enter a body mass",IF(AND(D$47="Terrestrial",NOT(ISNUMBER(D112))),"Invalid class",IF(ISNUMBER(L14),"OK","Check inputs")))))</f>
        <v>OK</v>
      </c>
      <c r="M20" s="20" t="str">
        <f>IF(E$46="None","Not modelled",IF($D$31&lt;&gt;"OK","Check chemical",IF(OR(NOT(ISNUMBER(E$50)),N(E$50)&lt;=0),"Enter a body mass",IF(AND(E$47="Terrestrial",NOT(ISNUMBER(E112))),"Invalid class",IF(AND(E$48&lt;&gt;"Detritus",NOT(ISNUMBER(L14))),"No food level",IF(ISNUMBER(M14),"OK","Check inputs"))))))</f>
        <v>OK</v>
      </c>
      <c r="N20" s="20" t="str">
        <f>IF(F$46="None","Not modelled",IF($D$31&lt;&gt;"OK","Check chemical",IF(OR(NOT(ISNUMBER(F$50)),N(F$50)&lt;=0),"Enter a body mass",IF(AND(F$47="Terrestrial",NOT(ISNUMBER(F112))),"Invalid class",IF(AND(F$48&lt;&gt;"Detritus",NOT(ISNUMBER(M14))),"No food level",IF(ISNUMBER(N14),"OK","Check inputs"))))))</f>
        <v>OK</v>
      </c>
      <c r="O20" s="20" t="str">
        <f>IF(G$46="None","Not modelled",IF($D$31&lt;&gt;"OK","Check chemical",IF(OR(NOT(ISNUMBER(G$50)),N(G$50)&lt;=0),"Enter a body mass",IF(AND(G$47="Terrestrial",NOT(ISNUMBER(G112))),"Invalid class",IF(AND(G$48&lt;&gt;"Detritus",NOT(ISNUMBER(N14))),"No food level",IF(ISNUMBER(O14),"OK","Check inputs"))))))</f>
        <v>OK</v>
      </c>
      <c r="R20" s="15" t="s">
        <v>64</v>
      </c>
      <c r="S20" s="19">
        <f>IF(ISNUMBER($D$57),$D$57,S21)</f>
        <v>80</v>
      </c>
      <c r="T20" s="12" t="s">
        <v>561</v>
      </c>
    </row>
    <row r="21" spans="2:22" ht="15" customHeight="1" x14ac:dyDescent="0.4">
      <c r="B21" s="15" t="s">
        <v>65</v>
      </c>
      <c r="C21" s="16" t="s">
        <v>27</v>
      </c>
      <c r="D21" s="16" t="str">
        <f>IF(ISNUMBER($D$64),INDEX('Chemical Data'!$D$5:$D$500,$D$64),"–")</f>
        <v>Basic</v>
      </c>
      <c r="E21" s="42" t="s">
        <v>66</v>
      </c>
      <c r="F21" s="16" t="str">
        <f>IF($D$12="Manual Input",E21,D21)</f>
        <v>Basic</v>
      </c>
      <c r="G21" s="20" t="str">
        <f>IF($D$12="Manual Input","Manual","RDKit")</f>
        <v>RDKit</v>
      </c>
      <c r="H21" s="12" t="s">
        <v>67</v>
      </c>
      <c r="J21" s="12" t="s">
        <v>68</v>
      </c>
      <c r="R21" s="15" t="s">
        <v>69</v>
      </c>
      <c r="S21" s="16">
        <f>IF(SUM(S23:V23)&gt;0,CEILING(4*SUM(S23:V23)/10^INT(LOG10(4*SUM(S23:V23))),1)*10^INT(LOG10(4*SUM(S23:V23))),1)</f>
        <v>80</v>
      </c>
      <c r="T21" s="12" t="s">
        <v>70</v>
      </c>
    </row>
    <row r="22" spans="2:22" ht="18" customHeight="1" x14ac:dyDescent="0.4">
      <c r="B22" s="15" t="s">
        <v>71</v>
      </c>
      <c r="C22" s="16" t="s">
        <v>27</v>
      </c>
      <c r="D22" s="16" t="str">
        <f>IF(ISNUMBER($D$64),INDEX('Chemical Data'!$C$5:$C$500,$D$64),"–")</f>
        <v>2° Amine</v>
      </c>
      <c r="E22" s="42" t="s">
        <v>72</v>
      </c>
      <c r="F22" s="16" t="str">
        <f>IF($D$12="Manual Input",E22,D22)</f>
        <v>2° Amine</v>
      </c>
      <c r="G22" s="20" t="str">
        <f>IF($D$12="Manual Input","Manual","RDKit")</f>
        <v>RDKit</v>
      </c>
      <c r="H22" s="12" t="s">
        <v>73</v>
      </c>
      <c r="J22" s="8" t="s">
        <v>74</v>
      </c>
      <c r="K22" s="9"/>
      <c r="L22" s="9"/>
      <c r="M22" s="9"/>
      <c r="N22" s="9"/>
      <c r="O22" s="9"/>
      <c r="R22" s="15" t="s">
        <v>75</v>
      </c>
      <c r="S22" s="18">
        <f>S20/1000</f>
        <v>0.08</v>
      </c>
    </row>
    <row r="23" spans="2:22" ht="15" customHeight="1" x14ac:dyDescent="0.4">
      <c r="B23" s="15" t="s">
        <v>76</v>
      </c>
      <c r="C23" s="16" t="s">
        <v>59</v>
      </c>
      <c r="D23" s="24">
        <f>IF(ISNUMBER($D$64),INDEX('Chemical Data'!$K$5:$K$500,$D$64),"–")</f>
        <v>0.32500000000000001</v>
      </c>
      <c r="E23" s="45">
        <v>6.13</v>
      </c>
      <c r="F23" s="24">
        <f>IF($D$12="Manual Input",E23,D23)</f>
        <v>0.32500000000000001</v>
      </c>
      <c r="G23" s="20" t="str">
        <f>IF($D$12="Manual Input","Manual","EPI Suite")</f>
        <v>EPI Suite</v>
      </c>
      <c r="H23" s="12" t="s">
        <v>77</v>
      </c>
      <c r="J23" s="13" t="s">
        <v>78</v>
      </c>
      <c r="K23" s="14" t="s">
        <v>79</v>
      </c>
      <c r="L23" s="14" t="s">
        <v>18</v>
      </c>
      <c r="M23" s="14" t="s">
        <v>19</v>
      </c>
      <c r="N23" s="14" t="s">
        <v>20</v>
      </c>
      <c r="O23" s="14" t="s">
        <v>21</v>
      </c>
      <c r="R23" s="15" t="s">
        <v>80</v>
      </c>
      <c r="S23" s="18">
        <f>IF(S13,1/S16,0)</f>
        <v>4.3945108046266208</v>
      </c>
      <c r="T23" s="18">
        <f>IF(T13,1/T16,0)</f>
        <v>0.99698246278489011</v>
      </c>
      <c r="U23" s="18">
        <f>IF(U13,1/U16,0)</f>
        <v>11.906383498151383</v>
      </c>
      <c r="V23" s="18">
        <f>IF(V13,1/V16,0)</f>
        <v>0.40671871836758627</v>
      </c>
    </row>
    <row r="24" spans="2:22" ht="15" customHeight="1" x14ac:dyDescent="0.4">
      <c r="B24" s="25" t="s">
        <v>81</v>
      </c>
      <c r="C24" s="25"/>
      <c r="D24" s="25"/>
      <c r="E24" s="25"/>
      <c r="F24" s="41"/>
      <c r="G24" s="25"/>
      <c r="H24" s="26" t="str">
        <f>IF($D$74,"Measured: UFZ-LSERD; QSBR: from SMILES","Not available: K_iW II = I, no urinary excretion")</f>
        <v>Measured: UFZ-LSERD; QSBR: from SMILES</v>
      </c>
      <c r="J24" s="15" t="s">
        <v>82</v>
      </c>
      <c r="K24" s="16" t="s">
        <v>83</v>
      </c>
      <c r="L24" s="18">
        <f>IF(D$85,IFERROR(IF(D$47="Aquatic",D$50^-0.25/($L$106+D103/$D$66+1/D106),0),"n/a"),"–")</f>
        <v>0.15104866673509801</v>
      </c>
      <c r="M24" s="18">
        <f>IF(E$85,IFERROR(IF(E$47="Aquatic",E$50^-0.25/($L$106+E103/$D$66+1/E106),0),"n/a"),"–")</f>
        <v>1.8166013392463689</v>
      </c>
      <c r="N24" s="18">
        <f>IF(F$85,IFERROR(IF(F$47="Aquatic",F$50^-0.25/($L$106+F103/$D$66+1/F106),0),"n/a"),"–")</f>
        <v>0.1816601339246369</v>
      </c>
      <c r="O24" s="18">
        <f>IF(G$85,IFERROR(IF(G$47="Aquatic",G$50^-0.25/($L$106+G103/$D$66+1/G106),0),"n/a"),"–")</f>
        <v>0</v>
      </c>
      <c r="R24" s="13" t="s">
        <v>84</v>
      </c>
      <c r="S24" s="14" t="str">
        <f>"TL 1: "&amp;L13</f>
        <v>TL 1: Algae</v>
      </c>
      <c r="T24" s="14" t="str">
        <f>"TL 2: "&amp;M13</f>
        <v>TL 2: Crustaceans</v>
      </c>
      <c r="U24" s="14" t="str">
        <f>"TL 3: "&amp;N13</f>
        <v>TL 3: Fish</v>
      </c>
      <c r="V24" s="14" t="str">
        <f>"TL 4: "&amp;O13</f>
        <v>TL 4: Birds</v>
      </c>
    </row>
    <row r="25" spans="2:22" ht="15" customHeight="1" x14ac:dyDescent="0.4">
      <c r="B25" s="15" t="s">
        <v>85</v>
      </c>
      <c r="C25" s="16" t="s">
        <v>27</v>
      </c>
      <c r="D25" s="23">
        <f>IF(ISNUMBER($D$64),IF(ISNUMBER(INDEX('Chemical Data'!$L$5:$L$500,$D$64)),INDEX('Chemical Data'!$L$5:$L$500,$D$64),IF(AND($D$55="Yes",ISNUMBER(INDEX('Chemical Data'!$R$5:$R$500,$D$64))),INDEX('Chemical Data'!$R$5:$R$500,$D$64),"-")),"–")</f>
        <v>1.1619999999999999</v>
      </c>
      <c r="E25" s="46">
        <v>1.965714285714286</v>
      </c>
      <c r="F25" s="23">
        <f t="shared" ref="F25:F30" si="0">IF($D$12="Manual Input",IF(ISNUMBER(E25),E25,"-"),D25)</f>
        <v>1.1619999999999999</v>
      </c>
      <c r="G25" s="20" t="str">
        <f>IF($D$12="Manual Input",IF(ISNUMBER(E25),"Manual","Not given"),IF(NOT(ISNUMBER($D$64)),"–",IF(ISNUMBER(INDEX('Chemical Data'!$L$5:$L$500,$D$64)),"Measured",IF(AND($D$55="Yes",ISNUMBER(INDEX('Chemical Data'!$R$5:$R$500,$D$64))),"QSBR","Not available"))))</f>
        <v>Measured</v>
      </c>
      <c r="H25" s="12" t="s">
        <v>86</v>
      </c>
      <c r="J25" s="15" t="s">
        <v>87</v>
      </c>
      <c r="K25" s="16" t="s">
        <v>88</v>
      </c>
      <c r="L25" s="18">
        <f>IF(D$85,IFERROR(IF(D$47="Terrestrial",IF(ISNUMBER(D116),D$50^-0.25/(D113+$L$112/$D$75+1/D116),"n/a"),0),"n/a"),"–")</f>
        <v>0</v>
      </c>
      <c r="M25" s="18">
        <f>IF(E$85,IFERROR(IF(E$47="Terrestrial",IF(ISNUMBER(E116),E$50^-0.25/(E113+$L$112/$D$75+1/E116),"n/a"),0),"n/a"),"–")</f>
        <v>0</v>
      </c>
      <c r="N25" s="18">
        <f>IF(F$85,IFERROR(IF(F$47="Terrestrial",IF(ISNUMBER(F116),F$50^-0.25/(F113+$L$112/$D$75+1/F116),"n/a"),0),"n/a"),"–")</f>
        <v>0</v>
      </c>
      <c r="O25" s="18">
        <f>IF(G$85,IFERROR(IF(G$47="Terrestrial",IF(ISNUMBER(G116),G$50^-0.25/(G113+$L$112/$D$75+1/G116),"n/a"),0),"n/a"),"–")</f>
        <v>1.7178526523181105E-3</v>
      </c>
      <c r="R25" s="28">
        <v>0</v>
      </c>
      <c r="S25" s="29">
        <f>IF(S$13,0,NA())</f>
        <v>0</v>
      </c>
      <c r="T25" s="29">
        <f>IF(T$13,0,NA())</f>
        <v>0</v>
      </c>
      <c r="U25" s="29">
        <f>IF(U$13,0,NA())</f>
        <v>0</v>
      </c>
      <c r="V25" s="29">
        <f>IF(V$13,0,NA())</f>
        <v>0</v>
      </c>
    </row>
    <row r="26" spans="2:22" ht="15" customHeight="1" x14ac:dyDescent="0.4">
      <c r="B26" s="15" t="s">
        <v>89</v>
      </c>
      <c r="C26" s="16" t="s">
        <v>27</v>
      </c>
      <c r="D26" s="23">
        <f>IF(ISNUMBER($D$64),IF(ISNUMBER(INDEX('Chemical Data'!$M$5:$M$500,$D$64)),INDEX('Chemical Data'!$M$5:$M$500,$D$64),IF(AND($D$55="Yes",ISNUMBER(INDEX('Chemical Data'!$S$5:$S$500,$D$64))),INDEX('Chemical Data'!$S$5:$S$500,$D$64),"-")),"–")</f>
        <v>1.3</v>
      </c>
      <c r="E26" s="46">
        <v>1.6742857142857139</v>
      </c>
      <c r="F26" s="23">
        <f t="shared" si="0"/>
        <v>1.3</v>
      </c>
      <c r="G26" s="20" t="str">
        <f>IF($D$12="Manual Input",IF(ISNUMBER(E26),"Manual","Not given"),IF(NOT(ISNUMBER($D$64)),"–",IF(ISNUMBER(INDEX('Chemical Data'!$M$5:$M$500,$D$64)),"Measured",IF(AND($D$55="Yes",ISNUMBER(INDEX('Chemical Data'!$S$5:$S$500,$D$64))),"QSBR","Not available"))))</f>
        <v>Measured</v>
      </c>
      <c r="J26" s="15" t="s">
        <v>90</v>
      </c>
      <c r="K26" s="16" t="s">
        <v>91</v>
      </c>
      <c r="L26" s="18">
        <f>IF(D$85,IFERROR(IF(D$47="Subterranean",D$50^-0.25/($L$106+D103/$D$68),0),"n/a"),"–")</f>
        <v>0</v>
      </c>
      <c r="M26" s="18">
        <f>IF(E$85,IFERROR(IF(E$47="Subterranean",E$50^-0.25/($L$106+E103/$D$68),0),"n/a"),"–")</f>
        <v>0</v>
      </c>
      <c r="N26" s="18">
        <f>IF(F$85,IFERROR(IF(F$47="Subterranean",F$50^-0.25/($L$106+F103/$D$68),0),"n/a"),"–")</f>
        <v>0</v>
      </c>
      <c r="O26" s="18">
        <f>IF(G$85,IFERROR(IF(G$47="Subterranean",G$50^-0.25/($L$106+G103/$D$68),0),"n/a"),"–")</f>
        <v>0</v>
      </c>
      <c r="R26" s="28">
        <f t="shared" ref="R26:R89" si="1">R25+$S$22</f>
        <v>0.08</v>
      </c>
      <c r="S26" s="29">
        <f t="shared" ref="S26:S89" si="2">IF(S$13,S25*S$18+(S$14+S$15*IF(S$17,$D$71,0))*S$19,NA())</f>
        <v>1.1974566961542624E-3</v>
      </c>
      <c r="T26" s="29">
        <f t="shared" ref="T26:T89" si="3">IF(T$13,T25*T$18+(T$14+T$15*IF(T$17,$D$71,(S25+S26)/2))*T$19,NA())</f>
        <v>1.3965162682274065E-2</v>
      </c>
      <c r="U26" s="29">
        <f t="shared" ref="U26:U89" si="4">IF(U$13,U25*U$18+(U$14+U$15*IF(U$17,$D$71,(T25+T26)/2))*U$19,NA())</f>
        <v>1.4497939317830828E-3</v>
      </c>
      <c r="V26" s="29">
        <f t="shared" ref="V26:V89" si="5">IF(V$13,V25*V$18+(V$14+V$15*IF(V$17,$D$71,(U25+U26)/2))*V$19,NA())</f>
        <v>1.5166158047338661E-6</v>
      </c>
    </row>
    <row r="27" spans="2:22" ht="15" customHeight="1" x14ac:dyDescent="0.4">
      <c r="B27" s="15" t="s">
        <v>92</v>
      </c>
      <c r="C27" s="16" t="s">
        <v>27</v>
      </c>
      <c r="D27" s="23">
        <f>IF(ISNUMBER($D$64),IF(ISNUMBER(INDEX('Chemical Data'!$N$5:$N$500,$D$64)),INDEX('Chemical Data'!$N$5:$N$500,$D$64),IF(AND($D$55="Yes",ISNUMBER(INDEX('Chemical Data'!$T$5:$T$500,$D$64))),INDEX('Chemical Data'!$T$5:$T$500,$D$64),"-")),"–")</f>
        <v>0.156</v>
      </c>
      <c r="E27" s="46">
        <v>0.60571428571428587</v>
      </c>
      <c r="F27" s="23">
        <f t="shared" si="0"/>
        <v>0.156</v>
      </c>
      <c r="G27" s="20" t="str">
        <f>IF($D$12="Manual Input",IF(ISNUMBER(E27),"Manual","Not given"),IF(NOT(ISNUMBER($D$64)),"–",IF(ISNUMBER(INDEX('Chemical Data'!$N$5:$N$500,$D$64)),"Measured",IF(AND($D$55="Yes",ISNUMBER(INDEX('Chemical Data'!$T$5:$T$500,$D$64))),"QSBR","Not available"))))</f>
        <v>Measured</v>
      </c>
      <c r="J27" s="15" t="s">
        <v>93</v>
      </c>
      <c r="K27" s="16" t="s">
        <v>43</v>
      </c>
      <c r="L27" s="18">
        <f>IF(D$85,IFERROR(IFERROR(IF(D$48="Detritus",(D88/(1-D88))*(1/$D$70)*D107,0),0),"n/a"),"–")</f>
        <v>0</v>
      </c>
      <c r="M27" s="18">
        <f>IF(E$85,IFERROR(IFERROR(IF(E$48="Detritus",(E88/(1-E88))*(1/$D$70)*E107,(E88/(1-E88))*(1/D102)*E107),0),"n/a"),"–")</f>
        <v>2.9568944129770868E-3</v>
      </c>
      <c r="N27" s="18">
        <f>IF(F$85,IFERROR(IFERROR(IF(F$48="Detritus",(F88/(1-F88))*(1/$D$70)*F107,(F88/(1-F88))*(1/E102)*F107),0),"n/a"),"–")</f>
        <v>2.4864710737983057E-3</v>
      </c>
      <c r="O27" s="18">
        <f>IF(G$85,IFERROR(IFERROR(IF(G$48="Detritus",(G88/(1-G88))*(1/$D$70)*G107,(G88/(1-G88))*(1/F102)*G107),0),"n/a"),"–")</f>
        <v>2.8808553307108509E-2</v>
      </c>
      <c r="R27" s="28">
        <f t="shared" si="1"/>
        <v>0.16</v>
      </c>
      <c r="S27" s="29">
        <f t="shared" si="2"/>
        <v>2.3733114798895534E-3</v>
      </c>
      <c r="T27" s="29">
        <f t="shared" si="3"/>
        <v>2.6853781292111419E-2</v>
      </c>
      <c r="U27" s="29">
        <f t="shared" si="4"/>
        <v>2.8925411215984806E-3</v>
      </c>
      <c r="V27" s="29">
        <f t="shared" si="5"/>
        <v>5.7882850769485259E-6</v>
      </c>
    </row>
    <row r="28" spans="2:22" ht="15" customHeight="1" x14ac:dyDescent="0.4">
      <c r="B28" s="15" t="s">
        <v>94</v>
      </c>
      <c r="C28" s="16" t="s">
        <v>27</v>
      </c>
      <c r="D28" s="23">
        <f>IF(ISNUMBER($D$64),IF(ISNUMBER(INDEX('Chemical Data'!$O$5:$O$500,$D$64)),INDEX('Chemical Data'!$O$5:$O$500,$D$64),IF(AND($D$55="Yes",ISNUMBER(INDEX('Chemical Data'!$U$5:$U$500,$D$64))),INDEX('Chemical Data'!$U$5:$U$500,$D$64),"-")),"–")</f>
        <v>1.6960000000000011</v>
      </c>
      <c r="E28" s="46">
        <v>0.83857142857142841</v>
      </c>
      <c r="F28" s="23">
        <f t="shared" si="0"/>
        <v>1.6960000000000011</v>
      </c>
      <c r="G28" s="20" t="str">
        <f>IF($D$12="Manual Input",IF(ISNUMBER(E28),"Manual","Not given"),IF(NOT(ISNUMBER($D$64)),"–",IF(ISNUMBER(INDEX('Chemical Data'!$O$5:$O$500,$D$64)),"Measured",IF(AND($D$55="Yes",ISNUMBER(INDEX('Chemical Data'!$U$5:$U$500,$D$64))),"QSBR","Not available"))))</f>
        <v>Measured</v>
      </c>
      <c r="J28" s="15" t="s">
        <v>95</v>
      </c>
      <c r="K28" s="16" t="s">
        <v>96</v>
      </c>
      <c r="L28" s="18">
        <f>IF(D$85,IFERROR(IF(D$47="Aquatic",(1/D102)*L24,0),"n/a"),"–")</f>
        <v>0.12085984965087845</v>
      </c>
      <c r="M28" s="18">
        <f>IF(E$85,IFERROR(IF(E$47="Aquatic",(1/E102)*M24,0),"n/a"),"–")</f>
        <v>0.98105937804236287</v>
      </c>
      <c r="N28" s="18">
        <f>IF(F$85,IFERROR(IF(F$47="Aquatic",(1/F102)*N24,0),"n/a"),"–")</f>
        <v>8.1574322669561536E-2</v>
      </c>
      <c r="O28" s="18">
        <f>IF(G$85,IFERROR(IF(G$47="Aquatic",(1/G102)*O24,0),"n/a"),"–")</f>
        <v>0</v>
      </c>
      <c r="R28" s="28">
        <f t="shared" si="1"/>
        <v>0.24</v>
      </c>
      <c r="S28" s="29">
        <f t="shared" si="2"/>
        <v>3.527954045982858E-3</v>
      </c>
      <c r="T28" s="29">
        <f t="shared" si="3"/>
        <v>3.8748860202360874E-2</v>
      </c>
      <c r="U28" s="29">
        <f t="shared" si="4"/>
        <v>4.3280835603985808E-3</v>
      </c>
      <c r="V28" s="29">
        <f t="shared" si="5"/>
        <v>1.2308157673679221E-5</v>
      </c>
    </row>
    <row r="29" spans="2:22" ht="15" customHeight="1" x14ac:dyDescent="0.4">
      <c r="B29" s="15" t="s">
        <v>97</v>
      </c>
      <c r="C29" s="16" t="s">
        <v>27</v>
      </c>
      <c r="D29" s="23">
        <f>IF(ISNUMBER($D$64),IF(ISNUMBER(INDEX('Chemical Data'!$P$5:$P$500,$D$64)),INDEX('Chemical Data'!$P$5:$P$500,$D$64),IF(AND($D$55="Yes",ISNUMBER(INDEX('Chemical Data'!$V$5:$V$500,$D$64))),INDEX('Chemical Data'!$V$5:$V$500,$D$64),"-")),"–")</f>
        <v>2.2604000000000002</v>
      </c>
      <c r="E29" s="46">
        <v>2.024999999999999</v>
      </c>
      <c r="F29" s="23">
        <f t="shared" si="0"/>
        <v>2.2604000000000002</v>
      </c>
      <c r="G29" s="20" t="str">
        <f>IF($D$12="Manual Input",IF(ISNUMBER(E29),"Manual","Not given"),IF(NOT(ISNUMBER($D$64)),"–",IF(ISNUMBER(INDEX('Chemical Data'!$P$5:$P$500,$D$64)),"Measured",IF(AND($D$55="Yes",ISNUMBER(INDEX('Chemical Data'!$V$5:$V$500,$D$64))),"QSBR","Not available"))))</f>
        <v>Measured</v>
      </c>
      <c r="J29" s="15" t="s">
        <v>98</v>
      </c>
      <c r="K29" s="16" t="s">
        <v>99</v>
      </c>
      <c r="L29" s="18">
        <f>IF(D$85,IFERROR(IF(D$47="Terrestrial",IFERROR((1/$D$75)*L25,"n/a"),0),"n/a"),"–")</f>
        <v>0</v>
      </c>
      <c r="M29" s="18">
        <f>IF(E$85,IFERROR(IF(E$47="Terrestrial",IFERROR((1/$D$75)*M25,"n/a"),0),"n/a"),"–")</f>
        <v>0</v>
      </c>
      <c r="N29" s="18">
        <f>IF(F$85,IFERROR(IF(F$47="Terrestrial",IFERROR((1/$D$75)*N25,"n/a"),0),"n/a"),"–")</f>
        <v>0</v>
      </c>
      <c r="O29" s="18">
        <f>IF(G$85,IFERROR(IF(G$47="Terrestrial",IFERROR((1/$D$75)*O25,"n/a"),0),"n/a"),"–")</f>
        <v>5.144295526964532E-13</v>
      </c>
      <c r="R29" s="28">
        <f t="shared" si="1"/>
        <v>0.32</v>
      </c>
      <c r="S29" s="29">
        <f t="shared" si="2"/>
        <v>4.6617670591845468E-3</v>
      </c>
      <c r="T29" s="29">
        <f t="shared" si="3"/>
        <v>4.9727003643518633E-2</v>
      </c>
      <c r="U29" s="29">
        <f t="shared" si="4"/>
        <v>5.7562801185284309E-3</v>
      </c>
      <c r="V29" s="29">
        <f t="shared" si="5"/>
        <v>2.0659573584824446E-5</v>
      </c>
    </row>
    <row r="30" spans="2:22" ht="15" customHeight="1" x14ac:dyDescent="0.4">
      <c r="B30" s="15" t="s">
        <v>100</v>
      </c>
      <c r="C30" s="16" t="s">
        <v>27</v>
      </c>
      <c r="D30" s="23">
        <f>IF(ISNUMBER($D$64),IF(ISNUMBER(INDEX('Chemical Data'!$Q$5:$Q$500,$D$64)),INDEX('Chemical Data'!$Q$5:$Q$500,$D$64),IF(AND($D$55="Yes",ISNUMBER(INDEX('Chemical Data'!$W$5:$W$500,$D$64))),INDEX('Chemical Data'!$W$5:$W$500,$D$64),"-")),"–")</f>
        <v>9.83</v>
      </c>
      <c r="E30" s="46">
        <v>11.025</v>
      </c>
      <c r="F30" s="23">
        <f t="shared" si="0"/>
        <v>9.83</v>
      </c>
      <c r="G30" s="20" t="str">
        <f>IF($D$12="Manual Input",IF(ISNUMBER(E30),"Manual","Not given"),IF(NOT(ISNUMBER($D$64)),"–",IF(ISNUMBER(INDEX('Chemical Data'!$Q$5:$Q$500,$D$64)),"Measured",IF(AND($D$55="Yes",ISNUMBER(INDEX('Chemical Data'!$W$5:$W$500,$D$64))),"QSBR","Not available"))))</f>
        <v>Measured</v>
      </c>
      <c r="H30" s="12" t="s">
        <v>101</v>
      </c>
      <c r="J30" s="15" t="s">
        <v>102</v>
      </c>
      <c r="K30" s="16" t="s">
        <v>103</v>
      </c>
      <c r="L30" s="18">
        <f>IF(D$85,IFERROR(IF(D$47="Subterranean",L26/D102,0),"n/a"),"–")</f>
        <v>0</v>
      </c>
      <c r="M30" s="18">
        <f>IF(E$85,IFERROR(IF(E$47="Subterranean",M26/E102,0),"n/a"),"–")</f>
        <v>0</v>
      </c>
      <c r="N30" s="18">
        <f>IF(F$85,IFERROR(IF(F$47="Subterranean",N26/F102,0),"n/a"),"–")</f>
        <v>0</v>
      </c>
      <c r="O30" s="18">
        <f>IF(G$85,IFERROR(IF(G$47="Subterranean",O26/G102,0),"n/a"),"–")</f>
        <v>0</v>
      </c>
      <c r="R30" s="28">
        <f t="shared" si="1"/>
        <v>0.4</v>
      </c>
      <c r="S30" s="29">
        <f t="shared" si="2"/>
        <v>5.7751262810388461E-3</v>
      </c>
      <c r="T30" s="29">
        <f t="shared" si="3"/>
        <v>5.985890919884311E-2</v>
      </c>
      <c r="U30" s="29">
        <f t="shared" si="4"/>
        <v>7.177005212775733E-3</v>
      </c>
      <c r="V30" s="29">
        <f t="shared" si="5"/>
        <v>3.0499992521618878E-5</v>
      </c>
    </row>
    <row r="31" spans="2:22" ht="15" customHeight="1" x14ac:dyDescent="0.4">
      <c r="B31" s="10" t="s">
        <v>104</v>
      </c>
      <c r="D31" s="54" t="str">
        <f>IF($D$12="Manual Input",IF(OR(E16="",E18="",E21=""),"Manual input: enter log Kow, log Koa and ionisation type",IF(AND(E21&lt;&gt;"Neutral",OR(E17="",E20="",E22="")),"Manual input: enter ionised log Kow, pKa and functional group",IF(AND($D$56="On",E23=""),"Manual input: enter a half-life (biotransformation is On)","OK"))),IF(ISNUMBER($D$64),"OK","Pick a pharmaceutical from the list"))</f>
        <v>OK</v>
      </c>
      <c r="E31" s="51"/>
      <c r="F31" s="51"/>
      <c r="G31" s="51"/>
      <c r="H31" s="51"/>
      <c r="J31" s="15" t="s">
        <v>105</v>
      </c>
      <c r="K31" s="16" t="s">
        <v>106</v>
      </c>
      <c r="L31" s="18">
        <f>IF(D$85,IFERROR(IF(OR(D$47="Terrestrial",D$47="Subterranean"),IFERROR(D120*D125*(1-D130)/D126,0),0),"n/a"),"–")</f>
        <v>0</v>
      </c>
      <c r="M31" s="18">
        <f>IF(E$85,IFERROR(IF(OR(E$47="Terrestrial",E$47="Subterranean"),IFERROR(E120*E125*(1-E130)/E126,0),0),"n/a"),"–")</f>
        <v>0</v>
      </c>
      <c r="N31" s="18">
        <f>IF(F$85,IFERROR(IF(OR(F$47="Terrestrial",F$47="Subterranean"),IFERROR(F120*F125*(1-F130)/F126,0),0),"n/a"),"–")</f>
        <v>0</v>
      </c>
      <c r="O31" s="18">
        <f>IF(G$85,IFERROR(IF(OR(G$47="Terrestrial",G$47="Subterranean"),IFERROR(G120*G125*(1-G130)/G126,0),0),"n/a"),"–")</f>
        <v>2.4469979448208856</v>
      </c>
      <c r="R31" s="28">
        <f t="shared" si="1"/>
        <v>0.48000000000000004</v>
      </c>
      <c r="S31" s="29">
        <f t="shared" si="2"/>
        <v>6.8684006944164872E-3</v>
      </c>
      <c r="T31" s="29">
        <f t="shared" si="3"/>
        <v>6.9209823247499427E-2</v>
      </c>
      <c r="U31" s="29">
        <f t="shared" si="4"/>
        <v>8.5901475764109548E-3</v>
      </c>
      <c r="V31" s="29">
        <f t="shared" si="5"/>
        <v>4.1547790353503361E-5</v>
      </c>
    </row>
    <row r="32" spans="2:22" ht="15" customHeight="1" x14ac:dyDescent="0.4">
      <c r="J32" s="15" t="s">
        <v>107</v>
      </c>
      <c r="K32" s="16" t="s">
        <v>108</v>
      </c>
      <c r="L32" s="18">
        <f>IF(D$85,IFERROR(IFERROR((1/D102)*D107,0),"n/a"),"–")</f>
        <v>0</v>
      </c>
      <c r="M32" s="18">
        <f>IF(E$85,IFERROR(IFERROR((1/E102)*E107,0),"n/a"),"–")</f>
        <v>2.9936263020211131E-3</v>
      </c>
      <c r="N32" s="18">
        <f>IF(F$85,IFERROR(IFERROR((1/F102)*F107,0),"n/a"),"–")</f>
        <v>5.1687032972278369E-4</v>
      </c>
      <c r="O32" s="18">
        <f>IF(G$85,IFERROR(IFERROR((1/G102)*G107,0),"n/a"),"–")</f>
        <v>6.282132652861528E-3</v>
      </c>
      <c r="R32" s="28">
        <f t="shared" si="1"/>
        <v>0.56000000000000005</v>
      </c>
      <c r="S32" s="29">
        <f t="shared" si="2"/>
        <v>7.9419526258008057E-3</v>
      </c>
      <c r="T32" s="29">
        <f t="shared" si="3"/>
        <v>7.7839961289811757E-2</v>
      </c>
      <c r="U32" s="29">
        <f t="shared" si="4"/>
        <v>9.9956091242748846E-3</v>
      </c>
      <c r="V32" s="29">
        <f t="shared" si="5"/>
        <v>5.3571410696687066E-5</v>
      </c>
    </row>
    <row r="33" spans="2:22" ht="18" customHeight="1" x14ac:dyDescent="0.4">
      <c r="B33" s="8" t="s">
        <v>109</v>
      </c>
      <c r="C33" s="9"/>
      <c r="D33" s="9"/>
      <c r="E33" s="9"/>
      <c r="F33" s="9"/>
      <c r="G33" s="9"/>
      <c r="H33" s="9"/>
      <c r="J33" s="15" t="s">
        <v>110</v>
      </c>
      <c r="K33" s="16" t="s">
        <v>111</v>
      </c>
      <c r="L33" s="18">
        <f>IF(D$85,IFERROR(D86*$L$111*D$50^-0.25,"n/a"),"–")</f>
        <v>0.10669676460233533</v>
      </c>
      <c r="M33" s="18">
        <f>IF(E$85,IFERROR(E86*$L$111*E$50^-0.25,"n/a"),"–")</f>
        <v>1.8973665961010272E-2</v>
      </c>
      <c r="N33" s="18">
        <f>IF(F$85,IFERROR(F86*$L$111*F$50^-0.25,"n/a"),"–")</f>
        <v>1.897366596101027E-3</v>
      </c>
      <c r="O33" s="18">
        <f>IF(G$85,IFERROR(G86*$L$111*G$50^-0.25,"n/a"),"–")</f>
        <v>5.4216120216590679E-3</v>
      </c>
      <c r="R33" s="28">
        <f t="shared" si="1"/>
        <v>0.64</v>
      </c>
      <c r="S33" s="29">
        <f t="shared" si="2"/>
        <v>8.9961378653678238E-3</v>
      </c>
      <c r="T33" s="29">
        <f t="shared" si="3"/>
        <v>8.5804895862463468E-2</v>
      </c>
      <c r="U33" s="29">
        <f t="shared" si="4"/>
        <v>1.13933039055834E-2</v>
      </c>
      <c r="V33" s="29">
        <f t="shared" si="5"/>
        <v>6.6380451310180211E-5</v>
      </c>
    </row>
    <row r="34" spans="2:22" ht="15" customHeight="1" x14ac:dyDescent="0.4">
      <c r="B34" s="13" t="s">
        <v>112</v>
      </c>
      <c r="C34" s="14" t="s">
        <v>17</v>
      </c>
      <c r="D34" s="14" t="s">
        <v>113</v>
      </c>
      <c r="E34" s="13" t="s">
        <v>34</v>
      </c>
      <c r="F34" s="14"/>
      <c r="G34" s="14"/>
      <c r="H34" s="14"/>
      <c r="J34" s="15" t="s">
        <v>114</v>
      </c>
      <c r="K34" s="16" t="s">
        <v>115</v>
      </c>
      <c r="L34" s="18">
        <f>IF(D$85,IFERROR(IF(AND($D$56="On",OR(D$46="Fish",D$46="Mammals",D$46="Birds")),LN(2)*(D$50/$L$117)^-0.25/$F$23,0),"n/a"),"–")</f>
        <v>0</v>
      </c>
      <c r="M34" s="18">
        <f>IF(E$85,IFERROR(IF(AND($D$56="On",OR(E$46="Fish",E$46="Mammals",E$46="Birds")),LN(2)*(E$50/$L$117)^-0.25/$F$23,0),"n/a"),"–")</f>
        <v>0</v>
      </c>
      <c r="N34" s="18">
        <f>IF(F$85,IFERROR(IF(AND($D$56="On",OR(F$46="Fish",F$46="Mammals",F$46="Birds")),LN(2)*(F$50/$L$117)^-0.25/$F$23,0),"n/a"),"–")</f>
        <v>0</v>
      </c>
      <c r="O34" s="18">
        <f>IF(G$85,IFERROR(IF(AND($D$56="On",OR(G$46="Fish",G$46="Mammals",G$46="Birds")),LN(2)*(G$50/$L$117)^-0.25/$F$23,0),"n/a"),"–")</f>
        <v>0</v>
      </c>
      <c r="R34" s="28">
        <f t="shared" si="1"/>
        <v>0.72</v>
      </c>
      <c r="S34" s="29">
        <f t="shared" si="2"/>
        <v>1.0031305784900109E-2</v>
      </c>
      <c r="T34" s="29">
        <f t="shared" si="3"/>
        <v>9.3155914542691065E-2</v>
      </c>
      <c r="U34" s="29">
        <f t="shared" si="4"/>
        <v>1.2783157137684442E-2</v>
      </c>
      <c r="V34" s="29">
        <f t="shared" si="5"/>
        <v>7.9818339996910143E-5</v>
      </c>
    </row>
    <row r="35" spans="2:22" ht="15" customHeight="1" x14ac:dyDescent="0.4">
      <c r="B35" s="15" t="s">
        <v>116</v>
      </c>
      <c r="C35" s="16" t="s">
        <v>117</v>
      </c>
      <c r="D35" s="11">
        <v>0.1</v>
      </c>
      <c r="E35" s="12" t="s">
        <v>118</v>
      </c>
      <c r="J35" s="10" t="s">
        <v>119</v>
      </c>
      <c r="K35" s="16" t="s">
        <v>47</v>
      </c>
      <c r="L35" s="30">
        <f>IF(D$85,IF(COUNT(L28:L34)=7,SUM(L28:L34),"n/a"),"–")</f>
        <v>0.22755661425321377</v>
      </c>
      <c r="M35" s="30">
        <f>IF(E$85,IF(COUNT(M28:M34)=7,SUM(M28:M34),"n/a"),"–")</f>
        <v>1.0030266703053943</v>
      </c>
      <c r="N35" s="30">
        <f>IF(F$85,IF(COUNT(N28:N34)=7,SUM(N28:N34),"n/a"),"–")</f>
        <v>8.3988559595385343E-2</v>
      </c>
      <c r="O35" s="30">
        <f>IF(G$85,IF(COUNT(O28:O34)=7,SUM(O28:O34),"n/a"),"–")</f>
        <v>2.4587016894959208</v>
      </c>
      <c r="R35" s="28">
        <f t="shared" si="1"/>
        <v>0.79999999999999993</v>
      </c>
      <c r="S35" s="29">
        <f t="shared" si="2"/>
        <v>1.1047799453573485E-2</v>
      </c>
      <c r="T35" s="29">
        <f t="shared" si="3"/>
        <v>9.9940350347823809E-2</v>
      </c>
      <c r="U35" s="29">
        <f t="shared" si="4"/>
        <v>1.4165104314523825E-2</v>
      </c>
      <c r="V35" s="29">
        <f t="shared" si="5"/>
        <v>9.3756316351049945E-5</v>
      </c>
    </row>
    <row r="36" spans="2:22" ht="15" customHeight="1" x14ac:dyDescent="0.4">
      <c r="B36" s="15" t="s">
        <v>120</v>
      </c>
      <c r="C36" s="16" t="s">
        <v>121</v>
      </c>
      <c r="D36" s="11">
        <v>288</v>
      </c>
      <c r="E36" s="12" t="s">
        <v>122</v>
      </c>
      <c r="R36" s="28">
        <f t="shared" si="1"/>
        <v>0.87999999999999989</v>
      </c>
      <c r="S36" s="29">
        <f t="shared" si="2"/>
        <v>1.204595575165497E-2</v>
      </c>
      <c r="T36" s="29">
        <f t="shared" si="3"/>
        <v>0.10620188665868439</v>
      </c>
      <c r="U36" s="29">
        <f t="shared" si="4"/>
        <v>1.5539090384057947E-2</v>
      </c>
      <c r="V36" s="29">
        <f t="shared" si="5"/>
        <v>1.0808848633020091E-4</v>
      </c>
    </row>
    <row r="37" spans="2:22" ht="18" customHeight="1" x14ac:dyDescent="0.4">
      <c r="B37" s="15" t="s">
        <v>123</v>
      </c>
      <c r="C37" s="16" t="s">
        <v>27</v>
      </c>
      <c r="D37" s="11">
        <v>7</v>
      </c>
      <c r="E37" s="12" t="s">
        <v>124</v>
      </c>
      <c r="J37" s="8" t="str">
        <f>"TIME-COURSE  –  "&amp;$F$15&amp;"  (approach to steady state)"</f>
        <v>TIME-COURSE  –  Metoprolol  (approach to steady state)</v>
      </c>
      <c r="K37" s="9"/>
      <c r="L37" s="9"/>
      <c r="M37" s="9"/>
      <c r="N37" s="9"/>
      <c r="O37" s="9"/>
      <c r="R37" s="28">
        <f t="shared" si="1"/>
        <v>0.95999999999999985</v>
      </c>
      <c r="S37" s="29">
        <f t="shared" si="2"/>
        <v>1.3026105482149627E-2</v>
      </c>
      <c r="T37" s="29">
        <f t="shared" si="3"/>
        <v>0.11198083863124277</v>
      </c>
      <c r="U37" s="29">
        <f t="shared" si="4"/>
        <v>1.6905068989295721E-2</v>
      </c>
      <c r="V37" s="29">
        <f t="shared" si="5"/>
        <v>1.2272775822772645E-4</v>
      </c>
    </row>
    <row r="38" spans="2:22" ht="15" customHeight="1" x14ac:dyDescent="0.4">
      <c r="B38" s="15" t="s">
        <v>125</v>
      </c>
      <c r="C38" s="16" t="s">
        <v>36</v>
      </c>
      <c r="D38" s="11">
        <v>0</v>
      </c>
      <c r="E38" s="12" t="s">
        <v>126</v>
      </c>
      <c r="R38" s="28">
        <f t="shared" si="1"/>
        <v>1.0399999999999998</v>
      </c>
      <c r="S38" s="29">
        <f t="shared" si="2"/>
        <v>1.3988573480433322E-2</v>
      </c>
      <c r="T38" s="29">
        <f t="shared" si="3"/>
        <v>0.11731441290944611</v>
      </c>
      <c r="U38" s="29">
        <f t="shared" si="4"/>
        <v>1.8263001768062132E-2</v>
      </c>
      <c r="V38" s="29">
        <f t="shared" si="5"/>
        <v>1.3760250279059466E-4</v>
      </c>
    </row>
    <row r="39" spans="2:22" ht="15" customHeight="1" x14ac:dyDescent="0.4">
      <c r="B39" s="15" t="s">
        <v>127</v>
      </c>
      <c r="C39" s="16" t="s">
        <v>27</v>
      </c>
      <c r="D39" s="11">
        <v>6.5</v>
      </c>
      <c r="E39" s="12" t="s">
        <v>128</v>
      </c>
      <c r="R39" s="28">
        <f t="shared" si="1"/>
        <v>1.1199999999999999</v>
      </c>
      <c r="S39" s="29">
        <f t="shared" si="2"/>
        <v>1.4933678721907723E-2</v>
      </c>
      <c r="T39" s="29">
        <f t="shared" si="3"/>
        <v>0.12223694731235893</v>
      </c>
      <c r="U39" s="29">
        <f t="shared" si="4"/>
        <v>1.9612857706954232E-2</v>
      </c>
      <c r="V39" s="29">
        <f t="shared" si="5"/>
        <v>1.5265380829757236E-4</v>
      </c>
    </row>
    <row r="40" spans="2:22" ht="15" customHeight="1" x14ac:dyDescent="0.4">
      <c r="B40" s="15" t="s">
        <v>129</v>
      </c>
      <c r="C40" s="16" t="s">
        <v>27</v>
      </c>
      <c r="D40" s="11">
        <v>4.0500000000000001E-2</v>
      </c>
      <c r="E40" s="12" t="s">
        <v>130</v>
      </c>
      <c r="R40" s="28">
        <f t="shared" si="1"/>
        <v>1.2</v>
      </c>
      <c r="S40" s="29">
        <f t="shared" si="2"/>
        <v>1.5861734427713228E-2</v>
      </c>
      <c r="T40" s="29">
        <f t="shared" si="3"/>
        <v>0.12678013203973656</v>
      </c>
      <c r="U40" s="29">
        <f t="shared" si="4"/>
        <v>2.0954612545309576E-2</v>
      </c>
      <c r="V40" s="29">
        <f t="shared" si="5"/>
        <v>1.6783322447077822E-4</v>
      </c>
    </row>
    <row r="41" spans="2:22" ht="15" customHeight="1" x14ac:dyDescent="0.4">
      <c r="B41" s="15" t="s">
        <v>131</v>
      </c>
      <c r="C41" s="16" t="s">
        <v>132</v>
      </c>
      <c r="D41" s="11">
        <v>1.5</v>
      </c>
      <c r="E41" s="12"/>
      <c r="R41" s="28">
        <f t="shared" si="1"/>
        <v>1.28</v>
      </c>
      <c r="S41" s="29">
        <f t="shared" si="2"/>
        <v>1.6773048168534845E-2</v>
      </c>
      <c r="T41" s="29">
        <f t="shared" si="3"/>
        <v>0.13097321382109248</v>
      </c>
      <c r="U41" s="29">
        <f t="shared" si="4"/>
        <v>2.2288248225329529E-2</v>
      </c>
      <c r="V41" s="29">
        <f t="shared" si="5"/>
        <v>1.8310090803520885E-4</v>
      </c>
    </row>
    <row r="42" spans="2:22" ht="15" customHeight="1" x14ac:dyDescent="0.4">
      <c r="B42" s="15" t="s">
        <v>133</v>
      </c>
      <c r="C42" s="16" t="s">
        <v>27</v>
      </c>
      <c r="D42" s="11">
        <v>0.23</v>
      </c>
      <c r="E42" s="12" t="s">
        <v>134</v>
      </c>
      <c r="R42" s="28">
        <f t="shared" si="1"/>
        <v>1.36</v>
      </c>
      <c r="S42" s="29">
        <f t="shared" si="2"/>
        <v>1.7667921966535431E-2</v>
      </c>
      <c r="T42" s="29">
        <f t="shared" si="3"/>
        <v>0.13484318432343737</v>
      </c>
      <c r="U42" s="29">
        <f t="shared" si="4"/>
        <v>2.361375238479721E-2</v>
      </c>
      <c r="V42" s="29">
        <f t="shared" si="5"/>
        <v>1.9842409830089739E-4</v>
      </c>
    </row>
    <row r="43" spans="2:22" ht="15" customHeight="1" x14ac:dyDescent="0.4">
      <c r="R43" s="28">
        <f t="shared" si="1"/>
        <v>1.4400000000000002</v>
      </c>
      <c r="S43" s="29">
        <f t="shared" si="2"/>
        <v>1.8546652395450086E-2</v>
      </c>
      <c r="T43" s="29">
        <f t="shared" si="3"/>
        <v>0.13841495403145859</v>
      </c>
      <c r="U43" s="29">
        <f t="shared" si="4"/>
        <v>2.4931117889104432E-2</v>
      </c>
      <c r="V43" s="29">
        <f t="shared" si="5"/>
        <v>2.137758639246081E-4</v>
      </c>
    </row>
    <row r="44" spans="2:22" ht="18" customHeight="1" x14ac:dyDescent="0.4">
      <c r="B44" s="8" t="s">
        <v>135</v>
      </c>
      <c r="C44" s="9"/>
      <c r="D44" s="9"/>
      <c r="E44" s="9"/>
      <c r="F44" s="9"/>
      <c r="G44" s="9"/>
      <c r="H44" s="9"/>
      <c r="R44" s="28">
        <f t="shared" si="1"/>
        <v>1.5200000000000002</v>
      </c>
      <c r="S44" s="29">
        <f t="shared" si="2"/>
        <v>1.9409530678874833E-2</v>
      </c>
      <c r="T44" s="29">
        <f t="shared" si="3"/>
        <v>0.14171151272031812</v>
      </c>
      <c r="U44" s="29">
        <f t="shared" si="4"/>
        <v>2.6240342399555357E-2</v>
      </c>
      <c r="V44" s="29">
        <f t="shared" si="5"/>
        <v>2.2913407250837393E-4</v>
      </c>
    </row>
    <row r="45" spans="2:22" ht="15" customHeight="1" x14ac:dyDescent="0.4">
      <c r="B45" s="13" t="s">
        <v>112</v>
      </c>
      <c r="C45" s="14" t="s">
        <v>17</v>
      </c>
      <c r="D45" s="14" t="s">
        <v>18</v>
      </c>
      <c r="E45" s="14" t="s">
        <v>19</v>
      </c>
      <c r="F45" s="14" t="s">
        <v>20</v>
      </c>
      <c r="G45" s="14" t="s">
        <v>21</v>
      </c>
      <c r="H45" s="14" t="s">
        <v>136</v>
      </c>
      <c r="R45" s="28">
        <f t="shared" si="1"/>
        <v>1.6000000000000003</v>
      </c>
      <c r="S45" s="29">
        <f t="shared" si="2"/>
        <v>2.025684278678222E-2</v>
      </c>
      <c r="T45" s="29">
        <f t="shared" si="3"/>
        <v>0.14475407755487338</v>
      </c>
      <c r="U45" s="29">
        <f t="shared" si="4"/>
        <v>2.7541427975148358E-2</v>
      </c>
      <c r="V45" s="29">
        <f t="shared" si="5"/>
        <v>2.4448054331814497E-4</v>
      </c>
    </row>
    <row r="46" spans="2:22" ht="15" customHeight="1" x14ac:dyDescent="0.4">
      <c r="B46" s="15" t="s">
        <v>137</v>
      </c>
      <c r="C46" s="16" t="s">
        <v>27</v>
      </c>
      <c r="D46" s="11" t="s">
        <v>138</v>
      </c>
      <c r="E46" s="11" t="s">
        <v>139</v>
      </c>
      <c r="F46" s="11" t="s">
        <v>140</v>
      </c>
      <c r="G46" s="11" t="s">
        <v>141</v>
      </c>
      <c r="H46" s="12" t="s">
        <v>142</v>
      </c>
      <c r="R46" s="28">
        <f t="shared" si="1"/>
        <v>1.6800000000000004</v>
      </c>
      <c r="S46" s="29">
        <f t="shared" si="2"/>
        <v>2.1088869530295779E-2</v>
      </c>
      <c r="T46" s="29">
        <f t="shared" si="3"/>
        <v>0.147562229769412</v>
      </c>
      <c r="U46" s="29">
        <f t="shared" si="4"/>
        <v>2.8834380705253432E-2</v>
      </c>
      <c r="V46" s="29">
        <f t="shared" si="5"/>
        <v>2.5980035049199895E-4</v>
      </c>
    </row>
    <row r="47" spans="2:22" ht="15" customHeight="1" x14ac:dyDescent="0.4">
      <c r="B47" s="15" t="s">
        <v>143</v>
      </c>
      <c r="C47" s="16" t="s">
        <v>27</v>
      </c>
      <c r="D47" s="11" t="s">
        <v>144</v>
      </c>
      <c r="E47" s="11" t="s">
        <v>144</v>
      </c>
      <c r="F47" s="11" t="s">
        <v>144</v>
      </c>
      <c r="G47" s="11" t="s">
        <v>145</v>
      </c>
      <c r="H47" s="12" t="s">
        <v>146</v>
      </c>
      <c r="R47" s="28">
        <f t="shared" si="1"/>
        <v>1.7600000000000005</v>
      </c>
      <c r="S47" s="29">
        <f t="shared" si="2"/>
        <v>2.1905886654754767E-2</v>
      </c>
      <c r="T47" s="29">
        <f t="shared" si="3"/>
        <v>0.15015404080842382</v>
      </c>
      <c r="U47" s="29">
        <f t="shared" si="4"/>
        <v>3.0119210370801605E-2</v>
      </c>
      <c r="V47" s="29">
        <f t="shared" si="5"/>
        <v>2.7508124992867329E-4</v>
      </c>
    </row>
    <row r="48" spans="2:22" ht="15" customHeight="1" x14ac:dyDescent="0.4">
      <c r="B48" s="15" t="s">
        <v>147</v>
      </c>
      <c r="C48" s="16" t="s">
        <v>27</v>
      </c>
      <c r="D48" s="11" t="s">
        <v>148</v>
      </c>
      <c r="E48" s="11" t="s">
        <v>149</v>
      </c>
      <c r="F48" s="11" t="s">
        <v>150</v>
      </c>
      <c r="G48" s="11" t="s">
        <v>150</v>
      </c>
      <c r="H48" s="12" t="s">
        <v>151</v>
      </c>
      <c r="R48" s="28">
        <f t="shared" si="1"/>
        <v>1.8400000000000005</v>
      </c>
      <c r="S48" s="29">
        <f t="shared" si="2"/>
        <v>2.2708164931100044E-2</v>
      </c>
      <c r="T48" s="29">
        <f t="shared" si="3"/>
        <v>0.15254618874103917</v>
      </c>
      <c r="U48" s="29">
        <f t="shared" si="4"/>
        <v>3.1395930131786598E-2</v>
      </c>
      <c r="V48" s="29">
        <f t="shared" si="5"/>
        <v>2.9031320782943693E-4</v>
      </c>
    </row>
    <row r="49" spans="2:22" ht="15" customHeight="1" x14ac:dyDescent="0.4">
      <c r="B49" s="15" t="s">
        <v>152</v>
      </c>
      <c r="C49" s="16" t="s">
        <v>27</v>
      </c>
      <c r="D49" s="11" t="s">
        <v>153</v>
      </c>
      <c r="E49" s="11" t="s">
        <v>153</v>
      </c>
      <c r="F49" s="11" t="s">
        <v>153</v>
      </c>
      <c r="G49" s="11" t="s">
        <v>154</v>
      </c>
      <c r="H49" s="12" t="s">
        <v>155</v>
      </c>
      <c r="R49" s="28">
        <f t="shared" si="1"/>
        <v>1.9200000000000006</v>
      </c>
      <c r="S49" s="29">
        <f t="shared" si="2"/>
        <v>2.3495970245611366E-2</v>
      </c>
      <c r="T49" s="29">
        <f t="shared" si="3"/>
        <v>0.15475406569910308</v>
      </c>
      <c r="U49" s="29">
        <f t="shared" si="4"/>
        <v>3.2664556239048639E-2</v>
      </c>
      <c r="V49" s="29">
        <f t="shared" si="5"/>
        <v>3.0548801279502852E-4</v>
      </c>
    </row>
    <row r="50" spans="2:22" ht="15" customHeight="1" x14ac:dyDescent="0.4">
      <c r="B50" s="15" t="s">
        <v>156</v>
      </c>
      <c r="C50" s="16" t="s">
        <v>157</v>
      </c>
      <c r="D50" s="11">
        <v>1.0000000000000001E-9</v>
      </c>
      <c r="E50" s="11">
        <v>9.9999999999999995E-7</v>
      </c>
      <c r="F50" s="11">
        <v>0.01</v>
      </c>
      <c r="G50" s="11">
        <v>1.5</v>
      </c>
      <c r="H50" s="12" t="s">
        <v>158</v>
      </c>
      <c r="R50" s="28">
        <f t="shared" si="1"/>
        <v>2.0000000000000004</v>
      </c>
      <c r="S50" s="29">
        <f t="shared" si="2"/>
        <v>2.4269563688025828E-2</v>
      </c>
      <c r="T50" s="29">
        <f t="shared" si="3"/>
        <v>0.15679187703102623</v>
      </c>
      <c r="U50" s="29">
        <f t="shared" si="4"/>
        <v>3.3925107768466863E-2</v>
      </c>
      <c r="V50" s="29">
        <f t="shared" si="5"/>
        <v>3.2059895660692758E-4</v>
      </c>
    </row>
    <row r="51" spans="2:22" ht="15" customHeight="1" x14ac:dyDescent="0.4">
      <c r="B51" s="15" t="s">
        <v>159</v>
      </c>
      <c r="C51" s="16" t="s">
        <v>27</v>
      </c>
      <c r="D51" s="11">
        <v>7.4</v>
      </c>
      <c r="E51" s="11">
        <v>7.4</v>
      </c>
      <c r="F51" s="11">
        <v>7.4</v>
      </c>
      <c r="G51" s="11">
        <v>7.4</v>
      </c>
      <c r="H51" s="12" t="s">
        <v>160</v>
      </c>
      <c r="R51" s="28">
        <f t="shared" si="1"/>
        <v>2.0800000000000005</v>
      </c>
      <c r="S51" s="29">
        <f t="shared" si="2"/>
        <v>2.5029201638066663E-2</v>
      </c>
      <c r="T51" s="29">
        <f t="shared" si="3"/>
        <v>0.15867273281018596</v>
      </c>
      <c r="U51" s="29">
        <f t="shared" si="4"/>
        <v>3.5177606375831179E-2</v>
      </c>
      <c r="V51" s="29">
        <f t="shared" si="5"/>
        <v>3.356405714737725E-4</v>
      </c>
    </row>
    <row r="52" spans="2:22" ht="15" customHeight="1" x14ac:dyDescent="0.4">
      <c r="R52" s="28">
        <f t="shared" si="1"/>
        <v>2.1600000000000006</v>
      </c>
      <c r="S52" s="29">
        <f t="shared" si="2"/>
        <v>2.5775135850411086E-2</v>
      </c>
      <c r="T52" s="29">
        <f t="shared" si="3"/>
        <v>0.16040873228739494</v>
      </c>
      <c r="U52" s="29">
        <f t="shared" si="4"/>
        <v>3.6422076070797837E-2</v>
      </c>
      <c r="V52" s="29">
        <f t="shared" si="5"/>
        <v>3.5060841370211562E-4</v>
      </c>
    </row>
    <row r="53" spans="2:22" ht="18" customHeight="1" x14ac:dyDescent="0.4">
      <c r="B53" s="8" t="s">
        <v>161</v>
      </c>
      <c r="C53" s="9"/>
      <c r="D53" s="9"/>
      <c r="E53" s="9"/>
      <c r="F53" s="9"/>
      <c r="G53" s="9"/>
      <c r="H53" s="9"/>
      <c r="R53" s="28">
        <f t="shared" si="1"/>
        <v>2.2400000000000007</v>
      </c>
      <c r="S53" s="29">
        <f t="shared" si="2"/>
        <v>2.6507613538125325E-2</v>
      </c>
      <c r="T53" s="29">
        <f t="shared" si="3"/>
        <v>0.1620110418315005</v>
      </c>
      <c r="U53" s="29">
        <f t="shared" si="4"/>
        <v>3.7658543008456065E-2</v>
      </c>
      <c r="V53" s="29">
        <f t="shared" si="5"/>
        <v>3.654988855403816E-4</v>
      </c>
    </row>
    <row r="54" spans="2:22" ht="15" customHeight="1" x14ac:dyDescent="0.4">
      <c r="B54" s="15" t="s">
        <v>162</v>
      </c>
      <c r="C54" s="16" t="s">
        <v>27</v>
      </c>
      <c r="D54" s="11" t="s">
        <v>163</v>
      </c>
      <c r="E54" s="12" t="s">
        <v>164</v>
      </c>
      <c r="R54" s="28">
        <f t="shared" si="1"/>
        <v>2.3200000000000007</v>
      </c>
      <c r="S54" s="29">
        <f t="shared" si="2"/>
        <v>2.7226877454594497E-2</v>
      </c>
      <c r="T54" s="29">
        <f t="shared" si="3"/>
        <v>0.16348996686022568</v>
      </c>
      <c r="U54" s="29">
        <f t="shared" si="4"/>
        <v>3.8887035297146474E-2</v>
      </c>
      <c r="V54" s="29">
        <f t="shared" si="5"/>
        <v>3.8030908841525277E-4</v>
      </c>
    </row>
    <row r="55" spans="2:22" ht="15" customHeight="1" x14ac:dyDescent="0.4">
      <c r="B55" s="15" t="s">
        <v>165</v>
      </c>
      <c r="C55" s="16" t="s">
        <v>27</v>
      </c>
      <c r="D55" s="11" t="s">
        <v>166</v>
      </c>
      <c r="E55" s="12" t="s">
        <v>167</v>
      </c>
      <c r="R55" s="28">
        <f t="shared" si="1"/>
        <v>2.4000000000000008</v>
      </c>
      <c r="S55" s="29">
        <f t="shared" si="2"/>
        <v>2.7933165973974498E-2</v>
      </c>
      <c r="T55" s="29">
        <f t="shared" si="3"/>
        <v>0.16485501822464704</v>
      </c>
      <c r="U55" s="29">
        <f t="shared" si="4"/>
        <v>4.0107582821277077E-2</v>
      </c>
      <c r="V55" s="29">
        <f t="shared" si="5"/>
        <v>3.9503670198774639E-4</v>
      </c>
    </row>
    <row r="56" spans="2:22" ht="15" customHeight="1" x14ac:dyDescent="0.4">
      <c r="B56" s="15" t="s">
        <v>168</v>
      </c>
      <c r="C56" s="16" t="s">
        <v>27</v>
      </c>
      <c r="D56" s="11" t="s">
        <v>169</v>
      </c>
      <c r="E56" s="12" t="s">
        <v>170</v>
      </c>
      <c r="R56" s="28">
        <f t="shared" si="1"/>
        <v>2.4800000000000009</v>
      </c>
      <c r="S56" s="29">
        <f t="shared" si="2"/>
        <v>2.8626713170192521E-2</v>
      </c>
      <c r="T56" s="29">
        <f t="shared" si="3"/>
        <v>0.166114973474973</v>
      </c>
      <c r="U56" s="29">
        <f t="shared" si="4"/>
        <v>4.1320217077979164E-2</v>
      </c>
      <c r="V56" s="29">
        <f t="shared" si="5"/>
        <v>4.0967988444879061E-4</v>
      </c>
    </row>
    <row r="57" spans="2:22" ht="15" customHeight="1" x14ac:dyDescent="0.4">
      <c r="B57" s="15" t="s">
        <v>171</v>
      </c>
      <c r="C57" s="16" t="s">
        <v>59</v>
      </c>
      <c r="D57" s="11" t="s">
        <v>172</v>
      </c>
      <c r="E57" s="12" t="s">
        <v>173</v>
      </c>
      <c r="R57" s="28">
        <f t="shared" si="1"/>
        <v>2.5600000000000009</v>
      </c>
      <c r="S57" s="29">
        <f t="shared" si="2"/>
        <v>2.9307748894522468E-2</v>
      </c>
      <c r="T57" s="29">
        <f t="shared" si="3"/>
        <v>0.1672779334023109</v>
      </c>
      <c r="U57" s="29">
        <f t="shared" si="4"/>
        <v>4.2524971026534769E-2</v>
      </c>
      <c r="V57" s="29">
        <f t="shared" si="5"/>
        <v>4.2423719028961707E-4</v>
      </c>
    </row>
    <row r="58" spans="2:22" ht="15" customHeight="1" x14ac:dyDescent="0.4">
      <c r="R58" s="28">
        <f t="shared" si="1"/>
        <v>2.640000000000001</v>
      </c>
      <c r="S58" s="29">
        <f t="shared" si="2"/>
        <v>2.9976498851760867E-2</v>
      </c>
      <c r="T58" s="29">
        <f t="shared" si="3"/>
        <v>0.16835137422067728</v>
      </c>
      <c r="U58" s="29">
        <f t="shared" si="4"/>
        <v>4.3721878949589746E-2</v>
      </c>
      <c r="V58" s="29">
        <f t="shared" si="5"/>
        <v>4.3870750245235954E-4</v>
      </c>
    </row>
    <row r="59" spans="2:22" ht="15" customHeight="1" x14ac:dyDescent="0.4">
      <c r="R59" s="28">
        <f t="shared" si="1"/>
        <v>2.7200000000000011</v>
      </c>
      <c r="S59" s="29">
        <f t="shared" si="2"/>
        <v>3.0633184675028617E-2</v>
      </c>
      <c r="T59" s="29">
        <f t="shared" si="3"/>
        <v>0.16934219572541967</v>
      </c>
      <c r="U59" s="29">
        <f t="shared" si="4"/>
        <v>4.491097632524254E-2</v>
      </c>
      <c r="V59" s="29">
        <f t="shared" si="5"/>
        <v>4.5308997631683759E-4</v>
      </c>
    </row>
    <row r="60" spans="2:22" ht="18" customHeight="1" x14ac:dyDescent="0.4">
      <c r="B60" s="8" t="s">
        <v>174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R60" s="28">
        <f t="shared" si="1"/>
        <v>2.8000000000000012</v>
      </c>
      <c r="S60" s="29">
        <f t="shared" si="2"/>
        <v>3.1278023999223317E-2</v>
      </c>
      <c r="T60" s="29">
        <f t="shared" si="3"/>
        <v>0.17025676573829662</v>
      </c>
      <c r="U60" s="29">
        <f t="shared" si="4"/>
        <v>4.6092299709168859E-2</v>
      </c>
      <c r="V60" s="29">
        <f t="shared" si="5"/>
        <v>4.6738399343193343E-4</v>
      </c>
    </row>
    <row r="61" spans="2:22" ht="15" customHeight="1" x14ac:dyDescent="0.4">
      <c r="R61" s="28">
        <f t="shared" si="1"/>
        <v>2.8800000000000012</v>
      </c>
      <c r="S61" s="29">
        <f t="shared" si="2"/>
        <v>3.1911230533146519E-2</v>
      </c>
      <c r="T61" s="29">
        <f t="shared" si="3"/>
        <v>0.1711009611255413</v>
      </c>
      <c r="U61" s="29">
        <f t="shared" si="4"/>
        <v>4.7265886626007322E-2</v>
      </c>
      <c r="V61" s="29">
        <f t="shared" si="5"/>
        <v>4.8158912327175623E-4</v>
      </c>
    </row>
    <row r="62" spans="2:22" ht="18" customHeight="1" x14ac:dyDescent="0.4">
      <c r="B62" s="8" t="s">
        <v>175</v>
      </c>
      <c r="C62" s="9"/>
      <c r="D62" s="9"/>
      <c r="E62" s="9"/>
      <c r="F62" s="9"/>
      <c r="G62" s="9"/>
      <c r="H62" s="9"/>
      <c r="J62" s="8" t="s">
        <v>176</v>
      </c>
      <c r="K62" s="9"/>
      <c r="L62" s="9"/>
      <c r="M62" s="9"/>
      <c r="N62" s="9"/>
      <c r="O62" s="9"/>
      <c r="P62" s="9"/>
      <c r="R62" s="28">
        <f t="shared" si="1"/>
        <v>2.9600000000000013</v>
      </c>
      <c r="S62" s="29">
        <f t="shared" si="2"/>
        <v>3.2533014130329829E-2</v>
      </c>
      <c r="T62" s="29">
        <f t="shared" si="3"/>
        <v>0.17188020565315554</v>
      </c>
      <c r="U62" s="29">
        <f t="shared" si="4"/>
        <v>4.8431775469290755E-2</v>
      </c>
      <c r="V62" s="29">
        <f t="shared" si="5"/>
        <v>4.9570509160231681E-4</v>
      </c>
    </row>
    <row r="63" spans="2:22" ht="15" customHeight="1" x14ac:dyDescent="0.4">
      <c r="B63" s="13" t="s">
        <v>112</v>
      </c>
      <c r="C63" s="14" t="s">
        <v>177</v>
      </c>
      <c r="D63" s="14" t="s">
        <v>113</v>
      </c>
      <c r="E63" s="13" t="s">
        <v>178</v>
      </c>
      <c r="F63" s="14"/>
      <c r="G63" s="14"/>
      <c r="H63" s="14"/>
      <c r="J63" s="25" t="s">
        <v>179</v>
      </c>
      <c r="K63" s="25"/>
      <c r="L63" s="25"/>
      <c r="M63" s="25"/>
      <c r="N63" s="25"/>
      <c r="O63" s="25"/>
      <c r="P63" s="25"/>
      <c r="R63" s="28">
        <f t="shared" si="1"/>
        <v>3.0400000000000014</v>
      </c>
      <c r="S63" s="29">
        <f t="shared" si="2"/>
        <v>3.3143580858583314E-2</v>
      </c>
      <c r="T63" s="29">
        <f t="shared" si="3"/>
        <v>0.17259950492330617</v>
      </c>
      <c r="U63" s="29">
        <f t="shared" si="4"/>
        <v>4.9590005409263171E-2</v>
      </c>
      <c r="V63" s="29">
        <f t="shared" si="5"/>
        <v>5.097317542955295E-4</v>
      </c>
    </row>
    <row r="64" spans="2:22" ht="15" customHeight="1" x14ac:dyDescent="0.4">
      <c r="B64" s="15" t="s">
        <v>180</v>
      </c>
      <c r="C64" s="16" t="s">
        <v>27</v>
      </c>
      <c r="D64" s="16">
        <f>IFERROR(MATCH($D$13,'Chemical Data'!$A$5:$A$500,0),"–")</f>
        <v>32</v>
      </c>
      <c r="E64" s="12" t="s">
        <v>181</v>
      </c>
      <c r="J64" s="13" t="s">
        <v>182</v>
      </c>
      <c r="K64" s="14" t="s">
        <v>183</v>
      </c>
      <c r="L64" s="14" t="s">
        <v>184</v>
      </c>
      <c r="M64" s="14" t="s">
        <v>185</v>
      </c>
      <c r="N64" s="14" t="s">
        <v>186</v>
      </c>
      <c r="O64" s="14" t="s">
        <v>187</v>
      </c>
      <c r="P64" s="14" t="s">
        <v>188</v>
      </c>
      <c r="R64" s="28">
        <f t="shared" si="1"/>
        <v>3.1200000000000014</v>
      </c>
      <c r="S64" s="29">
        <f t="shared" si="2"/>
        <v>3.3743133068289258E-2</v>
      </c>
      <c r="T64" s="29">
        <f t="shared" si="3"/>
        <v>0.17326347861689134</v>
      </c>
      <c r="U64" s="29">
        <f t="shared" si="4"/>
        <v>5.0740616307973149E-2</v>
      </c>
      <c r="V64" s="29">
        <f t="shared" si="5"/>
        <v>5.2366907563372892E-4</v>
      </c>
    </row>
    <row r="65" spans="2:22" ht="15" customHeight="1" x14ac:dyDescent="0.4">
      <c r="B65" s="15" t="s">
        <v>189</v>
      </c>
      <c r="C65" s="16" t="s">
        <v>190</v>
      </c>
      <c r="D65" s="24">
        <f>IFERROR(1/(1+IF($F$21="Neutral",0,10^(IF($F$21="Acidic",1,-1)*($D$37-$F$20)))),"–")</f>
        <v>1.1735187905818E-3</v>
      </c>
      <c r="E65" s="12" t="s">
        <v>191</v>
      </c>
      <c r="J65" s="15" t="s">
        <v>138</v>
      </c>
      <c r="K65" s="16">
        <v>0</v>
      </c>
      <c r="L65" s="16">
        <v>0.01</v>
      </c>
      <c r="M65" s="16">
        <v>0.04</v>
      </c>
      <c r="N65" s="16">
        <v>0.9</v>
      </c>
      <c r="O65" s="16">
        <v>0.5</v>
      </c>
      <c r="P65" s="16">
        <v>0.5</v>
      </c>
      <c r="R65" s="28">
        <f t="shared" si="1"/>
        <v>3.2000000000000015</v>
      </c>
      <c r="S65" s="29">
        <f t="shared" si="2"/>
        <v>3.4331869459463919E-2</v>
      </c>
      <c r="T65" s="29">
        <f t="shared" si="3"/>
        <v>0.17387639024998996</v>
      </c>
      <c r="U65" s="29">
        <f t="shared" si="4"/>
        <v>5.1883648641081533E-2</v>
      </c>
      <c r="V65" s="29">
        <f t="shared" si="5"/>
        <v>5.3751711031751158E-4</v>
      </c>
    </row>
    <row r="66" spans="2:22" ht="15" customHeight="1" x14ac:dyDescent="0.4">
      <c r="B66" s="15" t="s">
        <v>192</v>
      </c>
      <c r="C66" s="16" t="s">
        <v>193</v>
      </c>
      <c r="D66" s="31">
        <f>IFERROR($D$65*10^$F$16+(1-$D$65)*10^$F$17,"–")</f>
        <v>3.9072960773230809</v>
      </c>
      <c r="E66" s="12" t="s">
        <v>194</v>
      </c>
      <c r="J66" s="15" t="s">
        <v>195</v>
      </c>
      <c r="K66" s="16">
        <v>0</v>
      </c>
      <c r="L66" s="16">
        <v>0.01</v>
      </c>
      <c r="M66" s="16">
        <v>0.04</v>
      </c>
      <c r="N66" s="16">
        <v>0.8</v>
      </c>
      <c r="O66" s="16">
        <v>0.5</v>
      </c>
      <c r="P66" s="16">
        <v>0.5</v>
      </c>
      <c r="R66" s="28">
        <f t="shared" si="1"/>
        <v>3.2800000000000016</v>
      </c>
      <c r="S66" s="29">
        <f t="shared" si="2"/>
        <v>3.4909985147609519E-2</v>
      </c>
      <c r="T66" s="29">
        <f t="shared" si="3"/>
        <v>0.17444217463589154</v>
      </c>
      <c r="U66" s="29">
        <f t="shared" si="4"/>
        <v>5.301914342586448E-2</v>
      </c>
      <c r="V66" s="29">
        <f t="shared" si="5"/>
        <v>5.5127598852914173E-4</v>
      </c>
    </row>
    <row r="67" spans="2:22" ht="15" customHeight="1" x14ac:dyDescent="0.4">
      <c r="B67" s="15" t="s">
        <v>196</v>
      </c>
      <c r="C67" s="16" t="s">
        <v>197</v>
      </c>
      <c r="D67" s="24">
        <f>IFERROR(1/(1+IF($F$21="Neutral",0,10^(IF($F$21="Acidic",1,-1)*($D$39-$F$20)))),"–")</f>
        <v>3.7139724193780305E-4</v>
      </c>
      <c r="E67" s="12" t="s">
        <v>198</v>
      </c>
      <c r="J67" s="15" t="s">
        <v>199</v>
      </c>
      <c r="K67" s="16">
        <v>0.01</v>
      </c>
      <c r="L67" s="16">
        <v>0.01</v>
      </c>
      <c r="M67" s="16">
        <v>0.1</v>
      </c>
      <c r="N67" s="16">
        <v>0.85</v>
      </c>
      <c r="O67" s="16">
        <v>0.25</v>
      </c>
      <c r="P67" s="16">
        <v>0.25</v>
      </c>
      <c r="R67" s="28">
        <f t="shared" si="1"/>
        <v>3.3600000000000017</v>
      </c>
      <c r="S67" s="29">
        <f t="shared" si="2"/>
        <v>3.5477671728378242E-2</v>
      </c>
      <c r="T67" s="29">
        <f t="shared" si="3"/>
        <v>0.17496446322962195</v>
      </c>
      <c r="U67" s="29">
        <f t="shared" si="4"/>
        <v>5.4147142154933207E-2</v>
      </c>
      <c r="V67" s="29">
        <f t="shared" si="5"/>
        <v>5.6494590351838269E-4</v>
      </c>
    </row>
    <row r="68" spans="2:22" ht="15" customHeight="1" x14ac:dyDescent="0.4">
      <c r="B68" s="15" t="s">
        <v>200</v>
      </c>
      <c r="C68" s="16" t="s">
        <v>201</v>
      </c>
      <c r="D68" s="31">
        <f>IFERROR($D$67*10^$F$16+(1-$D$67)*10^$F$17,"–")</f>
        <v>3.8774766990236</v>
      </c>
      <c r="E68" s="12"/>
      <c r="J68" s="15" t="s">
        <v>202</v>
      </c>
      <c r="K68" s="16">
        <v>0</v>
      </c>
      <c r="L68" s="16">
        <v>0.01</v>
      </c>
      <c r="M68" s="16">
        <v>0.1</v>
      </c>
      <c r="N68" s="16">
        <v>0.85</v>
      </c>
      <c r="O68" s="16">
        <v>0.25</v>
      </c>
      <c r="P68" s="16">
        <v>0.25</v>
      </c>
      <c r="R68" s="28">
        <f t="shared" si="1"/>
        <v>3.4400000000000017</v>
      </c>
      <c r="S68" s="29">
        <f t="shared" si="2"/>
        <v>3.6035117341069726E-2</v>
      </c>
      <c r="T68" s="29">
        <f t="shared" si="3"/>
        <v>0.17544660751823993</v>
      </c>
      <c r="U68" s="29">
        <f t="shared" si="4"/>
        <v>5.5267686735228375E-2</v>
      </c>
      <c r="V68" s="29">
        <f t="shared" si="5"/>
        <v>5.7852710127184628E-4</v>
      </c>
    </row>
    <row r="69" spans="2:22" ht="15" customHeight="1" x14ac:dyDescent="0.4">
      <c r="B69" s="15" t="s">
        <v>203</v>
      </c>
      <c r="C69" s="16" t="s">
        <v>204</v>
      </c>
      <c r="D69" s="31">
        <f>IFERROR(1/($D$41*$D$40*2*10^$F$18),"–")</f>
        <v>3.2766022267777506E-8</v>
      </c>
      <c r="E69" s="12" t="s">
        <v>205</v>
      </c>
      <c r="J69" s="15" t="s">
        <v>206</v>
      </c>
      <c r="K69" s="16">
        <v>0.02</v>
      </c>
      <c r="L69" s="16">
        <v>0.01</v>
      </c>
      <c r="M69" s="16">
        <v>0.13</v>
      </c>
      <c r="N69" s="16">
        <v>0.8</v>
      </c>
      <c r="O69" s="16">
        <v>0.25</v>
      </c>
      <c r="P69" s="16">
        <v>0.25</v>
      </c>
      <c r="R69" s="28">
        <f t="shared" si="1"/>
        <v>3.5200000000000018</v>
      </c>
      <c r="S69" s="29">
        <f t="shared" si="2"/>
        <v>3.6582506730983073E-2</v>
      </c>
      <c r="T69" s="29">
        <f t="shared" si="3"/>
        <v>0.17589170060758899</v>
      </c>
      <c r="U69" s="29">
        <f t="shared" si="4"/>
        <v>5.6380819431881404E-2</v>
      </c>
      <c r="V69" s="29">
        <f t="shared" si="5"/>
        <v>5.9201987190443813E-4</v>
      </c>
    </row>
    <row r="70" spans="2:22" ht="15" customHeight="1" x14ac:dyDescent="0.4">
      <c r="B70" s="15" t="s">
        <v>207</v>
      </c>
      <c r="C70" s="16" t="s">
        <v>208</v>
      </c>
      <c r="D70" s="31">
        <f>IFERROR($D$41*$D$40*2*$D$68,"–")</f>
        <v>0.47111341893136738</v>
      </c>
      <c r="E70" s="12" t="s">
        <v>209</v>
      </c>
      <c r="J70" s="15" t="s">
        <v>139</v>
      </c>
      <c r="K70" s="16">
        <v>0.02</v>
      </c>
      <c r="L70" s="16">
        <v>0.01</v>
      </c>
      <c r="M70" s="16">
        <v>0.13</v>
      </c>
      <c r="N70" s="16">
        <v>0.8</v>
      </c>
      <c r="O70" s="16">
        <v>0.25</v>
      </c>
      <c r="P70" s="16">
        <v>0.25</v>
      </c>
      <c r="R70" s="28">
        <f t="shared" si="1"/>
        <v>3.6000000000000019</v>
      </c>
      <c r="S70" s="29">
        <f t="shared" si="2"/>
        <v>3.7120021310644027E-2</v>
      </c>
      <c r="T70" s="29">
        <f t="shared" si="3"/>
        <v>0.17630259714457031</v>
      </c>
      <c r="U70" s="29">
        <f t="shared" si="4"/>
        <v>5.748658281656633E-2</v>
      </c>
      <c r="V70" s="29">
        <f t="shared" si="5"/>
        <v>6.0542454247518968E-4</v>
      </c>
    </row>
    <row r="71" spans="2:22" ht="15" customHeight="1" x14ac:dyDescent="0.4">
      <c r="B71" s="15" t="s">
        <v>210</v>
      </c>
      <c r="C71" s="16" t="s">
        <v>211</v>
      </c>
      <c r="D71" s="31">
        <f>IFERROR($D$38*$D$41,"–")</f>
        <v>0</v>
      </c>
      <c r="E71" s="12" t="s">
        <v>212</v>
      </c>
      <c r="J71" s="15" t="s">
        <v>213</v>
      </c>
      <c r="K71" s="16">
        <v>0.02</v>
      </c>
      <c r="L71" s="16">
        <v>0.01</v>
      </c>
      <c r="M71" s="16">
        <v>0.13</v>
      </c>
      <c r="N71" s="16">
        <v>0.8</v>
      </c>
      <c r="O71" s="16">
        <v>0.25</v>
      </c>
      <c r="P71" s="16">
        <v>0.25</v>
      </c>
      <c r="R71" s="28">
        <f t="shared" si="1"/>
        <v>3.6800000000000019</v>
      </c>
      <c r="S71" s="29">
        <f t="shared" si="2"/>
        <v>3.7647839219927634E-2</v>
      </c>
      <c r="T71" s="29">
        <f t="shared" si="3"/>
        <v>0.17668193170328012</v>
      </c>
      <c r="U71" s="29">
        <f t="shared" si="4"/>
        <v>5.8585019719994851E-2</v>
      </c>
      <c r="V71" s="29">
        <f t="shared" si="5"/>
        <v>6.1874147098217103E-4</v>
      </c>
    </row>
    <row r="72" spans="2:22" ht="15" customHeight="1" x14ac:dyDescent="0.4">
      <c r="B72" s="15" t="s">
        <v>214</v>
      </c>
      <c r="C72" s="16" t="s">
        <v>215</v>
      </c>
      <c r="D72" s="31">
        <f>IFERROR($D$71*$D$69,"–")</f>
        <v>0</v>
      </c>
      <c r="E72" s="12" t="s">
        <v>216</v>
      </c>
      <c r="J72" s="15" t="s">
        <v>217</v>
      </c>
      <c r="K72" s="16">
        <v>2.0000000000000002E-5</v>
      </c>
      <c r="L72" s="16">
        <v>2.7999999999999998E-4</v>
      </c>
      <c r="M72" s="16">
        <v>2.3999999999999998E-3</v>
      </c>
      <c r="N72" s="16">
        <v>0.96</v>
      </c>
      <c r="O72" s="16">
        <v>0.35</v>
      </c>
      <c r="P72" s="16">
        <v>0.35</v>
      </c>
      <c r="R72" s="28">
        <f t="shared" si="1"/>
        <v>3.760000000000002</v>
      </c>
      <c r="S72" s="29">
        <f t="shared" si="2"/>
        <v>3.8166135385096292E-2</v>
      </c>
      <c r="T72" s="29">
        <f t="shared" si="3"/>
        <v>0.17703213575345791</v>
      </c>
      <c r="U72" s="29">
        <f t="shared" si="4"/>
        <v>5.9676173188234025E-2</v>
      </c>
      <c r="V72" s="29">
        <f t="shared" si="5"/>
        <v>6.3197104133428002E-4</v>
      </c>
    </row>
    <row r="73" spans="2:22" ht="15" customHeight="1" x14ac:dyDescent="0.4">
      <c r="B73" s="15" t="s">
        <v>218</v>
      </c>
      <c r="C73" s="16" t="s">
        <v>219</v>
      </c>
      <c r="D73" s="31">
        <f>IFERROR($D$71/($D$70+$D$42),"–")</f>
        <v>0</v>
      </c>
      <c r="E73" s="12" t="s">
        <v>220</v>
      </c>
      <c r="J73" s="15" t="s">
        <v>140</v>
      </c>
      <c r="K73" s="16">
        <v>0.04</v>
      </c>
      <c r="L73" s="16">
        <v>0.01</v>
      </c>
      <c r="M73" s="16">
        <v>0.18</v>
      </c>
      <c r="N73" s="16">
        <v>0.75</v>
      </c>
      <c r="O73" s="16">
        <v>0.1</v>
      </c>
      <c r="P73" s="16">
        <v>0.02</v>
      </c>
      <c r="R73" s="28">
        <f t="shared" si="1"/>
        <v>3.8400000000000021</v>
      </c>
      <c r="S73" s="29">
        <f t="shared" si="2"/>
        <v>3.8675081576772782E-2</v>
      </c>
      <c r="T73" s="29">
        <f t="shared" si="3"/>
        <v>0.17735545332055952</v>
      </c>
      <c r="U73" s="29">
        <f t="shared" si="4"/>
        <v>6.0760086442550834E-2</v>
      </c>
      <c r="V73" s="29">
        <f t="shared" si="5"/>
        <v>6.4511365913316678E-4</v>
      </c>
    </row>
    <row r="74" spans="2:22" ht="15" customHeight="1" x14ac:dyDescent="0.4">
      <c r="B74" s="15" t="s">
        <v>221</v>
      </c>
      <c r="C74" s="16" t="s">
        <v>27</v>
      </c>
      <c r="D74" s="16" t="b">
        <f>AND(ISNUMBER($F$25),ISNUMBER($F$26),ISNUMBER($F$27),ISNUMBER($F$28),ISNUMBER($F$29),ISNUMBER($F$30))</f>
        <v>1</v>
      </c>
      <c r="E74" s="12" t="s">
        <v>222</v>
      </c>
      <c r="J74" s="15" t="s">
        <v>223</v>
      </c>
      <c r="K74" s="16">
        <v>0.04</v>
      </c>
      <c r="L74" s="16">
        <v>0.01</v>
      </c>
      <c r="M74" s="16">
        <v>0.18</v>
      </c>
      <c r="N74" s="16">
        <v>0.75</v>
      </c>
      <c r="O74" s="16">
        <v>0.1</v>
      </c>
      <c r="P74" s="16">
        <v>0.1</v>
      </c>
      <c r="R74" s="28">
        <f t="shared" si="1"/>
        <v>3.9200000000000021</v>
      </c>
      <c r="S74" s="29">
        <f t="shared" si="2"/>
        <v>3.9174846466867447E-2</v>
      </c>
      <c r="T74" s="29">
        <f t="shared" si="3"/>
        <v>0.17765395543833959</v>
      </c>
      <c r="U74" s="29">
        <f t="shared" si="4"/>
        <v>6.1836802842510558E-2</v>
      </c>
      <c r="V74" s="29">
        <f t="shared" si="5"/>
        <v>6.5816974812772753E-4</v>
      </c>
    </row>
    <row r="75" spans="2:22" ht="15" customHeight="1" x14ac:dyDescent="0.4">
      <c r="B75" s="15" t="s">
        <v>224</v>
      </c>
      <c r="C75" s="16" t="s">
        <v>225</v>
      </c>
      <c r="D75" s="31">
        <f>IFERROR(IF($D$74,IFERROR(10^(-1.069+0.456*$F$25+1.083*$F$26+3.738*$F$27+2.58*$F$28+0.376*$F$30),10^(-$F$19)),10^(-$F$19)),"–")</f>
        <v>3339335081.5748239</v>
      </c>
      <c r="E75" s="12" t="s">
        <v>226</v>
      </c>
      <c r="J75" s="15" t="s">
        <v>141</v>
      </c>
      <c r="K75" s="16">
        <v>0.09</v>
      </c>
      <c r="L75" s="16">
        <v>0.01</v>
      </c>
      <c r="M75" s="16">
        <v>0.21</v>
      </c>
      <c r="N75" s="16">
        <v>0.67</v>
      </c>
      <c r="O75" s="16">
        <v>0.02</v>
      </c>
      <c r="P75" s="16">
        <v>0.02</v>
      </c>
      <c r="R75" s="28">
        <f t="shared" si="1"/>
        <v>4.0000000000000018</v>
      </c>
      <c r="S75" s="29">
        <f t="shared" si="2"/>
        <v>3.9665595684478444E-2</v>
      </c>
      <c r="T75" s="29">
        <f t="shared" si="3"/>
        <v>0.17792955348704961</v>
      </c>
      <c r="U75" s="29">
        <f t="shared" si="4"/>
        <v>6.2906365852077054E-2</v>
      </c>
      <c r="V75" s="29">
        <f t="shared" si="5"/>
        <v>6.7113974722761915E-4</v>
      </c>
    </row>
    <row r="76" spans="2:22" ht="15" customHeight="1" x14ac:dyDescent="0.4">
      <c r="B76" s="15" t="s">
        <v>227</v>
      </c>
      <c r="C76" s="16" t="s">
        <v>228</v>
      </c>
      <c r="D76" s="23">
        <f>IFERROR(0.44+0.99*$K$121-0.69*$K$122-0.19*$K$123-2.82*$K$124+2.83*$K$125-1.14*$K$126+2.95*$K$127,"–")</f>
        <v>1.3104467599999996</v>
      </c>
      <c r="E76" s="12" t="s">
        <v>229</v>
      </c>
      <c r="J76" s="15" t="s">
        <v>230</v>
      </c>
      <c r="K76" s="16">
        <v>0.09</v>
      </c>
      <c r="L76" s="16">
        <v>0.01</v>
      </c>
      <c r="M76" s="16">
        <v>0.21</v>
      </c>
      <c r="N76" s="16">
        <v>0.67</v>
      </c>
      <c r="O76" s="16">
        <v>0.02</v>
      </c>
      <c r="P76" s="16">
        <v>0.02</v>
      </c>
      <c r="R76" s="28">
        <f t="shared" si="1"/>
        <v>4.0800000000000018</v>
      </c>
      <c r="S76" s="29">
        <f t="shared" si="2"/>
        <v>4.0147491870783543E-2</v>
      </c>
      <c r="T76" s="29">
        <f t="shared" si="3"/>
        <v>0.1781840115031782</v>
      </c>
      <c r="U76" s="29">
        <f t="shared" si="4"/>
        <v>6.3968819008482378E-2</v>
      </c>
      <c r="V76" s="29">
        <f t="shared" si="5"/>
        <v>6.8402410798201209E-4</v>
      </c>
    </row>
    <row r="77" spans="2:22" ht="15" customHeight="1" x14ac:dyDescent="0.4">
      <c r="B77" s="15" t="s">
        <v>231</v>
      </c>
      <c r="C77" s="16" t="s">
        <v>232</v>
      </c>
      <c r="D77" s="23">
        <f>IFERROR(0.85+0.63*$K$121-0.63*$K$122-0.05*$K$123-2.08*$K$124+2.06*$K$125-1.16*$K$126+3.13*$K$127,"–")</f>
        <v>0.1607729599999983</v>
      </c>
      <c r="E77" s="12" t="s">
        <v>233</v>
      </c>
      <c r="J77" s="15" t="s">
        <v>234</v>
      </c>
      <c r="K77" s="16" t="s">
        <v>27</v>
      </c>
      <c r="L77" s="16" t="s">
        <v>27</v>
      </c>
      <c r="M77" s="16" t="s">
        <v>27</v>
      </c>
      <c r="N77" s="16" t="s">
        <v>27</v>
      </c>
      <c r="O77" s="16" t="s">
        <v>27</v>
      </c>
      <c r="P77" s="16" t="s">
        <v>27</v>
      </c>
      <c r="R77" s="28">
        <f t="shared" si="1"/>
        <v>4.1600000000000019</v>
      </c>
      <c r="S77" s="29">
        <f t="shared" si="2"/>
        <v>4.0620694732941699E-2</v>
      </c>
      <c r="T77" s="29">
        <f t="shared" si="3"/>
        <v>0.17841895754003476</v>
      </c>
      <c r="U77" s="29">
        <f t="shared" si="4"/>
        <v>6.502420589365128E-2</v>
      </c>
      <c r="V77" s="29">
        <f t="shared" si="5"/>
        <v>6.9682329244607924E-4</v>
      </c>
    </row>
    <row r="78" spans="2:22" ht="15" customHeight="1" x14ac:dyDescent="0.4">
      <c r="B78" s="15" t="s">
        <v>235</v>
      </c>
      <c r="C78" s="16" t="s">
        <v>236</v>
      </c>
      <c r="D78" s="23">
        <f>IFERROR(-0.24+0.68*$K$121-0.76*$K$122-0.2*$K$123-2.29*$K$124+2.51*$K$125-0.68*$K$126+2.89*$K$127,"–")</f>
        <v>0.25664659999999784</v>
      </c>
      <c r="E78" s="12" t="s">
        <v>237</v>
      </c>
      <c r="J78" s="12" t="s">
        <v>238</v>
      </c>
      <c r="R78" s="28">
        <f t="shared" si="1"/>
        <v>4.240000000000002</v>
      </c>
      <c r="S78" s="29">
        <f t="shared" si="2"/>
        <v>4.1085361097022238E-2</v>
      </c>
      <c r="T78" s="29">
        <f t="shared" si="3"/>
        <v>0.17863589415236317</v>
      </c>
      <c r="U78" s="29">
        <f t="shared" si="4"/>
        <v>6.6072570107982356E-2</v>
      </c>
      <c r="V78" s="29">
        <f t="shared" si="5"/>
        <v>7.095377713711243E-4</v>
      </c>
    </row>
    <row r="79" spans="2:22" ht="15" customHeight="1" x14ac:dyDescent="0.4">
      <c r="B79" s="15" t="s">
        <v>239</v>
      </c>
      <c r="C79" s="16" t="s">
        <v>240</v>
      </c>
      <c r="D79" s="31">
        <f>IFERROR(10^$D$76,"–")</f>
        <v>20.438393671316074</v>
      </c>
      <c r="E79" s="12"/>
      <c r="J79" s="12" t="s">
        <v>241</v>
      </c>
      <c r="R79" s="28">
        <f t="shared" si="1"/>
        <v>4.3200000000000021</v>
      </c>
      <c r="S79" s="29">
        <f t="shared" si="2"/>
        <v>4.1541644959979238E-2</v>
      </c>
      <c r="T79" s="29">
        <f t="shared" si="3"/>
        <v>0.17883620807252873</v>
      </c>
      <c r="U79" s="29">
        <f t="shared" si="4"/>
        <v>6.71139552463033E-2</v>
      </c>
      <c r="V79" s="29">
        <f t="shared" si="5"/>
        <v>7.221680226652999E-4</v>
      </c>
    </row>
    <row r="80" spans="2:22" ht="15" customHeight="1" x14ac:dyDescent="0.4">
      <c r="B80" s="15" t="s">
        <v>242</v>
      </c>
      <c r="C80" s="16" t="s">
        <v>243</v>
      </c>
      <c r="D80" s="31">
        <f>IFERROR(10^$D$77,"–")</f>
        <v>1.4480146640991234</v>
      </c>
      <c r="E80" s="12"/>
      <c r="J80" s="25" t="s">
        <v>244</v>
      </c>
      <c r="K80" s="25"/>
      <c r="L80" s="25"/>
      <c r="M80" s="25"/>
      <c r="N80" s="25"/>
      <c r="O80" s="25"/>
      <c r="P80" s="25"/>
      <c r="R80" s="28">
        <f t="shared" si="1"/>
        <v>4.4000000000000021</v>
      </c>
      <c r="S80" s="29">
        <f t="shared" si="2"/>
        <v>4.1989697540688251E-2</v>
      </c>
      <c r="T80" s="29">
        <f t="shared" si="3"/>
        <v>0.17902117914061377</v>
      </c>
      <c r="U80" s="29">
        <f t="shared" si="4"/>
        <v>6.8148404875831584E-2</v>
      </c>
      <c r="V80" s="29">
        <f t="shared" si="5"/>
        <v>7.3471453008097187E-4</v>
      </c>
    </row>
    <row r="81" spans="2:22" ht="15" customHeight="1" x14ac:dyDescent="0.4">
      <c r="B81" s="15" t="s">
        <v>245</v>
      </c>
      <c r="C81" s="16" t="s">
        <v>246</v>
      </c>
      <c r="D81" s="31">
        <f>IFERROR(10^$D$78,"–")</f>
        <v>1.8057041659134319</v>
      </c>
      <c r="E81" s="12"/>
      <c r="J81" s="13" t="s">
        <v>182</v>
      </c>
      <c r="K81" s="14" t="s">
        <v>247</v>
      </c>
      <c r="L81" s="14" t="s">
        <v>248</v>
      </c>
      <c r="M81" s="14" t="s">
        <v>249</v>
      </c>
      <c r="N81" s="14" t="s">
        <v>250</v>
      </c>
      <c r="R81" s="28">
        <f t="shared" si="1"/>
        <v>4.4800000000000022</v>
      </c>
      <c r="S81" s="29">
        <f t="shared" si="2"/>
        <v>4.2429667330062378E-2</v>
      </c>
      <c r="T81" s="29">
        <f t="shared" si="3"/>
        <v>0.17919198854595042</v>
      </c>
      <c r="U81" s="29">
        <f t="shared" si="4"/>
        <v>6.9175962515984707E-2</v>
      </c>
      <c r="V81" s="29">
        <f t="shared" si="5"/>
        <v>7.4717778209229166E-4</v>
      </c>
    </row>
    <row r="82" spans="2:22" ht="15" customHeight="1" x14ac:dyDescent="0.4">
      <c r="J82" s="15" t="s">
        <v>138</v>
      </c>
      <c r="K82" s="16" t="s">
        <v>27</v>
      </c>
      <c r="L82" s="16" t="s">
        <v>27</v>
      </c>
      <c r="M82" s="16" t="s">
        <v>27</v>
      </c>
      <c r="N82" s="16" t="s">
        <v>27</v>
      </c>
      <c r="R82" s="28">
        <f t="shared" si="1"/>
        <v>4.5600000000000023</v>
      </c>
      <c r="S82" s="29">
        <f t="shared" si="2"/>
        <v>4.2861700140264254E-2</v>
      </c>
      <c r="T82" s="29">
        <f t="shared" si="3"/>
        <v>0.17934972643318384</v>
      </c>
      <c r="U82" s="29">
        <f t="shared" si="4"/>
        <v>7.0196671619896747E-2</v>
      </c>
      <c r="V82" s="29">
        <f t="shared" si="5"/>
        <v>7.5955827093273363E-4</v>
      </c>
    </row>
    <row r="83" spans="2:22" ht="18" customHeight="1" x14ac:dyDescent="0.4">
      <c r="B83" s="8" t="s">
        <v>251</v>
      </c>
      <c r="C83" s="9"/>
      <c r="D83" s="9"/>
      <c r="E83" s="9"/>
      <c r="F83" s="9"/>
      <c r="G83" s="9"/>
      <c r="H83" s="9"/>
      <c r="J83" s="15" t="s">
        <v>195</v>
      </c>
      <c r="K83" s="16" t="s">
        <v>27</v>
      </c>
      <c r="L83" s="16" t="s">
        <v>27</v>
      </c>
      <c r="M83" s="16" t="s">
        <v>27</v>
      </c>
      <c r="N83" s="16" t="s">
        <v>27</v>
      </c>
      <c r="R83" s="28">
        <f t="shared" si="1"/>
        <v>4.6400000000000023</v>
      </c>
      <c r="S83" s="29">
        <f t="shared" si="2"/>
        <v>4.3285939153030216E-2</v>
      </c>
      <c r="T83" s="29">
        <f t="shared" si="3"/>
        <v>0.17949539892186453</v>
      </c>
      <c r="U83" s="29">
        <f t="shared" si="4"/>
        <v>7.121057555750826E-2</v>
      </c>
      <c r="V83" s="29">
        <f t="shared" si="5"/>
        <v>7.7185649176746466E-4</v>
      </c>
    </row>
    <row r="84" spans="2:22" ht="15" customHeight="1" x14ac:dyDescent="0.4">
      <c r="B84" s="13" t="s">
        <v>112</v>
      </c>
      <c r="C84" s="14" t="s">
        <v>177</v>
      </c>
      <c r="D84" s="14" t="s">
        <v>18</v>
      </c>
      <c r="E84" s="14" t="s">
        <v>19</v>
      </c>
      <c r="F84" s="14" t="s">
        <v>20</v>
      </c>
      <c r="G84" s="14" t="s">
        <v>21</v>
      </c>
      <c r="H84" s="14" t="s">
        <v>178</v>
      </c>
      <c r="J84" s="15" t="s">
        <v>199</v>
      </c>
      <c r="K84" s="16" t="s">
        <v>27</v>
      </c>
      <c r="L84" s="16" t="s">
        <v>27</v>
      </c>
      <c r="M84" s="16">
        <v>0.2</v>
      </c>
      <c r="N84" s="16">
        <v>7</v>
      </c>
      <c r="R84" s="28">
        <f t="shared" si="1"/>
        <v>4.7200000000000024</v>
      </c>
      <c r="S84" s="29">
        <f t="shared" si="2"/>
        <v>4.3702524967122763E-2</v>
      </c>
      <c r="T84" s="29">
        <f t="shared" si="3"/>
        <v>0.17962993458479087</v>
      </c>
      <c r="U84" s="29">
        <f t="shared" si="4"/>
        <v>7.2217717600107562E-2</v>
      </c>
      <c r="V84" s="29">
        <f t="shared" si="5"/>
        <v>7.8407294197963505E-4</v>
      </c>
    </row>
    <row r="85" spans="2:22" ht="15" customHeight="1" x14ac:dyDescent="0.4">
      <c r="B85" s="15" t="s">
        <v>252</v>
      </c>
      <c r="C85" s="16" t="s">
        <v>27</v>
      </c>
      <c r="D85" s="16" t="b">
        <f>D$46&lt;&gt;"None"</f>
        <v>1</v>
      </c>
      <c r="E85" s="16" t="b">
        <f>E$46&lt;&gt;"None"</f>
        <v>1</v>
      </c>
      <c r="F85" s="16" t="b">
        <f>F$46&lt;&gt;"None"</f>
        <v>1</v>
      </c>
      <c r="G85" s="16" t="b">
        <f>G$46&lt;&gt;"None"</f>
        <v>1</v>
      </c>
      <c r="H85" s="12" t="s">
        <v>253</v>
      </c>
      <c r="J85" s="15" t="s">
        <v>202</v>
      </c>
      <c r="K85" s="16" t="s">
        <v>27</v>
      </c>
      <c r="L85" s="16" t="s">
        <v>27</v>
      </c>
      <c r="M85" s="16" t="s">
        <v>27</v>
      </c>
      <c r="N85" s="16" t="s">
        <v>27</v>
      </c>
      <c r="R85" s="28">
        <f t="shared" si="1"/>
        <v>4.8000000000000025</v>
      </c>
      <c r="S85" s="29">
        <f t="shared" si="2"/>
        <v>4.4111595644926949E-2</v>
      </c>
      <c r="T85" s="29">
        <f t="shared" si="3"/>
        <v>0.17975419042683596</v>
      </c>
      <c r="U85" s="29">
        <f t="shared" si="4"/>
        <v>7.3218140906210316E-2</v>
      </c>
      <c r="V85" s="29">
        <f t="shared" si="5"/>
        <v>7.9620812055316561E-4</v>
      </c>
    </row>
    <row r="86" spans="2:22" ht="15" customHeight="1" x14ac:dyDescent="0.4">
      <c r="B86" s="15" t="s">
        <v>254</v>
      </c>
      <c r="C86" s="16" t="s">
        <v>255</v>
      </c>
      <c r="D86" s="16">
        <f>IF(D$85,IFERROR(IF(D$49="Warm Blooded",10,1),"–"),"–")</f>
        <v>1</v>
      </c>
      <c r="E86" s="16">
        <f>IF(E$85,IFERROR(IF(E$49="Warm Blooded",10,1),"–"),"–")</f>
        <v>1</v>
      </c>
      <c r="F86" s="16">
        <f>IF(F$85,IFERROR(IF(F$49="Warm Blooded",10,1),"–"),"–")</f>
        <v>1</v>
      </c>
      <c r="G86" s="16">
        <f>IF(G$85,IFERROR(IF(G$49="Warm Blooded",10,1),"–"),"–")</f>
        <v>10</v>
      </c>
      <c r="H86" s="12" t="s">
        <v>256</v>
      </c>
      <c r="J86" s="15" t="s">
        <v>206</v>
      </c>
      <c r="K86" s="16" t="s">
        <v>27</v>
      </c>
      <c r="L86" s="16" t="s">
        <v>27</v>
      </c>
      <c r="M86" s="16" t="s">
        <v>27</v>
      </c>
      <c r="N86" s="16" t="s">
        <v>27</v>
      </c>
      <c r="R86" s="28">
        <f t="shared" si="1"/>
        <v>4.8800000000000026</v>
      </c>
      <c r="S86" s="29">
        <f t="shared" si="2"/>
        <v>4.4513286758206191E-2</v>
      </c>
      <c r="T86" s="29">
        <f t="shared" si="3"/>
        <v>0.17986895740277448</v>
      </c>
      <c r="U86" s="29">
        <f t="shared" si="4"/>
        <v>7.4211888508673232E-2</v>
      </c>
      <c r="V86" s="29">
        <f t="shared" si="5"/>
        <v>8.0826252753749364E-4</v>
      </c>
    </row>
    <row r="87" spans="2:22" ht="15" customHeight="1" x14ac:dyDescent="0.4">
      <c r="B87" s="15" t="s">
        <v>257</v>
      </c>
      <c r="C87" s="16" t="s">
        <v>258</v>
      </c>
      <c r="D87" s="16">
        <f>IF(D$85,IFERROR(IF(D$49="Warm Blooded",INDEX($P$65:$P$77,MATCH(D$46,$J$65:$J$77,0)),INDEX($O$65:$O$77,MATCH(D$46,$J$65:$J$77,0))),"–"),"–")</f>
        <v>0.5</v>
      </c>
      <c r="E87" s="16">
        <f>IF(E$85,IFERROR(IF(E$49="Warm Blooded",INDEX($P$65:$P$77,MATCH(E$46,$J$65:$J$77,0)),INDEX($O$65:$O$77,MATCH(E$46,$J$65:$J$77,0))),"–"),"–")</f>
        <v>0.25</v>
      </c>
      <c r="F87" s="16">
        <f>IF(F$85,IFERROR(IF(F$49="Warm Blooded",INDEX($P$65:$P$77,MATCH(F$46,$J$65:$J$77,0)),INDEX($O$65:$O$77,MATCH(F$46,$J$65:$J$77,0))),"–"),"–")</f>
        <v>0.1</v>
      </c>
      <c r="G87" s="16">
        <f>IF(G$85,IFERROR(IF(G$49="Warm Blooded",INDEX($P$65:$P$77,MATCH(G$46,$J$65:$J$77,0)),INDEX($O$65:$O$77,MATCH(G$46,$J$65:$J$77,0))),"–"),"–")</f>
        <v>0.02</v>
      </c>
      <c r="H87" s="12" t="s">
        <v>259</v>
      </c>
      <c r="J87" s="15" t="s">
        <v>139</v>
      </c>
      <c r="K87" s="16" t="s">
        <v>27</v>
      </c>
      <c r="L87" s="16" t="s">
        <v>27</v>
      </c>
      <c r="M87" s="16" t="s">
        <v>27</v>
      </c>
      <c r="N87" s="16" t="s">
        <v>27</v>
      </c>
      <c r="R87" s="28">
        <f t="shared" si="1"/>
        <v>4.9600000000000026</v>
      </c>
      <c r="S87" s="29">
        <f t="shared" si="2"/>
        <v>4.4907731433032665E-2</v>
      </c>
      <c r="T87" s="29">
        <f t="shared" si="3"/>
        <v>0.17997496550965614</v>
      </c>
      <c r="U87" s="29">
        <f t="shared" si="4"/>
        <v>7.5199003302945863E-2</v>
      </c>
      <c r="V87" s="29">
        <f t="shared" si="5"/>
        <v>8.2023666358212351E-4</v>
      </c>
    </row>
    <row r="88" spans="2:22" ht="15" customHeight="1" x14ac:dyDescent="0.4">
      <c r="B88" s="15" t="s">
        <v>260</v>
      </c>
      <c r="C88" s="16" t="s">
        <v>261</v>
      </c>
      <c r="D88" s="16">
        <f>IF(D$85,IFERROR(INDEX($K$99:$K$102,MATCH(D$48,$J$99:$J$102,0)),"–"),"–")</f>
        <v>0</v>
      </c>
      <c r="E88" s="16">
        <f>IF(E$85,IFERROR(INDEX($K$99:$K$102,MATCH(E$48,$J$99:$J$102,0)),"–"),"–")</f>
        <v>0.4</v>
      </c>
      <c r="F88" s="16">
        <f>IF(F$85,IFERROR(INDEX($K$99:$K$102,MATCH(F$48,$J$99:$J$102,0)),"–"),"–")</f>
        <v>0.8</v>
      </c>
      <c r="G88" s="16">
        <f>IF(G$85,IFERROR(INDEX($K$99:$K$102,MATCH(G$48,$J$99:$J$102,0)),"–"),"–")</f>
        <v>0.8</v>
      </c>
      <c r="H88" s="12" t="s">
        <v>262</v>
      </c>
      <c r="J88" s="15" t="s">
        <v>213</v>
      </c>
      <c r="K88" s="16">
        <v>180</v>
      </c>
      <c r="L88" s="16">
        <v>100</v>
      </c>
      <c r="M88" s="16" t="s">
        <v>27</v>
      </c>
      <c r="N88" s="16" t="s">
        <v>27</v>
      </c>
      <c r="R88" s="28">
        <f t="shared" si="1"/>
        <v>5.0400000000000027</v>
      </c>
      <c r="S88" s="29">
        <f t="shared" si="2"/>
        <v>4.5295060393907141E-2</v>
      </c>
      <c r="T88" s="29">
        <f t="shared" si="3"/>
        <v>0.18007288848653094</v>
      </c>
      <c r="U88" s="29">
        <f t="shared" si="4"/>
        <v>7.6179528036371694E-2</v>
      </c>
      <c r="V88" s="29">
        <f t="shared" si="5"/>
        <v>8.3213102953080625E-4</v>
      </c>
    </row>
    <row r="89" spans="2:22" ht="15" customHeight="1" x14ac:dyDescent="0.4">
      <c r="B89" s="15" t="s">
        <v>263</v>
      </c>
      <c r="C89" s="16" t="s">
        <v>264</v>
      </c>
      <c r="D89" s="16">
        <f>IF(D$85,IFERROR(INDEX($L$99:$L$102,MATCH(D$48,$J$99:$J$102,0)),"–"),"–")</f>
        <v>0</v>
      </c>
      <c r="E89" s="16">
        <f>IF(E$85,IFERROR(INDEX($L$99:$L$102,MATCH(E$48,$J$99:$J$102,0)),"–"),"–")</f>
        <v>0.01</v>
      </c>
      <c r="F89" s="16">
        <f>IF(F$85,IFERROR(INDEX($L$99:$L$102,MATCH(F$48,$J$99:$J$102,0)),"–"),"–")</f>
        <v>0.05</v>
      </c>
      <c r="G89" s="16">
        <f>IF(G$85,IFERROR(INDEX($L$99:$L$102,MATCH(G$48,$J$99:$J$102,0)),"–"),"–")</f>
        <v>0.05</v>
      </c>
      <c r="H89" s="12" t="s">
        <v>262</v>
      </c>
      <c r="J89" s="15" t="s">
        <v>217</v>
      </c>
      <c r="K89" s="16" t="s">
        <v>27</v>
      </c>
      <c r="L89" s="16" t="s">
        <v>27</v>
      </c>
      <c r="M89" s="16" t="s">
        <v>27</v>
      </c>
      <c r="N89" s="16" t="s">
        <v>27</v>
      </c>
      <c r="R89" s="28">
        <f t="shared" si="1"/>
        <v>5.1200000000000028</v>
      </c>
      <c r="S89" s="29">
        <f t="shared" si="2"/>
        <v>4.5675402007082942E-2</v>
      </c>
      <c r="T89" s="29">
        <f t="shared" si="3"/>
        <v>0.18016334815180177</v>
      </c>
      <c r="U89" s="29">
        <f t="shared" si="4"/>
        <v>7.7153505298456701E-2</v>
      </c>
      <c r="V89" s="29">
        <f t="shared" si="5"/>
        <v>8.4394612606681014E-4</v>
      </c>
    </row>
    <row r="90" spans="2:22" ht="15" customHeight="1" x14ac:dyDescent="0.4">
      <c r="B90" s="15" t="s">
        <v>265</v>
      </c>
      <c r="C90" s="16" t="s">
        <v>266</v>
      </c>
      <c r="D90" s="31">
        <f>IF(D$85,IFERROR(IFERROR((D86*$L$110)/(D87*D88),0),"–"),"–")</f>
        <v>0</v>
      </c>
      <c r="E90" s="31">
        <f>IF(E$85,IFERROR(IFERROR((E86*$L$110)/(E87*E88),0),"–"),"–")</f>
        <v>7.4999999999999997E-3</v>
      </c>
      <c r="F90" s="31">
        <f>IF(F$85,IFERROR(IFERROR((F86*$L$110)/(F87*F88),0),"–"),"–")</f>
        <v>9.3749999999999979E-3</v>
      </c>
      <c r="G90" s="31">
        <f>IF(G$85,IFERROR(IFERROR((G86*$L$110)/(G87*G88),0),"–"),"–")</f>
        <v>0.46875</v>
      </c>
      <c r="H90" s="12" t="s">
        <v>267</v>
      </c>
      <c r="J90" s="15" t="s">
        <v>140</v>
      </c>
      <c r="K90" s="16" t="s">
        <v>27</v>
      </c>
      <c r="L90" s="16" t="s">
        <v>27</v>
      </c>
      <c r="M90" s="16" t="s">
        <v>27</v>
      </c>
      <c r="N90" s="16" t="s">
        <v>27</v>
      </c>
      <c r="R90" s="28">
        <f t="shared" ref="R90:R153" si="6">R89+$S$22</f>
        <v>5.2000000000000028</v>
      </c>
      <c r="S90" s="29">
        <f t="shared" ref="S90:S153" si="7">IF(S$13,S89*S$18+(S$14+S$15*IF(S$17,$D$71,0))*S$19,NA())</f>
        <v>4.6048882323108289E-2</v>
      </c>
      <c r="T90" s="29">
        <f t="shared" ref="T90:T153" si="8">IF(T$13,T89*T$18+(T$14+T$15*IF(T$17,$D$71,(S89+S90)/2))*T$19,NA())</f>
        <v>0.18024691840614604</v>
      </c>
      <c r="U90" s="29">
        <f t="shared" ref="U90:U153" si="9">IF(U$13,U89*U$18+(U$14+U$15*IF(U$17,$D$71,(T89+T90)/2))*U$19,NA())</f>
        <v>7.8120977512029746E-2</v>
      </c>
      <c r="V90" s="29">
        <f t="shared" ref="V90:V153" si="10">IF(V$13,V89*V$18+(V$14+V$15*IF(V$17,$D$71,(U89+U90)/2))*V$19,NA())</f>
        <v>8.5568245340210435E-4</v>
      </c>
    </row>
    <row r="91" spans="2:22" ht="15" customHeight="1" x14ac:dyDescent="0.4">
      <c r="B91" s="15" t="s">
        <v>268</v>
      </c>
      <c r="C91" s="16" t="s">
        <v>183</v>
      </c>
      <c r="D91" s="16">
        <f>IF(D$85,IFERROR(INDEX($K$65:$K$77,MATCH(D$46,$J$65:$J$77,0)),"–"),"–")</f>
        <v>0</v>
      </c>
      <c r="E91" s="16">
        <f>IF(E$85,IFERROR(INDEX($K$65:$K$77,MATCH(E$46,$J$65:$J$77,0)),"–"),"–")</f>
        <v>0.02</v>
      </c>
      <c r="F91" s="16">
        <f>IF(F$85,IFERROR(INDEX($K$65:$K$77,MATCH(F$46,$J$65:$J$77,0)),"–"),"–")</f>
        <v>0.04</v>
      </c>
      <c r="G91" s="16">
        <f>IF(G$85,IFERROR(INDEX($K$65:$K$77,MATCH(G$46,$J$65:$J$77,0)),"–"),"–")</f>
        <v>0.09</v>
      </c>
      <c r="H91" s="12" t="s">
        <v>269</v>
      </c>
      <c r="J91" s="15" t="s">
        <v>223</v>
      </c>
      <c r="K91" s="16" t="s">
        <v>27</v>
      </c>
      <c r="L91" s="16" t="s">
        <v>27</v>
      </c>
      <c r="M91" s="16" t="s">
        <v>27</v>
      </c>
      <c r="N91" s="16" t="s">
        <v>27</v>
      </c>
      <c r="R91" s="28">
        <f t="shared" si="6"/>
        <v>5.2800000000000029</v>
      </c>
      <c r="S91" s="29">
        <f t="shared" si="7"/>
        <v>4.6415625118601242E-2</v>
      </c>
      <c r="T91" s="29">
        <f t="shared" si="8"/>
        <v>0.18032412892679306</v>
      </c>
      <c r="U91" s="29">
        <f t="shared" si="9"/>
        <v>7.9081986925225278E-2</v>
      </c>
      <c r="V91" s="29">
        <f t="shared" si="10"/>
        <v>8.6734051100440912E-4</v>
      </c>
    </row>
    <row r="92" spans="2:22" ht="15" customHeight="1" x14ac:dyDescent="0.4">
      <c r="B92" s="15" t="s">
        <v>270</v>
      </c>
      <c r="C92" s="16" t="s">
        <v>184</v>
      </c>
      <c r="D92" s="16">
        <f>IF(D$85,IFERROR(INDEX($L$65:$L$77,MATCH(D$46,$J$65:$J$77,0)),"–"),"–")</f>
        <v>0.01</v>
      </c>
      <c r="E92" s="16">
        <f>IF(E$85,IFERROR(INDEX($L$65:$L$77,MATCH(E$46,$J$65:$J$77,0)),"–"),"–")</f>
        <v>0.01</v>
      </c>
      <c r="F92" s="16">
        <f>IF(F$85,IFERROR(INDEX($L$65:$L$77,MATCH(F$46,$J$65:$J$77,0)),"–"),"–")</f>
        <v>0.01</v>
      </c>
      <c r="G92" s="16">
        <f>IF(G$85,IFERROR(INDEX($L$65:$L$77,MATCH(G$46,$J$65:$J$77,0)),"–"),"–")</f>
        <v>0.01</v>
      </c>
      <c r="H92" s="12" t="s">
        <v>269</v>
      </c>
      <c r="J92" s="15" t="s">
        <v>141</v>
      </c>
      <c r="K92" s="16">
        <v>554.4</v>
      </c>
      <c r="L92" s="16">
        <v>290.7</v>
      </c>
      <c r="M92" s="16">
        <v>4.5</v>
      </c>
      <c r="N92" s="16">
        <v>7</v>
      </c>
      <c r="R92" s="28">
        <f t="shared" si="6"/>
        <v>5.360000000000003</v>
      </c>
      <c r="S92" s="29">
        <f t="shared" si="7"/>
        <v>4.6775751937271008E-2</v>
      </c>
      <c r="T92" s="29">
        <f t="shared" si="8"/>
        <v>0.18039546857695551</v>
      </c>
      <c r="U92" s="29">
        <f t="shared" si="9"/>
        <v>8.0036575604223739E-2</v>
      </c>
      <c r="V92" s="29">
        <f t="shared" si="10"/>
        <v>8.7892079735700187E-4</v>
      </c>
    </row>
    <row r="93" spans="2:22" ht="15" customHeight="1" x14ac:dyDescent="0.4">
      <c r="B93" s="15" t="s">
        <v>271</v>
      </c>
      <c r="C93" s="16" t="s">
        <v>185</v>
      </c>
      <c r="D93" s="16">
        <f>IF(D$85,IFERROR(INDEX($M$65:$M$77,MATCH(D$46,$J$65:$J$77,0)),"–"),"–")</f>
        <v>0.04</v>
      </c>
      <c r="E93" s="16">
        <f>IF(E$85,IFERROR(INDEX($M$65:$M$77,MATCH(E$46,$J$65:$J$77,0)),"–"),"–")</f>
        <v>0.13</v>
      </c>
      <c r="F93" s="16">
        <f>IF(F$85,IFERROR(INDEX($M$65:$M$77,MATCH(F$46,$J$65:$J$77,0)),"–"),"–")</f>
        <v>0.18</v>
      </c>
      <c r="G93" s="16">
        <f>IF(G$85,IFERROR(INDEX($M$65:$M$77,MATCH(G$46,$J$65:$J$77,0)),"–"),"–")</f>
        <v>0.21</v>
      </c>
      <c r="H93" s="12" t="s">
        <v>269</v>
      </c>
      <c r="J93" s="15" t="s">
        <v>230</v>
      </c>
      <c r="K93" s="16">
        <v>745.92</v>
      </c>
      <c r="L93" s="16">
        <v>200</v>
      </c>
      <c r="M93" s="16">
        <v>2.82</v>
      </c>
      <c r="N93" s="16">
        <v>6.5</v>
      </c>
      <c r="R93" s="28">
        <f t="shared" si="6"/>
        <v>5.4400000000000031</v>
      </c>
      <c r="S93" s="29">
        <f t="shared" si="7"/>
        <v>4.7129382130199224E-2</v>
      </c>
      <c r="T93" s="29">
        <f t="shared" si="8"/>
        <v>0.18046138855237881</v>
      </c>
      <c r="U93" s="29">
        <f t="shared" si="9"/>
        <v>8.0984785426690575E-2</v>
      </c>
      <c r="V93" s="29">
        <f t="shared" si="10"/>
        <v>8.9042380974695481E-4</v>
      </c>
    </row>
    <row r="94" spans="2:22" ht="15" customHeight="1" x14ac:dyDescent="0.4">
      <c r="B94" s="15" t="s">
        <v>272</v>
      </c>
      <c r="C94" s="16" t="s">
        <v>186</v>
      </c>
      <c r="D94" s="16">
        <f>IF(D$85,IFERROR(INDEX($N$65:$N$77,MATCH(D$46,$J$65:$J$77,0)),"–"),"–")</f>
        <v>0.9</v>
      </c>
      <c r="E94" s="16">
        <f>IF(E$85,IFERROR(INDEX($N$65:$N$77,MATCH(E$46,$J$65:$J$77,0)),"–"),"–")</f>
        <v>0.8</v>
      </c>
      <c r="F94" s="16">
        <f>IF(F$85,IFERROR(INDEX($N$65:$N$77,MATCH(F$46,$J$65:$J$77,0)),"–"),"–")</f>
        <v>0.75</v>
      </c>
      <c r="G94" s="16">
        <f>IF(G$85,IFERROR(INDEX($N$65:$N$77,MATCH(G$46,$J$65:$J$77,0)),"–"),"–")</f>
        <v>0.67</v>
      </c>
      <c r="H94" s="12" t="s">
        <v>269</v>
      </c>
      <c r="J94" s="15" t="s">
        <v>234</v>
      </c>
      <c r="K94" s="16" t="s">
        <v>27</v>
      </c>
      <c r="L94" s="16" t="s">
        <v>27</v>
      </c>
      <c r="M94" s="16" t="s">
        <v>27</v>
      </c>
      <c r="N94" s="16" t="s">
        <v>27</v>
      </c>
      <c r="R94" s="28">
        <f t="shared" si="6"/>
        <v>5.5200000000000031</v>
      </c>
      <c r="S94" s="29">
        <f t="shared" si="7"/>
        <v>4.7476632895394583E-2</v>
      </c>
      <c r="T94" s="29">
        <f t="shared" si="8"/>
        <v>0.18052230528527796</v>
      </c>
      <c r="U94" s="29">
        <f t="shared" si="9"/>
        <v>8.1926658075858833E-2</v>
      </c>
      <c r="V94" s="29">
        <f t="shared" si="10"/>
        <v>9.018500440781316E-4</v>
      </c>
    </row>
    <row r="95" spans="2:22" ht="15" customHeight="1" x14ac:dyDescent="0.4">
      <c r="B95" s="15" t="s">
        <v>273</v>
      </c>
      <c r="C95" s="16" t="s">
        <v>274</v>
      </c>
      <c r="D95" s="24">
        <f>IF(D$85,IFERROR(1/(1+IF($F$21="Neutral",0,10^(IF($F$21="Acidic",1,-1)*(D$51-$F$20)))),"–"),"–")</f>
        <v>2.9425252190901116E-3</v>
      </c>
      <c r="E95" s="24">
        <f>IF(E$85,IFERROR(1/(1+IF($F$21="Neutral",0,10^(IF($F$21="Acidic",1,-1)*(E$51-$F$20)))),"–"),"–")</f>
        <v>2.9425252190901116E-3</v>
      </c>
      <c r="F95" s="24">
        <f>IF(F$85,IFERROR(1/(1+IF($F$21="Neutral",0,10^(IF($F$21="Acidic",1,-1)*(F$51-$F$20)))),"–"),"–")</f>
        <v>2.9425252190901116E-3</v>
      </c>
      <c r="G95" s="24">
        <f>IF(G$85,IFERROR(1/(1+IF($F$21="Neutral",0,10^(IF($F$21="Acidic",1,-1)*(G$51-$F$20)))),"–"),"–")</f>
        <v>2.9425252190901116E-3</v>
      </c>
      <c r="H95" s="12" t="s">
        <v>275</v>
      </c>
      <c r="J95" s="12" t="s">
        <v>276</v>
      </c>
      <c r="R95" s="28">
        <f t="shared" si="6"/>
        <v>5.6000000000000032</v>
      </c>
      <c r="S95" s="29">
        <f t="shared" si="7"/>
        <v>4.7817619316633905E-2</v>
      </c>
      <c r="T95" s="29">
        <f t="shared" si="8"/>
        <v>0.1805786031243691</v>
      </c>
      <c r="U95" s="29">
        <f t="shared" si="9"/>
        <v>8.2862235035204984E-2</v>
      </c>
      <c r="V95" s="29">
        <f t="shared" si="10"/>
        <v>9.1319999470581539E-4</v>
      </c>
    </row>
    <row r="96" spans="2:22" ht="15" customHeight="1" x14ac:dyDescent="0.4">
      <c r="B96" s="15" t="s">
        <v>277</v>
      </c>
      <c r="C96" s="16" t="s">
        <v>278</v>
      </c>
      <c r="D96" s="31">
        <f>IF(D$85,IFERROR(D95*10^$F$16+(1-D95)*10^$F$17,"–"),"–")</f>
        <v>3.9730600154632283</v>
      </c>
      <c r="E96" s="31">
        <f>IF(E$85,IFERROR(E95*10^$F$16+(1-E95)*10^$F$17,"–"),"–")</f>
        <v>3.9730600154632283</v>
      </c>
      <c r="F96" s="31">
        <f>IF(F$85,IFERROR(F95*10^$F$16+(1-F95)*10^$F$17,"–"),"–")</f>
        <v>3.9730600154632283</v>
      </c>
      <c r="G96" s="31">
        <f>IF(G$85,IFERROR(G95*10^$F$16+(1-G95)*10^$F$17,"–"),"–")</f>
        <v>3.9730600154632283</v>
      </c>
      <c r="H96" s="12"/>
      <c r="J96" s="12" t="s">
        <v>279</v>
      </c>
      <c r="R96" s="28">
        <f t="shared" si="6"/>
        <v>5.6800000000000033</v>
      </c>
      <c r="S96" s="29">
        <f t="shared" si="7"/>
        <v>4.8152454401602512E-2</v>
      </c>
      <c r="T96" s="29">
        <f t="shared" si="8"/>
        <v>0.1806306368082603</v>
      </c>
      <c r="U96" s="29">
        <f t="shared" si="9"/>
        <v>8.3791557583671183E-2</v>
      </c>
      <c r="V96" s="29">
        <f t="shared" si="10"/>
        <v>9.2447415429029809E-4</v>
      </c>
    </row>
    <row r="97" spans="2:22" ht="15" customHeight="1" x14ac:dyDescent="0.4">
      <c r="B97" s="15" t="s">
        <v>280</v>
      </c>
      <c r="C97" s="16" t="s">
        <v>281</v>
      </c>
      <c r="D97" s="31">
        <f>IF(D$85,IFERROR(D96,"–"),"–")</f>
        <v>3.9730600154632283</v>
      </c>
      <c r="E97" s="31">
        <f>IF(E$85,IFERROR(E96,"–"),"–")</f>
        <v>3.9730600154632283</v>
      </c>
      <c r="F97" s="31">
        <f>IF(F$85,IFERROR(F96,"–"),"–")</f>
        <v>3.9730600154632283</v>
      </c>
      <c r="G97" s="31">
        <f>IF(G$85,IFERROR(G96,"–"),"–")</f>
        <v>3.9730600154632283</v>
      </c>
      <c r="H97" s="12" t="s">
        <v>282</v>
      </c>
      <c r="J97" s="25" t="s">
        <v>283</v>
      </c>
      <c r="K97" s="25"/>
      <c r="L97" s="25"/>
      <c r="M97" s="25"/>
      <c r="N97" s="25"/>
      <c r="O97" s="25"/>
      <c r="P97" s="25"/>
      <c r="R97" s="28">
        <f t="shared" si="6"/>
        <v>5.7600000000000033</v>
      </c>
      <c r="S97" s="29">
        <f t="shared" si="7"/>
        <v>4.8481249119346551E-2</v>
      </c>
      <c r="T97" s="29">
        <f t="shared" si="8"/>
        <v>0.18067873374813465</v>
      </c>
      <c r="U97" s="29">
        <f t="shared" si="9"/>
        <v>8.4714666791390988E-2</v>
      </c>
      <c r="V97" s="29">
        <f t="shared" si="10"/>
        <v>9.3567301366714352E-4</v>
      </c>
    </row>
    <row r="98" spans="2:22" ht="15" customHeight="1" x14ac:dyDescent="0.4">
      <c r="B98" s="15" t="s">
        <v>284</v>
      </c>
      <c r="C98" s="16" t="s">
        <v>240</v>
      </c>
      <c r="D98" s="31">
        <f>IF(D$85,IFERROR(IF($F$21="Neutral",(10^$F$16)^0.94,2*D96^0.94),"–"),"–")</f>
        <v>7.3148868647695249</v>
      </c>
      <c r="E98" s="31">
        <f>IF(E$85,IFERROR(IF($F$21="Neutral",(10^$F$16)^0.94,2*E96^0.94),"–"),"–")</f>
        <v>7.3148868647695249</v>
      </c>
      <c r="F98" s="31">
        <f>IF(F$85,IFERROR(IF($F$21="Neutral",(10^$F$16)^0.94,2*F96^0.94),"–"),"–")</f>
        <v>7.3148868647695249</v>
      </c>
      <c r="G98" s="31">
        <f>IF(G$85,IFERROR(IF($F$21="Neutral",(10^$F$16)^0.94,2*G96^0.94),"–"),"–")</f>
        <v>7.3148868647695249</v>
      </c>
      <c r="H98" s="12" t="s">
        <v>285</v>
      </c>
      <c r="J98" s="13" t="s">
        <v>147</v>
      </c>
      <c r="K98" s="14" t="s">
        <v>261</v>
      </c>
      <c r="L98" s="14" t="s">
        <v>264</v>
      </c>
      <c r="M98" s="12" t="s">
        <v>286</v>
      </c>
      <c r="R98" s="28">
        <f t="shared" si="6"/>
        <v>5.8400000000000034</v>
      </c>
      <c r="S98" s="29">
        <f t="shared" si="7"/>
        <v>4.8804112437049699E-2</v>
      </c>
      <c r="T98" s="29">
        <f t="shared" si="8"/>
        <v>0.18072319613443083</v>
      </c>
      <c r="U98" s="29">
        <f t="shared" si="9"/>
        <v>8.5631603515878812E-2</v>
      </c>
      <c r="V98" s="29">
        <f t="shared" si="10"/>
        <v>9.4679706173215897E-4</v>
      </c>
    </row>
    <row r="99" spans="2:22" ht="15" customHeight="1" x14ac:dyDescent="0.4">
      <c r="B99" s="15" t="s">
        <v>287</v>
      </c>
      <c r="C99" s="16" t="s">
        <v>288</v>
      </c>
      <c r="D99" s="31">
        <f>IF(D$85,IFERROR(IF($F$21="Neutral",(10^$F$16)^0.63,2.9*D96^0.63),"–"),"–")</f>
        <v>6.9158700922999312</v>
      </c>
      <c r="E99" s="31">
        <f>IF(E$85,IFERROR(IF($F$21="Neutral",(10^$F$16)^0.63,2.9*E96^0.63),"–"),"–")</f>
        <v>6.9158700922999312</v>
      </c>
      <c r="F99" s="31">
        <f>IF(F$85,IFERROR(IF($F$21="Neutral",(10^$F$16)^0.63,2.9*F96^0.63),"–"),"–")</f>
        <v>6.9158700922999312</v>
      </c>
      <c r="G99" s="31">
        <f>IF(G$85,IFERROR(IF($F$21="Neutral",(10^$F$16)^0.63,2.9*G96^0.63),"–"),"–")</f>
        <v>6.9158700922999312</v>
      </c>
      <c r="H99" s="12" t="s">
        <v>289</v>
      </c>
      <c r="J99" s="15" t="s">
        <v>148</v>
      </c>
      <c r="K99" s="16">
        <v>0</v>
      </c>
      <c r="L99" s="16">
        <v>0</v>
      </c>
      <c r="R99" s="28">
        <f t="shared" si="6"/>
        <v>5.9200000000000035</v>
      </c>
      <c r="S99" s="29">
        <f t="shared" si="7"/>
        <v>4.9121151356146434E-2</v>
      </c>
      <c r="T99" s="29">
        <f t="shared" si="8"/>
        <v>0.18076430288109174</v>
      </c>
      <c r="U99" s="29">
        <f t="shared" si="9"/>
        <v>8.6542408398646395E-2</v>
      </c>
      <c r="V99" s="29">
        <f t="shared" si="10"/>
        <v>9.5784678533938059E-4</v>
      </c>
    </row>
    <row r="100" spans="2:22" ht="15" customHeight="1" x14ac:dyDescent="0.4">
      <c r="B100" s="15" t="s">
        <v>290</v>
      </c>
      <c r="C100" s="16" t="s">
        <v>291</v>
      </c>
      <c r="D100" s="31">
        <f>IF(D$85,IFERROR(D91*D97+D92*D98+D93*D99+D94,"–"),"–")</f>
        <v>1.2497836723396927</v>
      </c>
      <c r="E100" s="31">
        <f>IF(E$85,IFERROR(E91*E97+E92*E98+E93*E99+E94,"–"),"–")</f>
        <v>1.851673180955951</v>
      </c>
      <c r="F100" s="31">
        <f>IF(F$85,IFERROR(F91*F97+F92*F98+F93*F99+F94,"–"),"–")</f>
        <v>2.2269278858802117</v>
      </c>
      <c r="G100" s="31">
        <f>IF(G$85,IFERROR(G91*G97+G92*G98+G93*G99+G94,"–"),"–")</f>
        <v>2.5530569894223714</v>
      </c>
      <c r="H100" s="12" t="s">
        <v>292</v>
      </c>
      <c r="J100" s="15" t="s">
        <v>293</v>
      </c>
      <c r="K100" s="16">
        <v>0.2</v>
      </c>
      <c r="L100" s="16">
        <v>0.01</v>
      </c>
      <c r="R100" s="28">
        <f t="shared" si="6"/>
        <v>6.0000000000000036</v>
      </c>
      <c r="S100" s="29">
        <f t="shared" si="7"/>
        <v>4.9432470947783788E-2</v>
      </c>
      <c r="T100" s="29">
        <f t="shared" si="8"/>
        <v>0.18080231141990571</v>
      </c>
      <c r="U100" s="29">
        <f t="shared" si="9"/>
        <v>8.7447121862212596E-2</v>
      </c>
      <c r="V100" s="29">
        <f t="shared" si="10"/>
        <v>9.6882266921060668E-4</v>
      </c>
    </row>
    <row r="101" spans="2:22" ht="15" customHeight="1" x14ac:dyDescent="0.4">
      <c r="B101" s="15" t="s">
        <v>294</v>
      </c>
      <c r="C101" s="16" t="s">
        <v>295</v>
      </c>
      <c r="D101" s="31">
        <f>IF(D$85,IFERROR(IF(OR($F$21="Neutral",NOT($D$74)),D100,D91*D97+D92*$D$79+$L$116*D93*$D$80+(1-$L$116)*D93*$D$81+D94),"–"),"–")</f>
        <v>1.1763259517482465</v>
      </c>
      <c r="E101" s="31">
        <f>IF(E$85,IFERROR(IF(OR($F$21="Neutral",NOT($D$74)),E100,E91*E97+E92*$D$79+$L$116*E93*$D$80+(1-$L$116)*E93*$D$81+E94),"–"),"–")</f>
        <v>1.3176566858864542</v>
      </c>
      <c r="F101" s="31">
        <f>IF(F$85,IFERROR(IF(OR($F$21="Neutral",NOT($D$74)),F100,F91*F97+F92*$D$79+$L$116*F93*$D$80+(1-$L$116)*F93*$D$81+F94),"–"),"–")</f>
        <v>1.437045404989576</v>
      </c>
      <c r="G101" s="31">
        <f>IF(G$85,IFERROR(IF(OR($F$21="Neutral",NOT($D$74)),G100,G91*G97+G92*$D$79+$L$116*G93*$D$80+(1-$L$116)*G93*$D$81+G94),"–"),"–")</f>
        <v>1.6096549170390517</v>
      </c>
      <c r="H101" s="12" t="s">
        <v>296</v>
      </c>
      <c r="J101" s="15" t="s">
        <v>149</v>
      </c>
      <c r="K101" s="16">
        <v>0.4</v>
      </c>
      <c r="L101" s="16">
        <v>0.01</v>
      </c>
      <c r="R101" s="28">
        <f t="shared" si="6"/>
        <v>6.0800000000000036</v>
      </c>
      <c r="S101" s="29">
        <f t="shared" si="7"/>
        <v>4.9738174387643413E-2</v>
      </c>
      <c r="T101" s="29">
        <f t="shared" si="8"/>
        <v>0.18083745935649942</v>
      </c>
      <c r="U101" s="29">
        <f t="shared" si="9"/>
        <v>8.8345784107475164E-2</v>
      </c>
      <c r="V101" s="29">
        <f t="shared" si="10"/>
        <v>9.7972519585520735E-4</v>
      </c>
    </row>
    <row r="102" spans="2:22" ht="15" customHeight="1" x14ac:dyDescent="0.4">
      <c r="B102" s="15" t="s">
        <v>297</v>
      </c>
      <c r="C102" s="16" t="s">
        <v>298</v>
      </c>
      <c r="D102" s="31">
        <f>IF(D$85,IFERROR(IF($D$54="I",D100,D101),"–"),"–")</f>
        <v>1.2497836723396927</v>
      </c>
      <c r="E102" s="31">
        <f>IF(E$85,IFERROR(IF($D$54="I",E100,E101),"–"),"–")</f>
        <v>1.851673180955951</v>
      </c>
      <c r="F102" s="31">
        <f>IF(F$85,IFERROR(IF($D$54="I",F100,F101),"–"),"–")</f>
        <v>2.2269278858802117</v>
      </c>
      <c r="G102" s="31">
        <f>IF(G$85,IFERROR(IF($D$54="I",G100,G101),"–"),"–")</f>
        <v>2.5530569894223714</v>
      </c>
      <c r="H102" s="12" t="s">
        <v>299</v>
      </c>
      <c r="J102" s="15" t="s">
        <v>150</v>
      </c>
      <c r="K102" s="16">
        <v>0.8</v>
      </c>
      <c r="L102" s="16">
        <v>0.05</v>
      </c>
      <c r="R102" s="28">
        <f t="shared" si="6"/>
        <v>6.1600000000000037</v>
      </c>
      <c r="S102" s="29">
        <f t="shared" si="7"/>
        <v>5.0038362990135449E-2</v>
      </c>
      <c r="T102" s="29">
        <f t="shared" si="8"/>
        <v>0.18086996599864946</v>
      </c>
      <c r="U102" s="29">
        <f t="shared" si="9"/>
        <v>8.9238435111415798E-2</v>
      </c>
      <c r="V102" s="29">
        <f t="shared" si="10"/>
        <v>9.9055484549910328E-4</v>
      </c>
    </row>
    <row r="103" spans="2:22" ht="15" customHeight="1" x14ac:dyDescent="0.4">
      <c r="B103" s="15" t="s">
        <v>300</v>
      </c>
      <c r="C103" s="16" t="s">
        <v>301</v>
      </c>
      <c r="D103" s="16">
        <f>IF(D$85,IFERROR($L$108,"–"),"–")</f>
        <v>4600</v>
      </c>
      <c r="E103" s="16">
        <f>IF(E$85,IFERROR($L$109,"–"),"–")</f>
        <v>68</v>
      </c>
      <c r="F103" s="16">
        <f>IF(F$85,IFERROR($L$109,"–"),"–")</f>
        <v>68</v>
      </c>
      <c r="G103" s="16">
        <f>IF(G$85,IFERROR($L$109,"–"),"–")</f>
        <v>68</v>
      </c>
      <c r="H103" s="12" t="s">
        <v>302</v>
      </c>
      <c r="R103" s="28">
        <f t="shared" si="6"/>
        <v>6.2400000000000038</v>
      </c>
      <c r="S103" s="29">
        <f t="shared" si="7"/>
        <v>5.033313624197553E-2</v>
      </c>
      <c r="T103" s="29">
        <f t="shared" si="8"/>
        <v>0.1809000337667582</v>
      </c>
      <c r="U103" s="29">
        <f t="shared" si="9"/>
        <v>9.012511462511183E-2</v>
      </c>
      <c r="V103" s="29">
        <f t="shared" si="10"/>
        <v>1.0013120960219452E-3</v>
      </c>
    </row>
    <row r="104" spans="2:22" ht="15" customHeight="1" x14ac:dyDescent="0.4">
      <c r="B104" s="15" t="s">
        <v>303</v>
      </c>
      <c r="C104" s="16" t="s">
        <v>304</v>
      </c>
      <c r="D104" s="31">
        <f>IF(D$85,IFERROR(EXP(19.1)*EXP(-5040/$D$36)*D$50^0.75,"–"),"–")</f>
        <v>8.807875577557018E-7</v>
      </c>
      <c r="E104" s="31">
        <f>IF(E$85,IFERROR(EXP(19.1)*EXP(-5040/$D$36)*E$50^0.75,"–"),"–")</f>
        <v>1.5662863785754325E-4</v>
      </c>
      <c r="F104" s="31">
        <f>IF(F$85,IFERROR(EXP(19.1)*EXP(-5040/$D$36)*F$50^0.75,"–"),"–")</f>
        <v>0.15662863785754325</v>
      </c>
      <c r="G104" s="31">
        <f>IF(G$85,IFERROR(EXP(19.1)*EXP(-5040/$D$36)*G$50^0.75,"–"),"–")</f>
        <v>6.713355033941939</v>
      </c>
      <c r="H104" s="12" t="s">
        <v>305</v>
      </c>
      <c r="J104" s="25" t="s">
        <v>306</v>
      </c>
      <c r="K104" s="25"/>
      <c r="L104" s="25"/>
      <c r="M104" s="25"/>
      <c r="N104" s="25"/>
      <c r="O104" s="25"/>
      <c r="P104" s="25"/>
      <c r="R104" s="28">
        <f t="shared" si="6"/>
        <v>6.3200000000000038</v>
      </c>
      <c r="S104" s="29">
        <f t="shared" si="7"/>
        <v>5.0622591835156092E-2</v>
      </c>
      <c r="T104" s="29">
        <f t="shared" si="8"/>
        <v>0.18092784949557916</v>
      </c>
      <c r="U104" s="29">
        <f t="shared" si="9"/>
        <v>9.1005862172030133E-2</v>
      </c>
      <c r="V104" s="29">
        <f t="shared" si="10"/>
        <v>1.0119974229016453E-3</v>
      </c>
    </row>
    <row r="105" spans="2:22" ht="15" customHeight="1" x14ac:dyDescent="0.4">
      <c r="B105" s="15" t="s">
        <v>307</v>
      </c>
      <c r="C105" s="16" t="s">
        <v>308</v>
      </c>
      <c r="D105" s="31">
        <f>IF(D$85,IFERROR(EXP(-10.6)*EXP(1743.3/$D$36),"–"),"–")</f>
        <v>1.0600278549019446E-2</v>
      </c>
      <c r="E105" s="31">
        <f>IF(E$85,IFERROR(EXP(-10.6)*EXP(1743.3/$D$36),"–"),"–")</f>
        <v>1.0600278549019446E-2</v>
      </c>
      <c r="F105" s="31">
        <f>IF(F$85,IFERROR(EXP(-10.6)*EXP(1743.3/$D$36),"–"),"–")</f>
        <v>1.0600278549019446E-2</v>
      </c>
      <c r="G105" s="31">
        <f>IF(G$85,IFERROR(EXP(-10.6)*EXP(1743.3/$D$36),"–"),"–")</f>
        <v>1.0600278549019446E-2</v>
      </c>
      <c r="H105" s="12" t="s">
        <v>309</v>
      </c>
      <c r="J105" s="13" t="s">
        <v>310</v>
      </c>
      <c r="K105" s="14" t="s">
        <v>177</v>
      </c>
      <c r="L105" s="14" t="s">
        <v>113</v>
      </c>
      <c r="M105" s="14" t="s">
        <v>17</v>
      </c>
      <c r="N105" s="55" t="s">
        <v>33</v>
      </c>
      <c r="O105" s="48"/>
      <c r="P105" s="49"/>
      <c r="R105" s="28">
        <f t="shared" si="6"/>
        <v>6.4000000000000039</v>
      </c>
      <c r="S105" s="29">
        <f t="shared" si="7"/>
        <v>5.0906825699322859E-2</v>
      </c>
      <c r="T105" s="29">
        <f t="shared" si="8"/>
        <v>0.18095358563557767</v>
      </c>
      <c r="U105" s="29">
        <f t="shared" si="9"/>
        <v>9.1880717046580546E-2</v>
      </c>
      <c r="V105" s="29">
        <f t="shared" si="10"/>
        <v>1.022611299165516E-3</v>
      </c>
    </row>
    <row r="106" spans="2:22" ht="15" customHeight="1" x14ac:dyDescent="0.4">
      <c r="B106" s="15" t="s">
        <v>311</v>
      </c>
      <c r="C106" s="16" t="s">
        <v>312</v>
      </c>
      <c r="D106" s="31">
        <f>IF(D$85,IFERROR((D104/(0.71*D105))*1/D$50^0.75,"–"),"–")</f>
        <v>658.10553693757618</v>
      </c>
      <c r="E106" s="31">
        <f>IF(E$85,IFERROR((E104/(0.71*E105))*1/E$50^0.75,"–"),"–")</f>
        <v>658.10553693757618</v>
      </c>
      <c r="F106" s="31">
        <f>IF(F$85,IFERROR((F104/(0.71*F105))*1/F$50^0.75,"–"),"–")</f>
        <v>658.10553693757618</v>
      </c>
      <c r="G106" s="31">
        <f>IF(G$85,IFERROR((G104/(0.71*G105))*1/G$50^0.75,"–"),"–")</f>
        <v>658.10553693757618</v>
      </c>
      <c r="H106" s="12" t="s">
        <v>313</v>
      </c>
      <c r="J106" s="15" t="s">
        <v>314</v>
      </c>
      <c r="K106" s="16" t="s">
        <v>315</v>
      </c>
      <c r="L106" s="16">
        <v>2.8E-3</v>
      </c>
      <c r="M106" s="16" t="s">
        <v>316</v>
      </c>
      <c r="N106" s="47" t="s">
        <v>317</v>
      </c>
      <c r="O106" s="48"/>
      <c r="P106" s="49"/>
      <c r="R106" s="28">
        <f t="shared" si="6"/>
        <v>6.480000000000004</v>
      </c>
      <c r="S106" s="29">
        <f t="shared" si="7"/>
        <v>5.1185932033567291E-2</v>
      </c>
      <c r="T106" s="29">
        <f t="shared" si="8"/>
        <v>0.18097740136166521</v>
      </c>
      <c r="U106" s="29">
        <f t="shared" si="9"/>
        <v>9.2749718312907958E-2</v>
      </c>
      <c r="V106" s="29">
        <f t="shared" si="10"/>
        <v>1.0331541953473562E-3</v>
      </c>
    </row>
    <row r="107" spans="2:22" ht="15" customHeight="1" x14ac:dyDescent="0.4">
      <c r="B107" s="15" t="s">
        <v>318</v>
      </c>
      <c r="C107" s="16" t="s">
        <v>27</v>
      </c>
      <c r="D107" s="31" t="str">
        <f>IF(D$85,IFERROR(IFERROR(D$50^-0.25/($L$107+D103/(D86*$D$66)+1/(D89*$D$66*(1-D88)*D90)),"–"),"–"),"–")</f>
        <v>–</v>
      </c>
      <c r="E107" s="31">
        <f>IF(E$85,IFERROR(IFERROR(E$50^-0.25/($L$107+E103/(E86*$D$66)+1/(E89*$D$66*(1-E88)*E90)),"–"),"–"),"–")</f>
        <v>5.543217537256835E-3</v>
      </c>
      <c r="F107" s="31">
        <f>IF(F$85,IFERROR(IFERROR(F$50^-0.25/($L$107+F103/(F86*$D$66)+1/(F89*$D$66*(1-F88)*F90)),"–"),"–"),"–")</f>
        <v>1.1510329506437666E-3</v>
      </c>
      <c r="G107" s="31">
        <f>IF(G$85,IFERROR(IFERROR(G$50^-0.25/($L$107+G103/(G86*$D$66)+1/(G89*$D$66*(1-G88)*G90)),"–"),"–"),"–")</f>
        <v>1.603864267786663E-2</v>
      </c>
      <c r="H107" s="12" t="s">
        <v>319</v>
      </c>
      <c r="J107" s="15" t="s">
        <v>320</v>
      </c>
      <c r="K107" s="16" t="s">
        <v>321</v>
      </c>
      <c r="L107" s="16">
        <v>1.1E-5</v>
      </c>
      <c r="M107" s="16" t="s">
        <v>316</v>
      </c>
      <c r="N107" s="47" t="s">
        <v>317</v>
      </c>
      <c r="O107" s="48"/>
      <c r="P107" s="49"/>
      <c r="R107" s="28">
        <f t="shared" si="6"/>
        <v>6.5600000000000041</v>
      </c>
      <c r="S107" s="29">
        <f t="shared" si="7"/>
        <v>5.1460003337645457E-2</v>
      </c>
      <c r="T107" s="29">
        <f t="shared" si="8"/>
        <v>0.18099944359644968</v>
      </c>
      <c r="U107" s="29">
        <f t="shared" si="9"/>
        <v>9.3612904803903829E-2</v>
      </c>
      <c r="V107" s="29">
        <f t="shared" si="10"/>
        <v>1.0436265794499019E-3</v>
      </c>
    </row>
    <row r="108" spans="2:22" ht="15" customHeight="1" x14ac:dyDescent="0.4">
      <c r="J108" s="15" t="s">
        <v>322</v>
      </c>
      <c r="K108" s="16" t="s">
        <v>301</v>
      </c>
      <c r="L108" s="16">
        <v>4600</v>
      </c>
      <c r="M108" s="16" t="s">
        <v>316</v>
      </c>
      <c r="N108" s="47" t="s">
        <v>317</v>
      </c>
      <c r="O108" s="48"/>
      <c r="P108" s="49"/>
      <c r="R108" s="28">
        <f t="shared" si="6"/>
        <v>6.6400000000000041</v>
      </c>
      <c r="S108" s="29">
        <f t="shared" si="7"/>
        <v>5.1729130442633782E-2</v>
      </c>
      <c r="T108" s="29">
        <f t="shared" si="8"/>
        <v>0.18101984795459269</v>
      </c>
      <c r="U108" s="29">
        <f t="shared" si="9"/>
        <v>9.4470315120419382E-2</v>
      </c>
      <c r="V108" s="29">
        <f t="shared" si="10"/>
        <v>1.0540289169121259E-3</v>
      </c>
    </row>
    <row r="109" spans="2:22" ht="18" customHeight="1" x14ac:dyDescent="0.4">
      <c r="B109" s="8" t="s">
        <v>323</v>
      </c>
      <c r="C109" s="9"/>
      <c r="D109" s="9"/>
      <c r="E109" s="9"/>
      <c r="F109" s="9"/>
      <c r="G109" s="9"/>
      <c r="H109" s="9"/>
      <c r="J109" s="15" t="s">
        <v>324</v>
      </c>
      <c r="K109" s="16" t="s">
        <v>301</v>
      </c>
      <c r="L109" s="16">
        <v>68</v>
      </c>
      <c r="M109" s="16" t="s">
        <v>316</v>
      </c>
      <c r="N109" s="47" t="s">
        <v>317</v>
      </c>
      <c r="O109" s="48"/>
      <c r="P109" s="49"/>
      <c r="R109" s="28">
        <f t="shared" si="6"/>
        <v>6.7200000000000042</v>
      </c>
      <c r="S109" s="29">
        <f t="shared" si="7"/>
        <v>5.1993402541031727E-2</v>
      </c>
      <c r="T109" s="29">
        <f t="shared" si="8"/>
        <v>0.18103873961435721</v>
      </c>
      <c r="U109" s="29">
        <f t="shared" si="9"/>
        <v>9.5321987630664073E-2</v>
      </c>
      <c r="V109" s="29">
        <f t="shared" si="10"/>
        <v>1.064361670580923E-3</v>
      </c>
    </row>
    <row r="110" spans="2:22" ht="15" customHeight="1" x14ac:dyDescent="0.4">
      <c r="B110" s="13" t="s">
        <v>112</v>
      </c>
      <c r="C110" s="14" t="s">
        <v>177</v>
      </c>
      <c r="D110" s="14" t="s">
        <v>18</v>
      </c>
      <c r="E110" s="14" t="s">
        <v>19</v>
      </c>
      <c r="F110" s="14" t="s">
        <v>20</v>
      </c>
      <c r="G110" s="14" t="s">
        <v>21</v>
      </c>
      <c r="H110" s="14" t="s">
        <v>178</v>
      </c>
      <c r="J110" s="15" t="s">
        <v>325</v>
      </c>
      <c r="K110" s="16" t="s">
        <v>326</v>
      </c>
      <c r="L110" s="16">
        <v>7.5000000000000002E-4</v>
      </c>
      <c r="M110" s="16" t="s">
        <v>327</v>
      </c>
      <c r="N110" s="47" t="s">
        <v>328</v>
      </c>
      <c r="O110" s="48"/>
      <c r="P110" s="49"/>
      <c r="R110" s="28">
        <f t="shared" si="6"/>
        <v>6.8000000000000043</v>
      </c>
      <c r="S110" s="29">
        <f t="shared" si="7"/>
        <v>5.225290721632142E-2</v>
      </c>
      <c r="T110" s="29">
        <f t="shared" si="8"/>
        <v>0.18105623412195923</v>
      </c>
      <c r="U110" s="29">
        <f t="shared" si="9"/>
        <v>9.6167960469774175E-2</v>
      </c>
      <c r="V110" s="29">
        <f t="shared" si="10"/>
        <v>1.0746253006867711E-3</v>
      </c>
    </row>
    <row r="111" spans="2:22" ht="15" customHeight="1" x14ac:dyDescent="0.4">
      <c r="B111" s="15" t="s">
        <v>329</v>
      </c>
      <c r="C111" s="16" t="s">
        <v>330</v>
      </c>
      <c r="D111" s="31" t="str">
        <f>IF(D$85,IFERROR(IFERROR(INDEX($K$82:$K$94,MATCH(D$46,$J$82:$J$94,0))*D$50^0.75,"–"),"–"),"–")</f>
        <v>–</v>
      </c>
      <c r="E111" s="31" t="str">
        <f>IF(E$85,IFERROR(IFERROR(INDEX($K$82:$K$94,MATCH(E$46,$J$82:$J$94,0))*E$50^0.75,"–"),"–"),"–")</f>
        <v>–</v>
      </c>
      <c r="F111" s="31" t="str">
        <f>IF(F$85,IFERROR(IFERROR(INDEX($K$82:$K$94,MATCH(F$46,$J$82:$J$94,0))*F$50^0.75,"–"),"–"),"–")</f>
        <v>–</v>
      </c>
      <c r="G111" s="31">
        <f>IF(G$85,IFERROR(IFERROR(INDEX($K$82:$K$94,MATCH(G$46,$J$82:$J$94,0))*G$50^0.75,"–"),"–"),"–")</f>
        <v>751.43542620194694</v>
      </c>
      <c r="H111" s="12" t="s">
        <v>331</v>
      </c>
      <c r="J111" s="15" t="s">
        <v>332</v>
      </c>
      <c r="K111" s="16" t="s">
        <v>333</v>
      </c>
      <c r="L111" s="16">
        <v>5.9999999999999995E-4</v>
      </c>
      <c r="M111" s="16" t="s">
        <v>327</v>
      </c>
      <c r="N111" s="47" t="s">
        <v>317</v>
      </c>
      <c r="O111" s="48"/>
      <c r="P111" s="49"/>
      <c r="R111" s="28">
        <f t="shared" si="6"/>
        <v>6.8800000000000043</v>
      </c>
      <c r="S111" s="29">
        <f t="shared" si="7"/>
        <v>5.2507730471994085E-2</v>
      </c>
      <c r="T111" s="29">
        <f t="shared" si="8"/>
        <v>0.18107243813390508</v>
      </c>
      <c r="U111" s="29">
        <f t="shared" si="9"/>
        <v>9.7008271539537574E-2</v>
      </c>
      <c r="V111" s="29">
        <f t="shared" si="10"/>
        <v>1.0848202648229982E-3</v>
      </c>
    </row>
    <row r="112" spans="2:22" ht="15" customHeight="1" x14ac:dyDescent="0.4">
      <c r="B112" s="15" t="s">
        <v>334</v>
      </c>
      <c r="C112" s="16" t="s">
        <v>335</v>
      </c>
      <c r="D112" s="31" t="str">
        <f>IF(D$85,IFERROR(IFERROR(D111*$L$113,"–"),"–"),"–")</f>
        <v>–</v>
      </c>
      <c r="E112" s="31" t="str">
        <f>IF(E$85,IFERROR(IFERROR(E111*$L$113,"–"),"–"),"–")</f>
        <v>–</v>
      </c>
      <c r="F112" s="31" t="str">
        <f>IF(F$85,IFERROR(IFERROR(F111*$L$113,"–"),"–"),"–")</f>
        <v>–</v>
      </c>
      <c r="G112" s="31">
        <f>IF(G$85,IFERROR(IFERROR(G111*$L$113,"–"),"–"),"–")</f>
        <v>526.00479834136286</v>
      </c>
      <c r="H112" s="12" t="s">
        <v>336</v>
      </c>
      <c r="J112" s="15" t="s">
        <v>337</v>
      </c>
      <c r="K112" s="16" t="s">
        <v>338</v>
      </c>
      <c r="L112" s="16">
        <v>0</v>
      </c>
      <c r="M112" s="16" t="s">
        <v>27</v>
      </c>
      <c r="N112" s="47" t="s">
        <v>339</v>
      </c>
      <c r="O112" s="48"/>
      <c r="P112" s="49"/>
      <c r="R112" s="28">
        <f t="shared" si="6"/>
        <v>6.9600000000000044</v>
      </c>
      <c r="S112" s="29">
        <f t="shared" si="7"/>
        <v>5.2757956760052772E-2</v>
      </c>
      <c r="T112" s="29">
        <f t="shared" si="8"/>
        <v>0.18108745010209557</v>
      </c>
      <c r="U112" s="29">
        <f t="shared" si="9"/>
        <v>9.7842958508261982E-2</v>
      </c>
      <c r="V112" s="29">
        <f t="shared" si="10"/>
        <v>1.0949470179283272E-3</v>
      </c>
    </row>
    <row r="113" spans="2:22" ht="15" customHeight="1" x14ac:dyDescent="0.4">
      <c r="B113" s="15" t="s">
        <v>340</v>
      </c>
      <c r="C113" s="16" t="s">
        <v>341</v>
      </c>
      <c r="D113" s="31" t="str">
        <f>IF(D$85,IFERROR(IFERROR(1/D112,"–"),"–"),"–")</f>
        <v>–</v>
      </c>
      <c r="E113" s="31" t="str">
        <f>IF(E$85,IFERROR(IFERROR(1/E112,"–"),"–"),"–")</f>
        <v>–</v>
      </c>
      <c r="F113" s="31" t="str">
        <f>IF(F$85,IFERROR(IFERROR(1/F112,"–"),"–"),"–")</f>
        <v>–</v>
      </c>
      <c r="G113" s="31">
        <f>IF(G$85,IFERROR(IFERROR(1/G112,"–"),"–"),"–")</f>
        <v>1.9011233417513943E-3</v>
      </c>
      <c r="H113" s="12" t="s">
        <v>342</v>
      </c>
      <c r="J113" s="15" t="s">
        <v>343</v>
      </c>
      <c r="K113" s="16" t="s">
        <v>27</v>
      </c>
      <c r="L113" s="16">
        <v>0.7</v>
      </c>
      <c r="M113" s="16" t="s">
        <v>27</v>
      </c>
      <c r="N113" s="47" t="s">
        <v>344</v>
      </c>
      <c r="O113" s="48"/>
      <c r="P113" s="49"/>
      <c r="R113" s="28">
        <f t="shared" si="6"/>
        <v>7.0400000000000045</v>
      </c>
      <c r="S113" s="29">
        <f t="shared" si="7"/>
        <v>5.3003669009000963E-2</v>
      </c>
      <c r="T113" s="29">
        <f t="shared" si="8"/>
        <v>0.18110136090611018</v>
      </c>
      <c r="U113" s="29">
        <f t="shared" si="9"/>
        <v>9.8672058810774468E-2</v>
      </c>
      <c r="V113" s="29">
        <f t="shared" si="10"/>
        <v>1.1050060122723979E-3</v>
      </c>
    </row>
    <row r="114" spans="2:22" ht="15" customHeight="1" x14ac:dyDescent="0.4">
      <c r="B114" s="15" t="s">
        <v>345</v>
      </c>
      <c r="C114" s="16" t="s">
        <v>346</v>
      </c>
      <c r="D114" s="31" t="str">
        <f>IF(D$85,IFERROR(IFERROR(INDEX($L$82:$L$94,MATCH(D$46,$J$82:$J$94,0))*D$50^0.75,"–"),"–"),"–")</f>
        <v>–</v>
      </c>
      <c r="E114" s="31" t="str">
        <f>IF(E$85,IFERROR(IFERROR(INDEX($L$82:$L$94,MATCH(E$46,$J$82:$J$94,0))*E$50^0.75,"–"),"–"),"–")</f>
        <v>–</v>
      </c>
      <c r="F114" s="31" t="str">
        <f>IF(F$85,IFERROR(IFERROR(INDEX($L$82:$L$94,MATCH(F$46,$J$82:$J$94,0))*F$50^0.75,"–"),"–"),"–")</f>
        <v>–</v>
      </c>
      <c r="G114" s="31">
        <f>IF(G$85,IFERROR(IFERROR(INDEX($L$82:$L$94,MATCH(G$46,$J$82:$J$94,0))*G$50^0.75,"–"),"–"),"–")</f>
        <v>394.01565367407284</v>
      </c>
      <c r="H114" s="12" t="s">
        <v>347</v>
      </c>
      <c r="J114" s="15" t="s">
        <v>348</v>
      </c>
      <c r="K114" s="16" t="s">
        <v>27</v>
      </c>
      <c r="L114" s="16">
        <v>0.1</v>
      </c>
      <c r="M114" s="16" t="s">
        <v>27</v>
      </c>
      <c r="N114" s="47" t="s">
        <v>349</v>
      </c>
      <c r="O114" s="48"/>
      <c r="P114" s="49"/>
      <c r="R114" s="28">
        <f t="shared" si="6"/>
        <v>7.1200000000000045</v>
      </c>
      <c r="S114" s="29">
        <f t="shared" si="7"/>
        <v>5.3244948651326222E-2</v>
      </c>
      <c r="T114" s="29">
        <f t="shared" si="8"/>
        <v>0.18111425443674403</v>
      </c>
      <c r="U114" s="29">
        <f t="shared" si="9"/>
        <v>9.9495609648541677E-2</v>
      </c>
      <c r="V114" s="29">
        <f t="shared" si="10"/>
        <v>1.1149976974440001E-3</v>
      </c>
    </row>
    <row r="115" spans="2:22" ht="15" customHeight="1" x14ac:dyDescent="0.4">
      <c r="B115" s="15" t="s">
        <v>350</v>
      </c>
      <c r="C115" s="16" t="s">
        <v>351</v>
      </c>
      <c r="D115" s="31" t="str">
        <f>IF(D$85,IFERROR(IFERROR(1/(1+(D114/D112)*(1/$D$75)),"–"),"–"),"–")</f>
        <v>–</v>
      </c>
      <c r="E115" s="31" t="str">
        <f>IF(E$85,IFERROR(IFERROR(1/(1+(E114/E112)*(1/$D$75)),"–"),"–"),"–")</f>
        <v>–</v>
      </c>
      <c r="F115" s="31" t="str">
        <f>IF(F$85,IFERROR(IFERROR(1/(1+(F114/F112)*(1/$D$75)),"–"),"–"),"–")</f>
        <v>–</v>
      </c>
      <c r="G115" s="31">
        <f>IF(G$85,IFERROR(IFERROR(1/(1+(G114/G112)*(1/$D$75)),"–"),"–"),"–")</f>
        <v>0.9999999997756821</v>
      </c>
      <c r="H115" s="12" t="s">
        <v>352</v>
      </c>
      <c r="J115" s="15" t="s">
        <v>353</v>
      </c>
      <c r="K115" s="16" t="s">
        <v>27</v>
      </c>
      <c r="L115" s="16">
        <v>0.7</v>
      </c>
      <c r="M115" s="16" t="s">
        <v>27</v>
      </c>
      <c r="N115" s="47" t="s">
        <v>354</v>
      </c>
      <c r="O115" s="48"/>
      <c r="P115" s="49"/>
      <c r="R115" s="28">
        <f t="shared" si="6"/>
        <v>7.2000000000000046</v>
      </c>
      <c r="S115" s="29">
        <f t="shared" si="7"/>
        <v>5.3481875650488078E-2</v>
      </c>
      <c r="T115" s="29">
        <f t="shared" si="8"/>
        <v>0.18112620813455602</v>
      </c>
      <c r="U115" s="29">
        <f t="shared" si="9"/>
        <v>0.10031364798990036</v>
      </c>
      <c r="V115" s="29">
        <f t="shared" si="10"/>
        <v>1.124922520341774E-3</v>
      </c>
    </row>
    <row r="116" spans="2:22" ht="15" customHeight="1" x14ac:dyDescent="0.4">
      <c r="B116" s="15" t="s">
        <v>355</v>
      </c>
      <c r="C116" s="16" t="s">
        <v>356</v>
      </c>
      <c r="D116" s="31" t="str">
        <f>IF(D$85,IFERROR(IFERROR(1/(D115*D112),"–"),"–"),"–")</f>
        <v>–</v>
      </c>
      <c r="E116" s="31" t="str">
        <f>IF(E$85,IFERROR(IFERROR(1/(E115*E112),"–"),"–"),"–")</f>
        <v>–</v>
      </c>
      <c r="F116" s="31" t="str">
        <f>IF(F$85,IFERROR(IFERROR(1/(F115*F112),"–"),"–"),"–")</f>
        <v>–</v>
      </c>
      <c r="G116" s="31">
        <f>IF(G$85,IFERROR(IFERROR(1/(G115*G112),"–"),"–"),"–")</f>
        <v>1.9011233421778501E-3</v>
      </c>
      <c r="H116" s="12" t="s">
        <v>357</v>
      </c>
      <c r="J116" s="15" t="s">
        <v>358</v>
      </c>
      <c r="K116" s="16" t="s">
        <v>27</v>
      </c>
      <c r="L116" s="16">
        <v>0.02</v>
      </c>
      <c r="M116" s="16" t="s">
        <v>27</v>
      </c>
      <c r="N116" s="47" t="s">
        <v>359</v>
      </c>
      <c r="O116" s="48"/>
      <c r="P116" s="49"/>
      <c r="R116" s="28">
        <f t="shared" si="6"/>
        <v>7.2800000000000047</v>
      </c>
      <c r="S116" s="29">
        <f t="shared" si="7"/>
        <v>5.3714528527419023E-2</v>
      </c>
      <c r="T116" s="29">
        <f t="shared" si="8"/>
        <v>0.18113729348689725</v>
      </c>
      <c r="U116" s="29">
        <f t="shared" si="9"/>
        <v>0.10112621057038902</v>
      </c>
      <c r="V116" s="29">
        <f t="shared" si="10"/>
        <v>1.1347809251671605E-3</v>
      </c>
    </row>
    <row r="117" spans="2:22" ht="15" customHeight="1" x14ac:dyDescent="0.4">
      <c r="J117" s="15" t="s">
        <v>360</v>
      </c>
      <c r="K117" s="16" t="s">
        <v>361</v>
      </c>
      <c r="L117" s="16">
        <v>0.01</v>
      </c>
      <c r="M117" s="16" t="s">
        <v>157</v>
      </c>
      <c r="N117" s="47" t="s">
        <v>362</v>
      </c>
      <c r="O117" s="48"/>
      <c r="P117" s="49"/>
      <c r="R117" s="28">
        <f t="shared" si="6"/>
        <v>7.3600000000000048</v>
      </c>
      <c r="S117" s="29">
        <f t="shared" si="7"/>
        <v>5.3942984386547467E-2</v>
      </c>
      <c r="T117" s="29">
        <f t="shared" si="8"/>
        <v>0.18114757648662091</v>
      </c>
      <c r="U117" s="29">
        <f t="shared" si="9"/>
        <v>0.10193333389317218</v>
      </c>
      <c r="V117" s="29">
        <f t="shared" si="10"/>
        <v>1.1445733534193997E-3</v>
      </c>
    </row>
    <row r="118" spans="2:22" ht="18" customHeight="1" x14ac:dyDescent="0.4">
      <c r="B118" s="8" t="s">
        <v>363</v>
      </c>
      <c r="C118" s="9"/>
      <c r="D118" s="9"/>
      <c r="E118" s="9"/>
      <c r="F118" s="9"/>
      <c r="G118" s="9"/>
      <c r="H118" s="9"/>
      <c r="R118" s="28">
        <f t="shared" si="6"/>
        <v>7.4400000000000048</v>
      </c>
      <c r="S118" s="29">
        <f t="shared" si="7"/>
        <v>5.4167318941351218E-2</v>
      </c>
      <c r="T118" s="29">
        <f t="shared" si="8"/>
        <v>0.18115711805542825</v>
      </c>
      <c r="U118" s="29">
        <f t="shared" si="9"/>
        <v>0.10273505422954905</v>
      </c>
      <c r="V118" s="29">
        <f t="shared" si="10"/>
        <v>1.1543002438923991E-3</v>
      </c>
    </row>
    <row r="119" spans="2:22" ht="15" customHeight="1" x14ac:dyDescent="0.4">
      <c r="B119" s="13" t="s">
        <v>112</v>
      </c>
      <c r="C119" s="14" t="s">
        <v>177</v>
      </c>
      <c r="D119" s="14" t="s">
        <v>18</v>
      </c>
      <c r="E119" s="14" t="s">
        <v>19</v>
      </c>
      <c r="F119" s="14" t="s">
        <v>20</v>
      </c>
      <c r="G119" s="14" t="s">
        <v>21</v>
      </c>
      <c r="H119" s="14" t="s">
        <v>178</v>
      </c>
      <c r="J119" s="25" t="s">
        <v>364</v>
      </c>
      <c r="K119" s="25"/>
      <c r="L119" s="25"/>
      <c r="M119" s="25"/>
      <c r="N119" s="25"/>
      <c r="O119" s="25"/>
      <c r="P119" s="25"/>
      <c r="R119" s="28">
        <f t="shared" si="6"/>
        <v>7.5200000000000049</v>
      </c>
      <c r="S119" s="29">
        <f t="shared" si="7"/>
        <v>5.438760653944999E-2</v>
      </c>
      <c r="T119" s="29">
        <f t="shared" si="8"/>
        <v>0.18116597443457733</v>
      </c>
      <c r="U119" s="29">
        <f t="shared" si="9"/>
        <v>0.10353140761953974</v>
      </c>
      <c r="V119" s="29">
        <f t="shared" si="10"/>
        <v>1.1639620326733065E-3</v>
      </c>
    </row>
    <row r="120" spans="2:22" ht="15" customHeight="1" x14ac:dyDescent="0.4">
      <c r="B120" s="15" t="s">
        <v>365</v>
      </c>
      <c r="C120" s="16" t="s">
        <v>366</v>
      </c>
      <c r="D120" s="31" t="str">
        <f>IF(D$85,IFERROR(IFERROR(INDEX($M$82:$M$94,MATCH(D$46,$J$82:$J$94,0))*D$50^-0.25,"–"),"–"),"–")</f>
        <v>–</v>
      </c>
      <c r="E120" s="31" t="str">
        <f>IF(E$85,IFERROR(IFERROR(INDEX($M$82:$M$94,MATCH(E$46,$J$82:$J$94,0))*E$50^-0.25,"–"),"–"),"–")</f>
        <v>–</v>
      </c>
      <c r="F120" s="31" t="str">
        <f>IF(F$85,IFERROR(IFERROR(INDEX($M$82:$M$94,MATCH(F$46,$J$82:$J$94,0))*F$50^-0.25,"–"),"–"),"–")</f>
        <v>–</v>
      </c>
      <c r="G120" s="31">
        <f>IF(G$85,IFERROR(IFERROR(INDEX($M$82:$M$94,MATCH(G$46,$J$82:$J$94,0))*G$50^-0.25,"–"),"–"),"–")</f>
        <v>4.0662090162443016</v>
      </c>
      <c r="H120" s="12" t="s">
        <v>367</v>
      </c>
      <c r="J120" s="13" t="s">
        <v>368</v>
      </c>
      <c r="K120" s="14" t="s">
        <v>369</v>
      </c>
      <c r="L120" s="14" t="s">
        <v>72</v>
      </c>
      <c r="M120" s="14" t="s">
        <v>370</v>
      </c>
      <c r="N120" s="14" t="s">
        <v>371</v>
      </c>
      <c r="O120" s="14" t="s">
        <v>372</v>
      </c>
      <c r="P120" s="14" t="s">
        <v>373</v>
      </c>
      <c r="R120" s="28">
        <f t="shared" si="6"/>
        <v>7.600000000000005</v>
      </c>
      <c r="S120" s="29">
        <f t="shared" si="7"/>
        <v>5.4603920187245261E-2</v>
      </c>
      <c r="T120" s="29">
        <f t="shared" si="8"/>
        <v>0.18117419754547084</v>
      </c>
      <c r="U120" s="29">
        <f t="shared" si="9"/>
        <v>0.10432242987254174</v>
      </c>
      <c r="V120" s="29">
        <f t="shared" si="10"/>
        <v>1.1735591531426366E-3</v>
      </c>
    </row>
    <row r="121" spans="2:22" ht="15" customHeight="1" x14ac:dyDescent="0.4">
      <c r="B121" s="15" t="s">
        <v>374</v>
      </c>
      <c r="C121" s="16" t="s">
        <v>375</v>
      </c>
      <c r="D121" s="16">
        <f t="shared" ref="D121:G123" si="11">IF(D$85,IFERROR(D91*$L$114,"–"),"–")</f>
        <v>0</v>
      </c>
      <c r="E121" s="16">
        <f t="shared" si="11"/>
        <v>2E-3</v>
      </c>
      <c r="F121" s="16">
        <f t="shared" si="11"/>
        <v>4.0000000000000001E-3</v>
      </c>
      <c r="G121" s="16">
        <f t="shared" si="11"/>
        <v>8.9999999999999993E-3</v>
      </c>
      <c r="H121" s="12" t="s">
        <v>376</v>
      </c>
      <c r="J121" s="15" t="s">
        <v>377</v>
      </c>
      <c r="K121" s="27">
        <f>IFERROR(IF($F$22="None",$F$25,INDEX($L$121:$P$121,MATCH($F$22,$L$120:$P$120,0))),"–")</f>
        <v>1.012</v>
      </c>
      <c r="L121" s="23">
        <f>IFERROR(0.15+$F$25,"–")</f>
        <v>1.3119999999999998</v>
      </c>
      <c r="M121" s="23">
        <f>IFERROR(0.15+$F$25,"–")</f>
        <v>1.3119999999999998</v>
      </c>
      <c r="N121" s="23">
        <f>IFERROR(-0.15+$F$25,"–")</f>
        <v>1.012</v>
      </c>
      <c r="O121" s="23">
        <f>IFERROR(-0.15+$F$25,"–")</f>
        <v>1.012</v>
      </c>
      <c r="P121" s="23">
        <f>IFERROR(-0.15+$F$25,"–")</f>
        <v>1.012</v>
      </c>
      <c r="R121" s="28">
        <f t="shared" si="6"/>
        <v>7.680000000000005</v>
      </c>
      <c r="S121" s="29">
        <f t="shared" si="7"/>
        <v>5.4816331574115598E-2</v>
      </c>
      <c r="T121" s="29">
        <f t="shared" si="8"/>
        <v>0.18118183532244583</v>
      </c>
      <c r="U121" s="29">
        <f t="shared" si="9"/>
        <v>0.10510815656805092</v>
      </c>
      <c r="V121" s="29">
        <f t="shared" si="10"/>
        <v>1.1830920359758178E-3</v>
      </c>
    </row>
    <row r="122" spans="2:22" ht="15" customHeight="1" x14ac:dyDescent="0.4">
      <c r="B122" s="15" t="s">
        <v>378</v>
      </c>
      <c r="C122" s="16" t="s">
        <v>379</v>
      </c>
      <c r="D122" s="16">
        <f t="shared" si="11"/>
        <v>1E-3</v>
      </c>
      <c r="E122" s="16">
        <f t="shared" si="11"/>
        <v>1E-3</v>
      </c>
      <c r="F122" s="16">
        <f t="shared" si="11"/>
        <v>1E-3</v>
      </c>
      <c r="G122" s="16">
        <f t="shared" si="11"/>
        <v>1E-3</v>
      </c>
      <c r="H122" s="12"/>
      <c r="J122" s="15" t="s">
        <v>380</v>
      </c>
      <c r="K122" s="27">
        <f>IFERROR(IF($F$22="None",$F$26,INDEX($L$122:$P$122,MATCH($F$22,$L$120:$P$120,0))),"–")</f>
        <v>5.1805240000000019</v>
      </c>
      <c r="L122" s="23">
        <f>IFERROR(1.224+0.908*$F$25+0.827*$F$26+0.453*$F$29,"–")</f>
        <v>4.3781572000000004</v>
      </c>
      <c r="M122" s="23">
        <f>IFERROR(4.692+4.639*$F$25-2.9*$F$26+5.326*$F$27+5.218*$F$28-0.776*$F$20,"–")</f>
        <v>8.2874220000000065</v>
      </c>
      <c r="N122" s="23">
        <f>IFERROR(0.463+0.473*$F$26+2.419*$F$28,"–")</f>
        <v>5.1805240000000019</v>
      </c>
      <c r="O122" s="23">
        <f>IFERROR(0.463+0.473*$F$26+2.419*$F$28,"–")</f>
        <v>5.1805240000000019</v>
      </c>
      <c r="P122" s="23">
        <f>IFERROR(0.463+0.473*$F$26+2.419*$F$28,"–")</f>
        <v>5.1805240000000019</v>
      </c>
      <c r="R122" s="28">
        <f t="shared" si="6"/>
        <v>7.7600000000000051</v>
      </c>
      <c r="S122" s="29">
        <f t="shared" si="7"/>
        <v>5.5024911096175542E-2</v>
      </c>
      <c r="T122" s="29">
        <f t="shared" si="8"/>
        <v>0.18118893201990821</v>
      </c>
      <c r="U122" s="29">
        <f t="shared" si="9"/>
        <v>0.10588862305644113</v>
      </c>
      <c r="V122" s="29">
        <f t="shared" si="10"/>
        <v>1.1925611091460309E-3</v>
      </c>
    </row>
    <row r="123" spans="2:22" ht="15" customHeight="1" x14ac:dyDescent="0.4">
      <c r="B123" s="15" t="s">
        <v>381</v>
      </c>
      <c r="C123" s="16" t="s">
        <v>382</v>
      </c>
      <c r="D123" s="16">
        <f t="shared" si="11"/>
        <v>4.0000000000000001E-3</v>
      </c>
      <c r="E123" s="16">
        <f t="shared" si="11"/>
        <v>1.3000000000000001E-2</v>
      </c>
      <c r="F123" s="16">
        <f t="shared" si="11"/>
        <v>1.7999999999999999E-2</v>
      </c>
      <c r="G123" s="16">
        <f t="shared" si="11"/>
        <v>2.1000000000000001E-2</v>
      </c>
      <c r="H123" s="12"/>
      <c r="J123" s="15" t="s">
        <v>383</v>
      </c>
      <c r="K123" s="27">
        <f>IFERROR(IF($F$22="None",$F$27,INDEX($L$123:$P$123,MATCH($F$22,$L$120:$P$120,0))),"–")</f>
        <v>2.1193</v>
      </c>
      <c r="L123" s="23">
        <f>IFERROR(-0.208-0.058*$F$26+0.354*$F$27+0.076*$F$29,"–")</f>
        <v>-5.638559999999998E-2</v>
      </c>
      <c r="M123" s="23">
        <v>0</v>
      </c>
      <c r="N123" s="23">
        <f>IFERROR(-0.052-0.35*$F$25+1.48*$F$26+0.327*3,"–")</f>
        <v>2.4462999999999999</v>
      </c>
      <c r="O123" s="23">
        <f>IFERROR(-0.052-0.35*$F$25+1.48*$F$26+0.327*2,"–")</f>
        <v>2.1193</v>
      </c>
      <c r="P123" s="23">
        <f>IFERROR(-0.052-0.35*$F$25+1.48*$F$26+0.327*1,"–")</f>
        <v>1.7923</v>
      </c>
      <c r="R123" s="28">
        <f t="shared" si="6"/>
        <v>7.8400000000000052</v>
      </c>
      <c r="S123" s="29">
        <f t="shared" si="7"/>
        <v>5.5229727879605853E-2</v>
      </c>
      <c r="T123" s="29">
        <f t="shared" si="8"/>
        <v>0.18119552849579043</v>
      </c>
      <c r="U123" s="29">
        <f t="shared" si="9"/>
        <v>0.10666386445979704</v>
      </c>
      <c r="V123" s="29">
        <f t="shared" si="10"/>
        <v>1.2019667979282288E-3</v>
      </c>
    </row>
    <row r="124" spans="2:22" ht="15" customHeight="1" x14ac:dyDescent="0.4">
      <c r="B124" s="15" t="s">
        <v>384</v>
      </c>
      <c r="C124" s="16" t="s">
        <v>385</v>
      </c>
      <c r="D124" s="16">
        <f>IF(D$85,IFERROR(1-(D121+D122+D123),"–"),"–")</f>
        <v>0.995</v>
      </c>
      <c r="E124" s="16">
        <f>IF(E$85,IFERROR(1-(E121+E122+E123),"–"),"–")</f>
        <v>0.98399999999999999</v>
      </c>
      <c r="F124" s="16">
        <f>IF(F$85,IFERROR(1-(F121+F122+F123),"–"),"–")</f>
        <v>0.97699999999999998</v>
      </c>
      <c r="G124" s="16">
        <f>IF(G$85,IFERROR(1-(G121+G122+G123),"–"),"–")</f>
        <v>0.96899999999999997</v>
      </c>
      <c r="H124" s="12"/>
      <c r="J124" s="15" t="s">
        <v>386</v>
      </c>
      <c r="K124" s="27">
        <f>IFERROR(IF($F$22="None",$F$28,INDEX($L$124:$P$124,MATCH($F$22,$L$120:$P$120,0))),"–")</f>
        <v>0</v>
      </c>
      <c r="L124" s="23">
        <f>IFERROR(2.15-0.204*$F$26+1.217*$F$28+0.314*$F$29,"–")</f>
        <v>4.6585976000000011</v>
      </c>
      <c r="M124" s="23">
        <f>IFERROR(1.7+1.103*$F$25-0.732*$F$26+0.728*$F$27+0.564*$F$28-0.0255*$F$20,"–")</f>
        <v>2.8469830000000003</v>
      </c>
      <c r="N124" s="23">
        <v>0</v>
      </c>
      <c r="O124" s="23">
        <v>0</v>
      </c>
      <c r="P124" s="23">
        <v>0</v>
      </c>
      <c r="R124" s="28">
        <f t="shared" si="6"/>
        <v>7.9200000000000053</v>
      </c>
      <c r="S124" s="29">
        <f t="shared" si="7"/>
        <v>5.5430849803562908E-2</v>
      </c>
      <c r="T124" s="29">
        <f t="shared" si="8"/>
        <v>0.18120166247315778</v>
      </c>
      <c r="U124" s="29">
        <f t="shared" si="9"/>
        <v>0.10743391567279545</v>
      </c>
      <c r="V124" s="29">
        <f t="shared" si="10"/>
        <v>1.2113095249042304E-3</v>
      </c>
    </row>
    <row r="125" spans="2:22" ht="15" customHeight="1" x14ac:dyDescent="0.4">
      <c r="B125" s="15" t="s">
        <v>387</v>
      </c>
      <c r="C125" s="16" t="s">
        <v>388</v>
      </c>
      <c r="D125" s="31">
        <f>IF(D$85,IFERROR(IFERROR(1/(1+($D$80*(D123*$L$115))+($D$81*(D123*(1-$L$115)))+(D97*(D121+D122))),"–"),"–"),"–")</f>
        <v>0.98990852986491584</v>
      </c>
      <c r="E125" s="31">
        <f>IF(E$85,IFERROR(IFERROR(1/(1+($D$80*(E123*$L$115))+($D$81*(E123*(1-$L$115)))+(E97*(E121+E122))),"–"),"–"),"–")</f>
        <v>0.96886235315878499</v>
      </c>
      <c r="F125" s="31">
        <f>IF(F$85,IFERROR(IFERROR(1/(1+($D$80*(F123*$L$115))+($D$81*(F123*(1-$L$115)))+(F97*(F121+F122))),"–"),"–"),"–")</f>
        <v>0.95432496929306521</v>
      </c>
      <c r="G125" s="31">
        <f>IF(G$85,IFERROR(IFERROR(1/(1+($D$80*(G123*$L$115))+($D$81*(G123*(1-$L$115)))+(G97*(G121+G122))),"–"),"–"),"–")</f>
        <v>0.93249452793122922</v>
      </c>
      <c r="H125" s="12" t="s">
        <v>389</v>
      </c>
      <c r="J125" s="15" t="s">
        <v>390</v>
      </c>
      <c r="K125" s="27">
        <f>IFERROR(IF($F$22="None",$F$29,INDEX($L$125:$P$125,MATCH($F$22,$L$120:$P$120,0))),"–")</f>
        <v>2.2819000000000003</v>
      </c>
      <c r="L125" s="23">
        <f>IFERROR(-0.0215+$F$29,"–")</f>
        <v>2.2389000000000001</v>
      </c>
      <c r="M125" s="23">
        <f>IFERROR(-0.0215+$F$29,"–")</f>
        <v>2.2389000000000001</v>
      </c>
      <c r="N125" s="23">
        <f>IFERROR(0.0215+$F$29,"–")</f>
        <v>2.2819000000000003</v>
      </c>
      <c r="O125" s="23">
        <f>IFERROR(0.0215+$F$29,"–")</f>
        <v>2.2819000000000003</v>
      </c>
      <c r="P125" s="23">
        <f>IFERROR(0.0215+$F$29,"–")</f>
        <v>2.2819000000000003</v>
      </c>
      <c r="R125" s="28">
        <f t="shared" si="6"/>
        <v>8.0000000000000053</v>
      </c>
      <c r="S125" s="29">
        <f t="shared" si="7"/>
        <v>5.562834352267481E-2</v>
      </c>
      <c r="T125" s="29">
        <f t="shared" si="8"/>
        <v>0.18120736878164809</v>
      </c>
      <c r="U125" s="29">
        <f t="shared" si="9"/>
        <v>0.10819881136363062</v>
      </c>
      <c r="V125" s="29">
        <f t="shared" si="10"/>
        <v>1.2205897099687962E-3</v>
      </c>
    </row>
    <row r="126" spans="2:22" ht="15" customHeight="1" x14ac:dyDescent="0.4">
      <c r="B126" s="15" t="s">
        <v>391</v>
      </c>
      <c r="C126" s="16" t="s">
        <v>392</v>
      </c>
      <c r="D126" s="31">
        <f>IF(D$85,IFERROR(IFERROR(D101/(D124+D123*$D$80+(D122+D121)*D97),"–"),"–"),"–")</f>
        <v>1.1707472023940908</v>
      </c>
      <c r="E126" s="31">
        <f>IF(E$85,IFERROR(IFERROR(E101/(E124+E123*$D$80+(E122+E121)*E97),"–"),"–"),"–")</f>
        <v>1.2985122386203753</v>
      </c>
      <c r="F126" s="31">
        <f>IF(F$85,IFERROR(IFERROR(F101/(F124+F123*$D$80+(F122+F121)*F97),"–"),"–"),"–")</f>
        <v>1.4048331923525141</v>
      </c>
      <c r="G126" s="31">
        <f>IF(G$85,IFERROR(IFERROR(G101/(G124+G123*$D$80+(G122+G121)*G97),"–"),"–"),"–")</f>
        <v>1.549027665590059</v>
      </c>
      <c r="H126" s="12" t="s">
        <v>393</v>
      </c>
      <c r="J126" s="15" t="s">
        <v>394</v>
      </c>
      <c r="K126" s="27">
        <f>IFERROR(IF($F$22="None",0,INDEX($L$126:$P$126,MATCH($F$22,$L$120:$P$120,0))),"–")</f>
        <v>2.2912120000000007</v>
      </c>
      <c r="L126" s="23">
        <v>0</v>
      </c>
      <c r="M126" s="23">
        <v>0</v>
      </c>
      <c r="N126" s="23">
        <f>IFERROR(0.628+1.002*$F$25-0.794*$F$26+1.128*$F$28-0.191*3,"–")</f>
        <v>2.1002120000000009</v>
      </c>
      <c r="O126" s="23">
        <f>IFERROR(0.628+1.002*$F$25-0.794*$F$26+1.128*$F$28-0.191*2,"–")</f>
        <v>2.2912120000000007</v>
      </c>
      <c r="P126" s="23">
        <f>IFERROR(0.628+1.002*$F$25-0.794*$F$26+1.128*$F$28-0.191*1,"–")</f>
        <v>2.482212000000001</v>
      </c>
      <c r="R126" s="28">
        <f t="shared" si="6"/>
        <v>8.0800000000000054</v>
      </c>
      <c r="S126" s="29">
        <f t="shared" si="7"/>
        <v>5.5822274489131643E-2</v>
      </c>
      <c r="T126" s="29">
        <f t="shared" si="8"/>
        <v>0.18121267958029993</v>
      </c>
      <c r="U126" s="29">
        <f t="shared" si="9"/>
        <v>0.10895858597497937</v>
      </c>
      <c r="V126" s="29">
        <f t="shared" si="10"/>
        <v>1.2298077703365962E-3</v>
      </c>
    </row>
    <row r="127" spans="2:22" ht="15" customHeight="1" x14ac:dyDescent="0.4">
      <c r="B127" s="15" t="s">
        <v>250</v>
      </c>
      <c r="C127" s="16" t="s">
        <v>395</v>
      </c>
      <c r="D127" s="16" t="str">
        <f>IF(D$85,IFERROR(IFERROR(INDEX($N$82:$N$94,MATCH(D$46,$J$82:$J$94,0)),"–"),"–"),"–")</f>
        <v>–</v>
      </c>
      <c r="E127" s="16" t="str">
        <f>IF(E$85,IFERROR(IFERROR(INDEX($N$82:$N$94,MATCH(E$46,$J$82:$J$94,0)),"–"),"–"),"–")</f>
        <v>–</v>
      </c>
      <c r="F127" s="16" t="str">
        <f>IF(F$85,IFERROR(IFERROR(INDEX($N$82:$N$94,MATCH(F$46,$J$82:$J$94,0)),"–"),"–"),"–")</f>
        <v>–</v>
      </c>
      <c r="G127" s="16">
        <f>IF(G$85,IFERROR(IFERROR(INDEX($N$82:$N$94,MATCH(G$46,$J$82:$J$94,0)),"–"),"–"),"–")</f>
        <v>7</v>
      </c>
      <c r="H127" s="12" t="s">
        <v>396</v>
      </c>
      <c r="J127" s="15" t="s">
        <v>397</v>
      </c>
      <c r="K127" s="27">
        <f>IFERROR(IF($F$22="None",0,INDEX($L$127:$P$127,MATCH($F$22,$L$120:$P$120,0))),"–")</f>
        <v>0</v>
      </c>
      <c r="L127" s="23">
        <f>IFERROR(1.793+0.267*$F$25-0.195*$F$26+0.35*$F$29,"–")</f>
        <v>2.6408939999999999</v>
      </c>
      <c r="M127" s="23">
        <f>IFERROR(2.165+2.579*$F$25-1.504*$F$26+1.708*$F$27+0.045*$F$28-0.217*$F$20,"–")</f>
        <v>1.3945560000000001</v>
      </c>
      <c r="N127" s="23">
        <v>0</v>
      </c>
      <c r="O127" s="23">
        <v>0</v>
      </c>
      <c r="P127" s="23">
        <v>0</v>
      </c>
      <c r="R127" s="28">
        <f t="shared" si="6"/>
        <v>8.1600000000000055</v>
      </c>
      <c r="S127" s="29">
        <f t="shared" si="7"/>
        <v>5.6012706974377269E-2</v>
      </c>
      <c r="T127" s="29">
        <f t="shared" si="8"/>
        <v>0.18121762456320398</v>
      </c>
      <c r="U127" s="29">
        <f t="shared" si="9"/>
        <v>0.10971327372500221</v>
      </c>
      <c r="V127" s="29">
        <f t="shared" si="10"/>
        <v>1.2389641205499892E-3</v>
      </c>
    </row>
    <row r="128" spans="2:22" ht="15" customHeight="1" x14ac:dyDescent="0.4">
      <c r="B128" s="15" t="s">
        <v>398</v>
      </c>
      <c r="C128" s="16" t="s">
        <v>399</v>
      </c>
      <c r="D128" s="24" t="str">
        <f>IF(D$85,IFERROR(IFERROR(IF($F$21="Acidic",1/(1+10^(D127-$F$20)),IF($F$21="Basic",1/(1+10^($F$20-D127)),1)),"–"),"–"),"–")</f>
        <v>–</v>
      </c>
      <c r="E128" s="24" t="str">
        <f>IF(E$85,IFERROR(IFERROR(IF($F$21="Acidic",1/(1+10^(E127-$F$20)),IF($F$21="Basic",1/(1+10^($F$20-E127)),1)),"–"),"–"),"–")</f>
        <v>–</v>
      </c>
      <c r="F128" s="24" t="str">
        <f>IF(F$85,IFERROR(IFERROR(IF($F$21="Acidic",1/(1+10^(F127-$F$20)),IF($F$21="Basic",1/(1+10^($F$20-F127)),1)),"–"),"–"),"–")</f>
        <v>–</v>
      </c>
      <c r="G128" s="24">
        <f>IF(G$85,IFERROR(IFERROR(IF($F$21="Acidic",1/(1+10^(G127-$F$20)),IF($F$21="Basic",1/(1+10^($F$20-G127)),1)),"–"),"–"),"–")</f>
        <v>1.1735187905818E-3</v>
      </c>
      <c r="H128" s="12" t="s">
        <v>400</v>
      </c>
      <c r="J128" s="12" t="s">
        <v>401</v>
      </c>
      <c r="R128" s="28">
        <f t="shared" si="6"/>
        <v>8.2400000000000055</v>
      </c>
      <c r="S128" s="29">
        <f t="shared" si="7"/>
        <v>5.619970409040978E-2</v>
      </c>
      <c r="T128" s="29">
        <f t="shared" si="8"/>
        <v>0.18122223114930208</v>
      </c>
      <c r="U128" s="29">
        <f t="shared" si="9"/>
        <v>0.11046290860837697</v>
      </c>
      <c r="V128" s="29">
        <f t="shared" si="10"/>
        <v>1.2480591724875439E-3</v>
      </c>
    </row>
    <row r="129" spans="2:22" ht="15" customHeight="1" x14ac:dyDescent="0.4">
      <c r="B129" s="15" t="s">
        <v>402</v>
      </c>
      <c r="C129" s="16" t="s">
        <v>403</v>
      </c>
      <c r="D129" s="31" t="str">
        <f>IF(D$85,IFERROR(IFERROR(D128*10^$F$16+(1-D128)*10^$F$17,"–"),"–"),"–")</f>
        <v>–</v>
      </c>
      <c r="E129" s="31" t="str">
        <f>IF(E$85,IFERROR(IFERROR(E128*10^$F$16+(1-E128)*10^$F$17,"–"),"–"),"–")</f>
        <v>–</v>
      </c>
      <c r="F129" s="31" t="str">
        <f>IF(F$85,IFERROR(IFERROR(F128*10^$F$16+(1-F128)*10^$F$17,"–"),"–"),"–")</f>
        <v>–</v>
      </c>
      <c r="G129" s="31">
        <f>IF(G$85,IFERROR(IFERROR(G128*10^$F$16+(1-G128)*10^$F$17,"–"),"–"),"–")</f>
        <v>3.9072960773230809</v>
      </c>
      <c r="H129" s="12"/>
      <c r="R129" s="28">
        <f t="shared" si="6"/>
        <v>8.3200000000000056</v>
      </c>
      <c r="S129" s="29">
        <f t="shared" si="7"/>
        <v>5.6383327810697707E-2</v>
      </c>
      <c r="T129" s="29">
        <f t="shared" si="8"/>
        <v>0.18122652465755634</v>
      </c>
      <c r="U129" s="29">
        <f t="shared" si="9"/>
        <v>0.11120752439736169</v>
      </c>
      <c r="V129" s="29">
        <f t="shared" si="10"/>
        <v>1.2570933353732289E-3</v>
      </c>
    </row>
    <row r="130" spans="2:22" ht="15" customHeight="1" x14ac:dyDescent="0.4">
      <c r="B130" s="15" t="s">
        <v>404</v>
      </c>
      <c r="C130" s="16" t="s">
        <v>405</v>
      </c>
      <c r="D130" s="24" t="str">
        <f>IF(D$85,IFERROR(IFERROR(D128*(1/(1+10^-(LOG10(D129)-1))),"–"),"–"),"–")</f>
        <v>–</v>
      </c>
      <c r="E130" s="24" t="str">
        <f>IF(E$85,IFERROR(IFERROR(E128*(1/(1+10^-(LOG10(E129)-1))),"–"),"–"),"–")</f>
        <v>–</v>
      </c>
      <c r="F130" s="24" t="str">
        <f>IF(F$85,IFERROR(IFERROR(F128*(1/(1+10^-(LOG10(F129)-1))),"–"),"–"),"–")</f>
        <v>–</v>
      </c>
      <c r="G130" s="24">
        <f>IF(G$85,IFERROR(IFERROR(G128*(1/(1+10^-(LOG10(G129)-1))),"–"),"–"),"–")</f>
        <v>3.2970358447907461E-4</v>
      </c>
      <c r="H130" s="12" t="s">
        <v>406</v>
      </c>
      <c r="R130" s="28">
        <f t="shared" si="6"/>
        <v>8.4000000000000057</v>
      </c>
      <c r="S130" s="29">
        <f t="shared" si="7"/>
        <v>5.6563638990718881E-2</v>
      </c>
      <c r="T130" s="29">
        <f t="shared" si="8"/>
        <v>0.18123052846861615</v>
      </c>
      <c r="U130" s="29">
        <f t="shared" si="9"/>
        <v>0.11194715464288373</v>
      </c>
      <c r="V130" s="29">
        <f t="shared" si="10"/>
        <v>1.2660670157862161E-3</v>
      </c>
    </row>
    <row r="131" spans="2:22" ht="15" customHeight="1" x14ac:dyDescent="0.4">
      <c r="R131" s="28">
        <f t="shared" si="6"/>
        <v>8.4800000000000058</v>
      </c>
      <c r="S131" s="29">
        <f t="shared" si="7"/>
        <v>5.67406973881288E-2</v>
      </c>
      <c r="T131" s="29">
        <f t="shared" si="8"/>
        <v>0.18123426417402405</v>
      </c>
      <c r="U131" s="29">
        <f t="shared" si="9"/>
        <v>0.11268183267565246</v>
      </c>
      <c r="V131" s="29">
        <f t="shared" si="10"/>
        <v>1.2749806176712334E-3</v>
      </c>
    </row>
    <row r="132" spans="2:22" ht="18" customHeight="1" x14ac:dyDescent="0.4">
      <c r="B132" s="8" t="s">
        <v>407</v>
      </c>
      <c r="C132" s="9"/>
      <c r="D132" s="9"/>
      <c r="E132" s="9"/>
      <c r="F132" s="9"/>
      <c r="G132" s="9"/>
      <c r="H132" s="9"/>
      <c r="R132" s="28">
        <f t="shared" si="6"/>
        <v>8.5600000000000058</v>
      </c>
      <c r="S132" s="29">
        <f t="shared" si="7"/>
        <v>5.691456168256516E-2</v>
      </c>
      <c r="T132" s="29">
        <f t="shared" si="8"/>
        <v>0.1812377517139214</v>
      </c>
      <c r="U132" s="29">
        <f t="shared" si="9"/>
        <v>0.11341159160729296</v>
      </c>
      <c r="V132" s="29">
        <f t="shared" si="10"/>
        <v>1.2838345423494214E-3</v>
      </c>
    </row>
    <row r="133" spans="2:22" ht="15" customHeight="1" x14ac:dyDescent="0.4">
      <c r="B133" s="13" t="s">
        <v>22</v>
      </c>
      <c r="C133" s="14" t="s">
        <v>177</v>
      </c>
      <c r="D133" s="14" t="s">
        <v>18</v>
      </c>
      <c r="E133" s="14" t="s">
        <v>19</v>
      </c>
      <c r="F133" s="14" t="s">
        <v>20</v>
      </c>
      <c r="G133" s="14" t="s">
        <v>21</v>
      </c>
      <c r="H133" s="14" t="s">
        <v>178</v>
      </c>
      <c r="R133" s="28">
        <f t="shared" si="6"/>
        <v>8.6400000000000059</v>
      </c>
      <c r="S133" s="29">
        <f t="shared" si="7"/>
        <v>5.7085289495095108E-2</v>
      </c>
      <c r="T133" s="29">
        <f t="shared" si="8"/>
        <v>0.18124100950414029</v>
      </c>
      <c r="U133" s="29">
        <f t="shared" si="9"/>
        <v>0.11413646433149828</v>
      </c>
      <c r="V133" s="29">
        <f t="shared" si="10"/>
        <v>1.2926291885296424E-3</v>
      </c>
    </row>
    <row r="134" spans="2:22" ht="15" customHeight="1" x14ac:dyDescent="0.4">
      <c r="B134" s="15" t="s">
        <v>408</v>
      </c>
      <c r="C134" s="16" t="s">
        <v>409</v>
      </c>
      <c r="D134" s="16">
        <f>IF(ISNUMBER(L14),IF(L14&gt;0,1,0),0)</f>
        <v>1</v>
      </c>
      <c r="E134" s="16">
        <f>IF(ISNUMBER(M14),IF(M14&gt;0,1,0),0)</f>
        <v>1</v>
      </c>
      <c r="F134" s="16">
        <f>IF(ISNUMBER(N14),IF(N14&gt;0,1,0),0)</f>
        <v>1</v>
      </c>
      <c r="G134" s="16">
        <f>IF(ISNUMBER(O14),IF(O14&gt;0,1,0),0)</f>
        <v>1</v>
      </c>
      <c r="H134" s="12" t="s">
        <v>410</v>
      </c>
      <c r="R134" s="28">
        <f t="shared" si="6"/>
        <v>8.720000000000006</v>
      </c>
      <c r="S134" s="29">
        <f t="shared" si="7"/>
        <v>5.7252937407311667E-2</v>
      </c>
      <c r="T134" s="29">
        <f t="shared" si="8"/>
        <v>0.18124405455350034</v>
      </c>
      <c r="U134" s="29">
        <f t="shared" si="9"/>
        <v>0.11485648352519831</v>
      </c>
      <c r="V134" s="29">
        <f t="shared" si="10"/>
        <v>1.3013649523201966E-3</v>
      </c>
    </row>
    <row r="135" spans="2:22" ht="15" customHeight="1" x14ac:dyDescent="0.4">
      <c r="B135" s="15" t="s">
        <v>411</v>
      </c>
      <c r="C135" s="16" t="s">
        <v>412</v>
      </c>
      <c r="D135" s="16">
        <f>D134*1</f>
        <v>1</v>
      </c>
      <c r="E135" s="16">
        <f>E134*2</f>
        <v>2</v>
      </c>
      <c r="F135" s="16">
        <f>F134*3</f>
        <v>3</v>
      </c>
      <c r="G135" s="16">
        <f>G134*4</f>
        <v>4</v>
      </c>
      <c r="R135" s="28">
        <f t="shared" si="6"/>
        <v>8.800000000000006</v>
      </c>
      <c r="S135" s="29">
        <f t="shared" si="7"/>
        <v>5.7417560980085679E-2</v>
      </c>
      <c r="T135" s="29">
        <f t="shared" si="8"/>
        <v>0.18124690257206516</v>
      </c>
      <c r="U135" s="29">
        <f t="shared" si="9"/>
        <v>0.11557168164974313</v>
      </c>
      <c r="V135" s="29">
        <f t="shared" si="10"/>
        <v>1.3100422272409088E-3</v>
      </c>
    </row>
    <row r="136" spans="2:22" ht="15" customHeight="1" x14ac:dyDescent="0.4">
      <c r="B136" s="15" t="s">
        <v>413</v>
      </c>
      <c r="C136" s="16" t="s">
        <v>414</v>
      </c>
      <c r="D136" s="23">
        <f>IF(D134=1,LOG10(L14),0)</f>
        <v>-1.177972567177473</v>
      </c>
      <c r="E136" s="23">
        <f>IF(E134=1,LOG10(M14),0)</f>
        <v>-0.74158387193734543</v>
      </c>
      <c r="F136" s="23">
        <f>IF(F134=1,LOG10(N14),0)</f>
        <v>-0.65431440906390081</v>
      </c>
      <c r="G136" s="23">
        <f>IF(G134=1,LOG10(O14),0)</f>
        <v>-2.585498799061249</v>
      </c>
      <c r="H136" s="12" t="s">
        <v>415</v>
      </c>
      <c r="R136" s="28">
        <f t="shared" si="6"/>
        <v>8.8800000000000061</v>
      </c>
      <c r="S136" s="29">
        <f t="shared" si="7"/>
        <v>5.7579214771979442E-2</v>
      </c>
      <c r="T136" s="29">
        <f t="shared" si="8"/>
        <v>0.18124956807105586</v>
      </c>
      <c r="U136" s="29">
        <f t="shared" si="9"/>
        <v>0.11628209095209904</v>
      </c>
      <c r="V136" s="29">
        <f t="shared" si="10"/>
        <v>1.3186614042355453E-3</v>
      </c>
    </row>
    <row r="137" spans="2:22" ht="15" customHeight="1" x14ac:dyDescent="0.4">
      <c r="R137" s="28">
        <f t="shared" si="6"/>
        <v>8.9600000000000062</v>
      </c>
      <c r="S137" s="29">
        <f t="shared" si="7"/>
        <v>5.7737952357328204E-2</v>
      </c>
      <c r="T137" s="29">
        <f t="shared" si="8"/>
        <v>0.18125206445506453</v>
      </c>
      <c r="U137" s="29">
        <f t="shared" si="9"/>
        <v>0.11698774346605571</v>
      </c>
      <c r="V137" s="29">
        <f t="shared" si="10"/>
        <v>1.3272228716845267E-3</v>
      </c>
    </row>
    <row r="138" spans="2:22" ht="15" customHeight="1" x14ac:dyDescent="0.4">
      <c r="R138" s="28">
        <f t="shared" si="6"/>
        <v>9.0400000000000063</v>
      </c>
      <c r="S138" s="29">
        <f t="shared" si="7"/>
        <v>5.7893826343995432E-2</v>
      </c>
      <c r="T138" s="29">
        <f t="shared" si="8"/>
        <v>0.18125440410716157</v>
      </c>
      <c r="U138" s="29">
        <f t="shared" si="9"/>
        <v>0.11768867101344277</v>
      </c>
      <c r="V138" s="29">
        <f t="shared" si="10"/>
        <v>1.3357270154179075E-3</v>
      </c>
    </row>
    <row r="139" spans="2:22" ht="15" customHeight="1" x14ac:dyDescent="0.4">
      <c r="R139" s="28">
        <f t="shared" si="6"/>
        <v>9.1200000000000063</v>
      </c>
      <c r="S139" s="29">
        <f t="shared" si="7"/>
        <v>5.8046888390807801E-2</v>
      </c>
      <c r="T139" s="29">
        <f t="shared" si="8"/>
        <v>0.1812565984674446</v>
      </c>
      <c r="U139" s="29">
        <f t="shared" si="9"/>
        <v>0.11838490520535444</v>
      </c>
      <c r="V139" s="29">
        <f t="shared" si="10"/>
        <v>1.3441742187285915E-3</v>
      </c>
    </row>
    <row r="140" spans="2:22" ht="15" customHeight="1" x14ac:dyDescent="0.4">
      <c r="R140" s="28">
        <f t="shared" si="6"/>
        <v>9.2000000000000064</v>
      </c>
      <c r="S140" s="29">
        <f t="shared" si="7"/>
        <v>5.8197189224675663E-2</v>
      </c>
      <c r="T140" s="29">
        <f t="shared" si="8"/>
        <v>0.18125865810553465</v>
      </c>
      <c r="U140" s="29">
        <f t="shared" si="9"/>
        <v>0.11907647744338104</v>
      </c>
      <c r="V140" s="29">
        <f t="shared" si="10"/>
        <v>1.3525648623857554E-3</v>
      </c>
    </row>
    <row r="141" spans="2:22" x14ac:dyDescent="0.4">
      <c r="R141" s="28">
        <f t="shared" si="6"/>
        <v>9.2800000000000065</v>
      </c>
      <c r="S141" s="29">
        <f t="shared" si="7"/>
        <v>5.8344778657404645E-2</v>
      </c>
      <c r="T141" s="29">
        <f t="shared" si="8"/>
        <v>0.18126059278748616</v>
      </c>
      <c r="U141" s="29">
        <f t="shared" si="9"/>
        <v>0.11976341892084594</v>
      </c>
      <c r="V141" s="29">
        <f t="shared" si="10"/>
        <v>1.3608993246484601E-3</v>
      </c>
    </row>
    <row r="142" spans="2:22" x14ac:dyDescent="0.4">
      <c r="R142" s="28">
        <f t="shared" si="6"/>
        <v>9.3600000000000065</v>
      </c>
      <c r="S142" s="29">
        <f t="shared" si="7"/>
        <v>5.8489705602203984E-2</v>
      </c>
      <c r="T142" s="29">
        <f t="shared" si="8"/>
        <v>0.18126241153754155</v>
      </c>
      <c r="U142" s="29">
        <f t="shared" si="9"/>
        <v>0.12044576062404709</v>
      </c>
      <c r="V142" s="29">
        <f t="shared" si="10"/>
        <v>1.3691779812794224E-3</v>
      </c>
    </row>
    <row r="143" spans="2:22" x14ac:dyDescent="0.4">
      <c r="R143" s="28">
        <f t="shared" si="6"/>
        <v>9.4400000000000066</v>
      </c>
      <c r="S143" s="29">
        <f t="shared" si="7"/>
        <v>5.8632018089897056E-2</v>
      </c>
      <c r="T143" s="29">
        <f t="shared" si="8"/>
        <v>0.1812641226951279</v>
      </c>
      <c r="U143" s="29">
        <f t="shared" si="9"/>
        <v>0.12112353333350195</v>
      </c>
      <c r="V143" s="29">
        <f t="shared" si="10"/>
        <v>1.3774012055589289E-3</v>
      </c>
    </row>
    <row r="144" spans="2:22" x14ac:dyDescent="0.4">
      <c r="R144" s="28">
        <f t="shared" si="6"/>
        <v>9.5200000000000067</v>
      </c>
      <c r="S144" s="29">
        <f t="shared" si="7"/>
        <v>5.8771763284839469E-2</v>
      </c>
      <c r="T144" s="29">
        <f t="shared" si="8"/>
        <v>0.18126573396746218</v>
      </c>
      <c r="U144" s="29">
        <f t="shared" si="9"/>
        <v>0.12179676762519498</v>
      </c>
      <c r="V144" s="29">
        <f t="shared" si="10"/>
        <v>1.3855693682988742E-3</v>
      </c>
    </row>
    <row r="145" spans="18:22" x14ac:dyDescent="0.4">
      <c r="R145" s="28">
        <f t="shared" si="6"/>
        <v>9.6000000000000068</v>
      </c>
      <c r="S145" s="29">
        <f t="shared" si="7"/>
        <v>5.8908987500549966E-2</v>
      </c>
      <c r="T145" s="29">
        <f t="shared" si="8"/>
        <v>0.18126725247810418</v>
      </c>
      <c r="U145" s="29">
        <f t="shared" si="9"/>
        <v>0.12246549387182672</v>
      </c>
      <c r="V145" s="29">
        <f t="shared" si="10"/>
        <v>1.393682837856902E-3</v>
      </c>
    </row>
    <row r="146" spans="18:22" x14ac:dyDescent="0.4">
      <c r="R146" s="28">
        <f t="shared" si="6"/>
        <v>9.6800000000000068</v>
      </c>
      <c r="S146" s="29">
        <f t="shared" si="7"/>
        <v>5.9043736215059407E-2</v>
      </c>
      <c r="T146" s="29">
        <f t="shared" si="8"/>
        <v>0.18126868481176886</v>
      </c>
      <c r="U146" s="29">
        <f t="shared" si="9"/>
        <v>0.12312974224406392</v>
      </c>
      <c r="V146" s="29">
        <f t="shared" si="10"/>
        <v>1.4017419801506375E-3</v>
      </c>
    </row>
    <row r="147" spans="18:22" x14ac:dyDescent="0.4">
      <c r="R147" s="28">
        <f t="shared" si="6"/>
        <v>9.7600000000000069</v>
      </c>
      <c r="S147" s="29">
        <f t="shared" si="7"/>
        <v>5.9176054085982817E-2</v>
      </c>
      <c r="T147" s="29">
        <f t="shared" si="8"/>
        <v>0.18127003705568692</v>
      </c>
      <c r="U147" s="29">
        <f t="shared" si="9"/>
        <v>0.12378954271178969</v>
      </c>
      <c r="V147" s="29">
        <f t="shared" si="10"/>
        <v>1.4097471586719925E-3</v>
      </c>
    </row>
    <row r="148" spans="18:22" x14ac:dyDescent="0.4">
      <c r="R148" s="28">
        <f t="shared" si="6"/>
        <v>9.840000000000007</v>
      </c>
      <c r="S148" s="29">
        <f t="shared" si="7"/>
        <v>5.9305984965319532E-2</v>
      </c>
      <c r="T148" s="29">
        <f t="shared" si="8"/>
        <v>0.1812713148377797</v>
      </c>
      <c r="U148" s="29">
        <f t="shared" si="9"/>
        <v>0.12444492504535316</v>
      </c>
      <c r="V148" s="29">
        <f t="shared" si="10"/>
        <v>1.4176987345015319E-3</v>
      </c>
    </row>
    <row r="149" spans="18:22" x14ac:dyDescent="0.4">
      <c r="R149" s="28">
        <f t="shared" si="6"/>
        <v>9.920000000000007</v>
      </c>
      <c r="S149" s="29">
        <f t="shared" si="7"/>
        <v>5.9433571913986377E-2</v>
      </c>
      <c r="T149" s="29">
        <f t="shared" si="8"/>
        <v>0.18127252336189367</v>
      </c>
      <c r="U149" s="29">
        <f t="shared" si="9"/>
        <v>0.12509591881681828</v>
      </c>
      <c r="V149" s="29">
        <f t="shared" si="10"/>
        <v>1.4255970663228886E-3</v>
      </c>
    </row>
    <row r="150" spans="18:22" x14ac:dyDescent="0.4">
      <c r="R150" s="28">
        <f t="shared" si="6"/>
        <v>10.000000000000007</v>
      </c>
      <c r="S150" s="29">
        <f t="shared" si="7"/>
        <v>5.9558857216088675E-2</v>
      </c>
      <c r="T150" s="29">
        <f t="shared" si="8"/>
        <v>0.18127366744032139</v>
      </c>
      <c r="U150" s="29">
        <f t="shared" si="9"/>
        <v>0.12574255340121057</v>
      </c>
      <c r="V150" s="29">
        <f t="shared" si="10"/>
        <v>1.4334425104372147E-3</v>
      </c>
    </row>
    <row r="151" spans="18:22" x14ac:dyDescent="0.4">
      <c r="R151" s="28">
        <f t="shared" si="6"/>
        <v>10.080000000000007</v>
      </c>
      <c r="S151" s="29">
        <f t="shared" si="7"/>
        <v>5.9681882392933754E-2</v>
      </c>
      <c r="T151" s="29">
        <f t="shared" si="8"/>
        <v>0.18127475152381822</v>
      </c>
      <c r="U151" s="29">
        <f t="shared" si="9"/>
        <v>0.12638485797776217</v>
      </c>
      <c r="V151" s="29">
        <f t="shared" si="10"/>
        <v>1.4412354207776589E-3</v>
      </c>
    </row>
    <row r="152" spans="18:22" x14ac:dyDescent="0.4">
      <c r="R152" s="28">
        <f t="shared" si="6"/>
        <v>10.160000000000007</v>
      </c>
      <c r="S152" s="29">
        <f t="shared" si="7"/>
        <v>5.980268821679173E-2</v>
      </c>
      <c r="T152" s="29">
        <f t="shared" si="8"/>
        <v>0.1812757797293075</v>
      </c>
      <c r="U152" s="29">
        <f t="shared" si="9"/>
        <v>0.12702286153115389</v>
      </c>
      <c r="V152" s="29">
        <f t="shared" si="10"/>
        <v>1.4489761489238616E-3</v>
      </c>
    </row>
    <row r="153" spans="18:22" x14ac:dyDescent="0.4">
      <c r="R153" s="28">
        <f t="shared" si="6"/>
        <v>10.240000000000007</v>
      </c>
      <c r="S153" s="29">
        <f t="shared" si="7"/>
        <v>5.9921314724407995E-2</v>
      </c>
      <c r="T153" s="29">
        <f t="shared" si="8"/>
        <v>0.18127675586545275</v>
      </c>
      <c r="U153" s="29">
        <f t="shared" si="9"/>
        <v>0.12765659285275446</v>
      </c>
      <c r="V153" s="29">
        <f t="shared" si="10"/>
        <v>1.4566650441164555E-3</v>
      </c>
    </row>
    <row r="154" spans="18:22" x14ac:dyDescent="0.4">
      <c r="R154" s="28">
        <f t="shared" ref="R154:R217" si="12">R153+$S$22</f>
        <v>10.320000000000007</v>
      </c>
      <c r="S154" s="29">
        <f t="shared" ref="S154:S217" si="13">IF(S$13,S153*S$18+(S$14+S$15*IF(S$17,$D$71,0))*S$19,NA())</f>
        <v>6.0037801230271942E-2</v>
      </c>
      <c r="T154" s="29">
        <f t="shared" ref="T154:T217" si="14">IF(T$13,T153*T$18+(T$14+T$15*IF(T$17,$D$71,(S153+S154)/2))*T$19,NA())</f>
        <v>0.18127768345626097</v>
      </c>
      <c r="U154" s="29">
        <f t="shared" ref="U154:U217" si="15">IF(U$13,U153*U$18+(U$14+U$15*IF(U$17,$D$71,(T153+T154)/2))*U$19,NA())</f>
        <v>0.12828608054185628</v>
      </c>
      <c r="V154" s="29">
        <f t="shared" ref="V154:V217" si="16">IF(V$13,V153*V$18+(V$14+V$15*IF(V$17,$D$71,(U153+U154)/2))*V$19,NA())</f>
        <v>1.4643024532715676E-3</v>
      </c>
    </row>
    <row r="155" spans="18:22" x14ac:dyDescent="0.4">
      <c r="R155" s="28">
        <f t="shared" si="12"/>
        <v>10.400000000000007</v>
      </c>
      <c r="S155" s="29">
        <f t="shared" si="13"/>
        <v>6.0152186339646356E-2</v>
      </c>
      <c r="T155" s="29">
        <f t="shared" si="14"/>
        <v>0.18127856576286899</v>
      </c>
      <c r="U155" s="29">
        <f t="shared" si="15"/>
        <v>0.12891135300690743</v>
      </c>
      <c r="V155" s="29">
        <f t="shared" si="16"/>
        <v>1.4718887209953138E-3</v>
      </c>
    </row>
    <row r="156" spans="18:22" x14ac:dyDescent="0.4">
      <c r="R156" s="28">
        <f t="shared" si="12"/>
        <v>10.480000000000008</v>
      </c>
      <c r="S156" s="29">
        <f t="shared" si="13"/>
        <v>6.0264507961361735E-2</v>
      </c>
      <c r="T156" s="29">
        <f t="shared" si="14"/>
        <v>0.1812794058036529</v>
      </c>
      <c r="U156" s="29">
        <f t="shared" si="15"/>
        <v>0.12953243846673942</v>
      </c>
      <c r="V156" s="29">
        <f t="shared" si="16"/>
        <v>1.4794241895982757E-3</v>
      </c>
    </row>
    <row r="157" spans="18:22" x14ac:dyDescent="0.4">
      <c r="R157" s="28">
        <f t="shared" si="12"/>
        <v>10.560000000000008</v>
      </c>
      <c r="S157" s="29">
        <f t="shared" si="13"/>
        <v>6.0374803320379811E-2</v>
      </c>
      <c r="T157" s="29">
        <f t="shared" si="14"/>
        <v>0.18128020637278972</v>
      </c>
      <c r="U157" s="29">
        <f t="shared" si="15"/>
        <v>0.13014936495179083</v>
      </c>
      <c r="V157" s="29">
        <f t="shared" si="16"/>
        <v>1.4869091991099594E-3</v>
      </c>
    </row>
    <row r="158" spans="18:22" x14ac:dyDescent="0.4">
      <c r="R158" s="28">
        <f t="shared" si="12"/>
        <v>10.640000000000008</v>
      </c>
      <c r="S158" s="29">
        <f t="shared" si="13"/>
        <v>6.0483108970130421E-2</v>
      </c>
      <c r="T158" s="29">
        <f t="shared" si="14"/>
        <v>0.18128097005739074</v>
      </c>
      <c r="U158" s="29">
        <f t="shared" si="15"/>
        <v>0.13076216030532611</v>
      </c>
      <c r="V158" s="29">
        <f t="shared" si="16"/>
        <v>1.4943440872932274E-3</v>
      </c>
    </row>
    <row r="159" spans="18:22" x14ac:dyDescent="0.4">
      <c r="R159" s="28">
        <f t="shared" si="12"/>
        <v>10.720000000000008</v>
      </c>
      <c r="S159" s="29">
        <f t="shared" si="13"/>
        <v>6.0589460804625829E-2</v>
      </c>
      <c r="T159" s="29">
        <f t="shared" si="14"/>
        <v>0.18128169925331655</v>
      </c>
      <c r="U159" s="29">
        <f t="shared" si="15"/>
        <v>0.13137085218464947</v>
      </c>
      <c r="V159" s="29">
        <f t="shared" si="16"/>
        <v>1.5017291896586961E-3</v>
      </c>
    </row>
    <row r="160" spans="18:22" x14ac:dyDescent="0.4">
      <c r="R160" s="28">
        <f t="shared" si="12"/>
        <v>10.800000000000008</v>
      </c>
      <c r="S160" s="29">
        <f t="shared" si="13"/>
        <v>6.0693894070356497E-2</v>
      </c>
      <c r="T160" s="29">
        <f t="shared" si="14"/>
        <v>0.18128239617977515</v>
      </c>
      <c r="U160" s="29">
        <f t="shared" si="15"/>
        <v>0.13197546806231372</v>
      </c>
      <c r="V160" s="29">
        <f t="shared" si="16"/>
        <v>1.5090648394791E-3</v>
      </c>
    </row>
    <row r="161" spans="18:22" x14ac:dyDescent="0.4">
      <c r="R161" s="28">
        <f t="shared" si="12"/>
        <v>10.880000000000008</v>
      </c>
      <c r="S161" s="29">
        <f t="shared" si="13"/>
        <v>6.0796443377972284E-2</v>
      </c>
      <c r="T161" s="29">
        <f t="shared" si="14"/>
        <v>0.18128306289279741</v>
      </c>
      <c r="U161" s="29">
        <f t="shared" si="15"/>
        <v>0.13257603522732381</v>
      </c>
      <c r="V161" s="29">
        <f t="shared" si="16"/>
        <v>1.516351367803612E-3</v>
      </c>
    </row>
    <row r="162" spans="18:22" x14ac:dyDescent="0.4">
      <c r="R162" s="28">
        <f t="shared" si="12"/>
        <v>10.960000000000008</v>
      </c>
      <c r="S162" s="29">
        <f t="shared" si="13"/>
        <v>6.0897142713752885E-2</v>
      </c>
      <c r="T162" s="29">
        <f t="shared" si="14"/>
        <v>0.18128370129767588</v>
      </c>
      <c r="U162" s="29">
        <f t="shared" si="15"/>
        <v>0.13317258078633484</v>
      </c>
      <c r="V162" s="29">
        <f t="shared" si="16"/>
        <v>1.5235891034721201E-3</v>
      </c>
    </row>
    <row r="163" spans="18:22" x14ac:dyDescent="0.4">
      <c r="R163" s="28">
        <f t="shared" si="12"/>
        <v>11.040000000000008</v>
      </c>
      <c r="S163" s="29">
        <f t="shared" si="13"/>
        <v>6.0996025450871363E-2</v>
      </c>
      <c r="T163" s="29">
        <f t="shared" si="14"/>
        <v>0.18128431316044719</v>
      </c>
      <c r="U163" s="29">
        <f t="shared" si="15"/>
        <v>0.13376513166484441</v>
      </c>
      <c r="V163" s="29">
        <f t="shared" si="16"/>
        <v>1.5307783731294562E-3</v>
      </c>
    </row>
    <row r="164" spans="18:22" x14ac:dyDescent="0.4">
      <c r="R164" s="28">
        <f t="shared" si="12"/>
        <v>11.120000000000008</v>
      </c>
      <c r="S164" s="29">
        <f t="shared" si="13"/>
        <v>6.1093124360454498E-2</v>
      </c>
      <c r="T164" s="29">
        <f t="shared" si="14"/>
        <v>0.18128490011849147</v>
      </c>
      <c r="U164" s="29">
        <f t="shared" si="15"/>
        <v>0.13435371460837925</v>
      </c>
      <c r="V164" s="29">
        <f t="shared" si="16"/>
        <v>1.5379195012395703E-3</v>
      </c>
    </row>
    <row r="165" spans="18:22" x14ac:dyDescent="0.4">
      <c r="R165" s="28">
        <f t="shared" si="12"/>
        <v>11.200000000000008</v>
      </c>
      <c r="S165" s="29">
        <f t="shared" si="13"/>
        <v>6.1188471622443584E-2</v>
      </c>
      <c r="T165" s="29">
        <f t="shared" si="14"/>
        <v>0.18128546369031728</v>
      </c>
      <c r="U165" s="29">
        <f t="shared" si="15"/>
        <v>0.13493835618367583</v>
      </c>
      <c r="V165" s="29">
        <f t="shared" si="16"/>
        <v>1.5450128100996528E-3</v>
      </c>
    </row>
    <row r="166" spans="18:22" x14ac:dyDescent="0.4">
      <c r="R166" s="28">
        <f t="shared" si="12"/>
        <v>11.280000000000008</v>
      </c>
      <c r="S166" s="29">
        <f t="shared" si="13"/>
        <v>6.1282098836259333E-2</v>
      </c>
      <c r="T166" s="29">
        <f t="shared" si="14"/>
        <v>0.1812860052845941</v>
      </c>
      <c r="U166" s="29">
        <f t="shared" si="15"/>
        <v>0.13551908277985497</v>
      </c>
      <c r="V166" s="29">
        <f t="shared" si="16"/>
        <v>1.552058619854198E-3</v>
      </c>
    </row>
    <row r="167" spans="18:22" x14ac:dyDescent="0.4">
      <c r="R167" s="28">
        <f t="shared" si="12"/>
        <v>11.360000000000008</v>
      </c>
      <c r="S167" s="29">
        <f t="shared" si="13"/>
        <v>6.1374037031274337E-2</v>
      </c>
      <c r="T167" s="29">
        <f t="shared" si="14"/>
        <v>0.18128652620849092</v>
      </c>
      <c r="U167" s="29">
        <f t="shared" si="15"/>
        <v>0.13609592060959028</v>
      </c>
      <c r="V167" s="29">
        <f t="shared" si="16"/>
        <v>1.5590572485090059E-3</v>
      </c>
    </row>
    <row r="168" spans="18:22" x14ac:dyDescent="0.4">
      <c r="R168" s="28">
        <f t="shared" si="12"/>
        <v>11.440000000000008</v>
      </c>
      <c r="S168" s="29">
        <f t="shared" si="13"/>
        <v>6.1464316677096661E-2</v>
      </c>
      <c r="T168" s="29">
        <f t="shared" si="14"/>
        <v>0.18128702767537444</v>
      </c>
      <c r="U168" s="29">
        <f t="shared" si="15"/>
        <v>0.13666889571027044</v>
      </c>
      <c r="V168" s="29">
        <f t="shared" si="16"/>
        <v>1.5660090119451247E-3</v>
      </c>
    </row>
    <row r="169" spans="18:22" x14ac:dyDescent="0.4">
      <c r="R169" s="28">
        <f t="shared" si="12"/>
        <v>11.520000000000008</v>
      </c>
      <c r="S169" s="29">
        <f t="shared" si="13"/>
        <v>6.1552967693667901E-2</v>
      </c>
      <c r="T169" s="29">
        <f t="shared" si="14"/>
        <v>0.1812875108119156</v>
      </c>
      <c r="U169" s="29">
        <f t="shared" si="15"/>
        <v>0.13723803394515513</v>
      </c>
      <c r="V169" s="29">
        <f t="shared" si="16"/>
        <v>1.5729142239327269E-3</v>
      </c>
    </row>
    <row r="170" spans="18:22" x14ac:dyDescent="0.4">
      <c r="R170" s="28">
        <f t="shared" si="12"/>
        <v>11.600000000000009</v>
      </c>
      <c r="S170" s="29">
        <f t="shared" si="13"/>
        <v>6.1640019461179044E-2</v>
      </c>
      <c r="T170" s="29">
        <f t="shared" si="14"/>
        <v>0.18128797666465077</v>
      </c>
      <c r="U170" s="29">
        <f t="shared" si="15"/>
        <v>0.13780336100452448</v>
      </c>
      <c r="V170" s="29">
        <f t="shared" si="16"/>
        <v>1.5797731961449198E-3</v>
      </c>
    </row>
    <row r="171" spans="18:22" x14ac:dyDescent="0.4">
      <c r="R171" s="28">
        <f t="shared" si="12"/>
        <v>11.680000000000009</v>
      </c>
      <c r="S171" s="29">
        <f t="shared" si="13"/>
        <v>6.1725500829807517E-2</v>
      </c>
      <c r="T171" s="29">
        <f t="shared" si="14"/>
        <v>0.18128842620603897</v>
      </c>
      <c r="U171" s="29">
        <f t="shared" si="15"/>
        <v>0.13836490240682223</v>
      </c>
      <c r="V171" s="29">
        <f t="shared" si="16"/>
        <v>1.5865862381714885E-3</v>
      </c>
    </row>
    <row r="172" spans="18:22" x14ac:dyDescent="0.4">
      <c r="R172" s="28">
        <f t="shared" si="12"/>
        <v>11.760000000000009</v>
      </c>
      <c r="S172" s="29">
        <f t="shared" si="13"/>
        <v>6.1809440129278498E-2</v>
      </c>
      <c r="T172" s="29">
        <f t="shared" si="14"/>
        <v>0.18128886034005454</v>
      </c>
      <c r="U172" s="29">
        <f t="shared" si="15"/>
        <v>0.1389226834997922</v>
      </c>
      <c r="V172" s="29">
        <f t="shared" si="16"/>
        <v>1.5933536575325688E-3</v>
      </c>
    </row>
    <row r="173" spans="18:22" x14ac:dyDescent="0.4">
      <c r="R173" s="28">
        <f t="shared" si="12"/>
        <v>11.840000000000009</v>
      </c>
      <c r="S173" s="29">
        <f t="shared" si="13"/>
        <v>6.1891865178253819E-2</v>
      </c>
      <c r="T173" s="29">
        <f t="shared" si="14"/>
        <v>0.18128927990735041</v>
      </c>
      <c r="U173" s="29">
        <f t="shared" si="15"/>
        <v>0.1394767294616085</v>
      </c>
      <c r="V173" s="29">
        <f t="shared" si="16"/>
        <v>1.6000757596922519E-3</v>
      </c>
    </row>
    <row r="174" spans="18:22" x14ac:dyDescent="0.4">
      <c r="R174" s="28">
        <f t="shared" si="12"/>
        <v>11.920000000000009</v>
      </c>
      <c r="S174" s="29">
        <f t="shared" si="13"/>
        <v>6.1972803293551447E-2</v>
      </c>
      <c r="T174" s="29">
        <f t="shared" si="14"/>
        <v>0.18128968569002565</v>
      </c>
      <c r="U174" s="29">
        <f t="shared" si="15"/>
        <v>0.14002706530199885</v>
      </c>
      <c r="V174" s="29">
        <f t="shared" si="16"/>
        <v>1.6067528480721144E-3</v>
      </c>
    </row>
    <row r="175" spans="18:22" x14ac:dyDescent="0.4">
      <c r="R175" s="28">
        <f t="shared" si="12"/>
        <v>12.000000000000009</v>
      </c>
      <c r="S175" s="29">
        <f t="shared" si="13"/>
        <v>6.2052281299198653E-2</v>
      </c>
      <c r="T175" s="29">
        <f t="shared" si="14"/>
        <v>0.18129007841602721</v>
      </c>
      <c r="U175" s="29">
        <f t="shared" si="15"/>
        <v>0.14057371586336145</v>
      </c>
      <c r="V175" s="29">
        <f t="shared" si="16"/>
        <v>1.613385224064678E-3</v>
      </c>
    </row>
    <row r="176" spans="18:22" x14ac:dyDescent="0.4">
      <c r="R176" s="28">
        <f t="shared" si="12"/>
        <v>12.080000000000009</v>
      </c>
      <c r="S176" s="29">
        <f t="shared" si="13"/>
        <v>6.2130325535321884E-2</v>
      </c>
      <c r="T176" s="29">
        <f t="shared" si="14"/>
        <v>0.18129045876321453</v>
      </c>
      <c r="U176" s="29">
        <f t="shared" si="15"/>
        <v>0.14111670582187519</v>
      </c>
      <c r="V176" s="29">
        <f t="shared" si="16"/>
        <v>1.619973187046795E-3</v>
      </c>
    </row>
    <row r="177" spans="18:22" x14ac:dyDescent="0.4">
      <c r="R177" s="28">
        <f t="shared" si="12"/>
        <v>12.160000000000009</v>
      </c>
      <c r="S177" s="29">
        <f t="shared" si="13"/>
        <v>6.2206961866876249E-2</v>
      </c>
      <c r="T177" s="29">
        <f t="shared" si="14"/>
        <v>0.18129082736311256</v>
      </c>
      <c r="U177" s="29">
        <f t="shared" si="15"/>
        <v>0.14165605968860315</v>
      </c>
      <c r="V177" s="29">
        <f t="shared" si="16"/>
        <v>1.6265170343929584E-3</v>
      </c>
    </row>
    <row r="178" spans="18:22" x14ac:dyDescent="0.4">
      <c r="R178" s="28">
        <f t="shared" si="12"/>
        <v>12.240000000000009</v>
      </c>
      <c r="S178" s="29">
        <f t="shared" si="13"/>
        <v>6.2282215692217514E-2</v>
      </c>
      <c r="T178" s="29">
        <f t="shared" si="14"/>
        <v>0.18129118480437756</v>
      </c>
      <c r="U178" s="29">
        <f t="shared" si="15"/>
        <v>0.1421918018105896</v>
      </c>
      <c r="V178" s="29">
        <f t="shared" si="16"/>
        <v>1.6330170614885394E-3</v>
      </c>
    </row>
    <row r="179" spans="18:22" x14ac:dyDescent="0.4">
      <c r="R179" s="28">
        <f t="shared" si="12"/>
        <v>12.320000000000009</v>
      </c>
      <c r="S179" s="29">
        <f t="shared" si="13"/>
        <v>6.2356111951519494E-2</v>
      </c>
      <c r="T179" s="29">
        <f t="shared" si="14"/>
        <v>0.18129153163599732</v>
      </c>
      <c r="U179" s="29">
        <f t="shared" si="15"/>
        <v>0.14272395637194998</v>
      </c>
      <c r="V179" s="29">
        <f t="shared" si="16"/>
        <v>1.6394735617429464E-3</v>
      </c>
    </row>
    <row r="180" spans="18:22" x14ac:dyDescent="0.4">
      <c r="R180" s="28">
        <f t="shared" si="12"/>
        <v>12.400000000000009</v>
      </c>
      <c r="S180" s="29">
        <f t="shared" si="13"/>
        <v>6.2428675135039559E-2</v>
      </c>
      <c r="T180" s="29">
        <f t="shared" si="14"/>
        <v>0.18129186837024686</v>
      </c>
      <c r="U180" s="29">
        <f t="shared" si="15"/>
        <v>0.14325254739495458</v>
      </c>
      <c r="V180" s="29">
        <f t="shared" si="16"/>
        <v>1.6458868266027108E-3</v>
      </c>
    </row>
    <row r="181" spans="18:22" x14ac:dyDescent="0.4">
      <c r="R181" s="28">
        <f t="shared" si="12"/>
        <v>12.480000000000009</v>
      </c>
      <c r="S181" s="29">
        <f t="shared" si="13"/>
        <v>6.2499929291235067E-2</v>
      </c>
      <c r="T181" s="29">
        <f t="shared" si="14"/>
        <v>0.1812921954854177</v>
      </c>
      <c r="U181" s="29">
        <f t="shared" si="15"/>
        <v>0.14377759874110518</v>
      </c>
      <c r="V181" s="29">
        <f t="shared" si="16"/>
        <v>1.6522571455644935E-3</v>
      </c>
    </row>
    <row r="182" spans="18:22" x14ac:dyDescent="0.4">
      <c r="R182" s="28">
        <f t="shared" si="12"/>
        <v>12.560000000000009</v>
      </c>
      <c r="S182" s="29">
        <f t="shared" si="13"/>
        <v>6.256989803473334E-2</v>
      </c>
      <c r="T182" s="29">
        <f t="shared" si="14"/>
        <v>0.18129251342833883</v>
      </c>
      <c r="U182" s="29">
        <f t="shared" si="15"/>
        <v>0.14429913411220527</v>
      </c>
      <c r="V182" s="29">
        <f t="shared" si="16"/>
        <v>1.658584806188017E-3</v>
      </c>
    </row>
    <row r="183" spans="18:22" x14ac:dyDescent="0.4">
      <c r="R183" s="28">
        <f t="shared" si="12"/>
        <v>12.640000000000009</v>
      </c>
      <c r="S183" s="29">
        <f t="shared" si="13"/>
        <v>6.2638604554157901E-2</v>
      </c>
      <c r="T183" s="29">
        <f t="shared" si="14"/>
        <v>0.18129282261670498</v>
      </c>
      <c r="U183" s="29">
        <f t="shared" si="15"/>
        <v>0.14481717705142341</v>
      </c>
      <c r="V183" s="29">
        <f t="shared" si="16"/>
        <v>1.6648700941089192E-3</v>
      </c>
    </row>
    <row r="184" spans="18:22" x14ac:dyDescent="0.4">
      <c r="R184" s="28">
        <f t="shared" si="12"/>
        <v>12.72000000000001</v>
      </c>
      <c r="S184" s="29">
        <f t="shared" si="13"/>
        <v>6.2706071619813494E-2</v>
      </c>
      <c r="T184" s="29">
        <f t="shared" si="14"/>
        <v>0.18129312344122708</v>
      </c>
      <c r="U184" s="29">
        <f t="shared" si="15"/>
        <v>0.14533175094435005</v>
      </c>
      <c r="V184" s="29">
        <f t="shared" si="16"/>
        <v>1.67111329305153E-3</v>
      </c>
    </row>
    <row r="185" spans="18:22" x14ac:dyDescent="0.4">
      <c r="R185" s="28">
        <f t="shared" si="12"/>
        <v>12.80000000000001</v>
      </c>
      <c r="S185" s="29">
        <f t="shared" si="13"/>
        <v>6.2772321591232499E-2</v>
      </c>
      <c r="T185" s="29">
        <f t="shared" si="14"/>
        <v>0.18129341626761869</v>
      </c>
      <c r="U185" s="29">
        <f t="shared" si="15"/>
        <v>0.14584287902004756</v>
      </c>
      <c r="V185" s="29">
        <f t="shared" si="16"/>
        <v>1.6773146848415705E-3</v>
      </c>
    </row>
    <row r="186" spans="18:22" x14ac:dyDescent="0.4">
      <c r="R186" s="28">
        <f t="shared" si="12"/>
        <v>12.88000000000001</v>
      </c>
      <c r="S186" s="29">
        <f t="shared" si="13"/>
        <v>6.2837376424585173E-2</v>
      </c>
      <c r="T186" s="29">
        <f t="shared" si="14"/>
        <v>0.1812937014384309</v>
      </c>
      <c r="U186" s="29">
        <f t="shared" si="15"/>
        <v>0.14635058435209355</v>
      </c>
      <c r="V186" s="29">
        <f t="shared" si="16"/>
        <v>1.6834745494187741E-3</v>
      </c>
    </row>
    <row r="187" spans="18:22" x14ac:dyDescent="0.4">
      <c r="R187" s="28">
        <f t="shared" si="12"/>
        <v>12.96000000000001</v>
      </c>
      <c r="S187" s="29">
        <f t="shared" si="13"/>
        <v>6.290125767995626E-2</v>
      </c>
      <c r="T187" s="29">
        <f t="shared" si="14"/>
        <v>0.18129397927474752</v>
      </c>
      <c r="U187" s="29">
        <f t="shared" si="15"/>
        <v>0.14685488985961792</v>
      </c>
      <c r="V187" s="29">
        <f t="shared" si="16"/>
        <v>1.6895931648494313E-3</v>
      </c>
    </row>
    <row r="188" spans="18:22" x14ac:dyDescent="0.4">
      <c r="R188" s="28">
        <f t="shared" si="12"/>
        <v>13.04000000000001</v>
      </c>
      <c r="S188" s="29">
        <f t="shared" si="13"/>
        <v>6.2963986528490279E-2</v>
      </c>
      <c r="T188" s="29">
        <f t="shared" si="14"/>
        <v>0.18129425007775113</v>
      </c>
      <c r="U188" s="29">
        <f t="shared" si="15"/>
        <v>0.14735581830833275</v>
      </c>
      <c r="V188" s="29">
        <f t="shared" si="16"/>
        <v>1.6956708073388557E-3</v>
      </c>
    </row>
    <row r="189" spans="18:22" x14ac:dyDescent="0.4">
      <c r="R189" s="28">
        <f t="shared" si="12"/>
        <v>13.12000000000001</v>
      </c>
      <c r="S189" s="29">
        <f t="shared" si="13"/>
        <v>6.3025583759407949E-2</v>
      </c>
      <c r="T189" s="29">
        <f t="shared" si="14"/>
        <v>0.18129451413016992</v>
      </c>
      <c r="U189" s="29">
        <f t="shared" si="15"/>
        <v>0.14785339231155606</v>
      </c>
      <c r="V189" s="29">
        <f t="shared" si="16"/>
        <v>1.7017077512437727E-3</v>
      </c>
    </row>
    <row r="190" spans="18:22" x14ac:dyDescent="0.4">
      <c r="R190" s="28">
        <f t="shared" si="12"/>
        <v>13.20000000000001</v>
      </c>
      <c r="S190" s="29">
        <f t="shared" si="13"/>
        <v>6.3086069786896043E-2</v>
      </c>
      <c r="T190" s="29">
        <f t="shared" si="14"/>
        <v>0.18129477169761474</v>
      </c>
      <c r="U190" s="29">
        <f t="shared" si="15"/>
        <v>0.14834763433122869</v>
      </c>
      <c r="V190" s="29">
        <f t="shared" si="16"/>
        <v>1.7077042690846313E-3</v>
      </c>
    </row>
    <row r="191" spans="18:22" x14ac:dyDescent="0.4">
      <c r="R191" s="28">
        <f t="shared" si="12"/>
        <v>13.28000000000001</v>
      </c>
      <c r="S191" s="29">
        <f t="shared" si="13"/>
        <v>6.3145464656872916E-2</v>
      </c>
      <c r="T191" s="29">
        <f t="shared" si="14"/>
        <v>0.18129502302981443</v>
      </c>
      <c r="U191" s="29">
        <f t="shared" si="15"/>
        <v>0.14883856667892481</v>
      </c>
      <c r="V191" s="29">
        <f t="shared" si="16"/>
        <v>1.7136606315578369E-3</v>
      </c>
    </row>
    <row r="192" spans="18:22" x14ac:dyDescent="0.4">
      <c r="R192" s="28">
        <f t="shared" si="12"/>
        <v>13.36000000000001</v>
      </c>
      <c r="S192" s="29">
        <f t="shared" si="13"/>
        <v>6.3203788053632012E-2</v>
      </c>
      <c r="T192" s="29">
        <f t="shared" si="14"/>
        <v>0.18129526836175744</v>
      </c>
      <c r="U192" s="29">
        <f t="shared" si="15"/>
        <v>0.14932621151685582</v>
      </c>
      <c r="V192" s="29">
        <f t="shared" si="16"/>
        <v>1.7195771075479091E-3</v>
      </c>
    </row>
    <row r="193" spans="18:22" x14ac:dyDescent="0.4">
      <c r="R193" s="28">
        <f t="shared" si="12"/>
        <v>13.44000000000001</v>
      </c>
      <c r="S193" s="29">
        <f t="shared" si="13"/>
        <v>6.3261059306365525E-2</v>
      </c>
      <c r="T193" s="29">
        <f t="shared" si="14"/>
        <v>0.18129550791474711</v>
      </c>
      <c r="U193" s="29">
        <f t="shared" si="15"/>
        <v>0.14981059085886766</v>
      </c>
      <c r="V193" s="29">
        <f t="shared" si="16"/>
        <v>1.7254539641395599E-3</v>
      </c>
    </row>
    <row r="194" spans="18:22" x14ac:dyDescent="0.4">
      <c r="R194" s="28">
        <f t="shared" si="12"/>
        <v>13.52000000000001</v>
      </c>
      <c r="S194" s="29">
        <f t="shared" si="13"/>
        <v>6.3317297395570321E-2</v>
      </c>
      <c r="T194" s="29">
        <f t="shared" si="14"/>
        <v>0.18129574189737666</v>
      </c>
      <c r="U194" s="29">
        <f t="shared" si="15"/>
        <v>0.15029172657143186</v>
      </c>
      <c r="V194" s="29">
        <f t="shared" si="16"/>
        <v>1.7312914666296969E-3</v>
      </c>
    </row>
    <row r="195" spans="18:22" x14ac:dyDescent="0.4">
      <c r="R195" s="28">
        <f t="shared" si="12"/>
        <v>13.60000000000001</v>
      </c>
      <c r="S195" s="29">
        <f t="shared" si="13"/>
        <v>6.3372520959338402E-2</v>
      </c>
      <c r="T195" s="29">
        <f t="shared" si="14"/>
        <v>0.18129597050643087</v>
      </c>
      <c r="U195" s="29">
        <f t="shared" si="15"/>
        <v>0.15076964037462989</v>
      </c>
      <c r="V195" s="29">
        <f t="shared" si="16"/>
        <v>1.7370898785393492E-3</v>
      </c>
    </row>
    <row r="196" spans="18:22" x14ac:dyDescent="0.4">
      <c r="R196" s="28">
        <f t="shared" si="12"/>
        <v>13.68000000000001</v>
      </c>
      <c r="S196" s="29">
        <f t="shared" si="13"/>
        <v>6.3426748299533806E-2</v>
      </c>
      <c r="T196" s="29">
        <f t="shared" si="14"/>
        <v>0.18129619392771945</v>
      </c>
      <c r="U196" s="29">
        <f t="shared" si="15"/>
        <v>0.15124435384313129</v>
      </c>
      <c r="V196" s="29">
        <f t="shared" si="16"/>
        <v>1.7428494616255159E-3</v>
      </c>
    </row>
    <row r="197" spans="18:22" x14ac:dyDescent="0.4">
      <c r="R197" s="28">
        <f t="shared" si="12"/>
        <v>13.76000000000001</v>
      </c>
      <c r="S197" s="29">
        <f t="shared" si="13"/>
        <v>6.3479997387858061E-2</v>
      </c>
      <c r="T197" s="29">
        <f t="shared" si="14"/>
        <v>0.18129641233684746</v>
      </c>
      <c r="U197" s="29">
        <f t="shared" si="15"/>
        <v>0.15171588840716529</v>
      </c>
      <c r="V197" s="29">
        <f t="shared" si="16"/>
        <v>1.7485704758929401E-3</v>
      </c>
    </row>
    <row r="198" spans="18:22" x14ac:dyDescent="0.4">
      <c r="R198" s="28">
        <f t="shared" si="12"/>
        <v>13.840000000000011</v>
      </c>
      <c r="S198" s="29">
        <f t="shared" si="13"/>
        <v>6.3532285871806343E-2</v>
      </c>
      <c r="T198" s="29">
        <f t="shared" si="14"/>
        <v>0.1812966258999279</v>
      </c>
      <c r="U198" s="29">
        <f t="shared" si="15"/>
        <v>0.1521842653534862</v>
      </c>
      <c r="V198" s="29">
        <f t="shared" si="16"/>
        <v>1.7542531796058049E-3</v>
      </c>
    </row>
    <row r="199" spans="18:22" x14ac:dyDescent="0.4">
      <c r="R199" s="28">
        <f t="shared" si="12"/>
        <v>13.920000000000011</v>
      </c>
      <c r="S199" s="29">
        <f t="shared" si="13"/>
        <v>6.3583631080516026E-2</v>
      </c>
      <c r="T199" s="29">
        <f t="shared" si="14"/>
        <v>0.18129683477424052</v>
      </c>
      <c r="U199" s="29">
        <f t="shared" si="15"/>
        <v>0.15264950582633224</v>
      </c>
      <c r="V199" s="29">
        <f t="shared" si="16"/>
        <v>1.7598978292993565E-3</v>
      </c>
    </row>
    <row r="200" spans="18:22" x14ac:dyDescent="0.4">
      <c r="R200" s="28">
        <f t="shared" si="12"/>
        <v>14.000000000000011</v>
      </c>
      <c r="S200" s="29">
        <f t="shared" si="13"/>
        <v>6.3634050030509856E-2</v>
      </c>
      <c r="T200" s="29">
        <f t="shared" si="14"/>
        <v>0.18129703910884121</v>
      </c>
      <c r="U200" s="29">
        <f t="shared" si="15"/>
        <v>0.15311163082837831</v>
      </c>
      <c r="V200" s="29">
        <f t="shared" si="16"/>
        <v>1.7655046797914477E-3</v>
      </c>
    </row>
    <row r="201" spans="18:22" x14ac:dyDescent="0.4">
      <c r="R201" s="28">
        <f t="shared" si="12"/>
        <v>14.080000000000011</v>
      </c>
      <c r="S201" s="29">
        <f t="shared" si="13"/>
        <v>6.3683559431335413E-2</v>
      </c>
      <c r="T201" s="29">
        <f t="shared" si="14"/>
        <v>0.18129723904512571</v>
      </c>
      <c r="U201" s="29">
        <f t="shared" si="15"/>
        <v>0.15357066122168236</v>
      </c>
      <c r="V201" s="29">
        <f t="shared" si="16"/>
        <v>1.7710739841940116E-3</v>
      </c>
    </row>
    <row r="202" spans="18:22" x14ac:dyDescent="0.4">
      <c r="R202" s="28">
        <f t="shared" si="12"/>
        <v>14.160000000000011</v>
      </c>
      <c r="S202" s="29">
        <f t="shared" si="13"/>
        <v>6.3732175691102941E-2</v>
      </c>
      <c r="T202" s="29">
        <f t="shared" si="14"/>
        <v>0.18129743471735119</v>
      </c>
      <c r="U202" s="29">
        <f t="shared" si="15"/>
        <v>0.15402661772862566</v>
      </c>
      <c r="V202" s="29">
        <f t="shared" si="16"/>
        <v>1.7766059939244565E-3</v>
      </c>
    </row>
    <row r="203" spans="18:22" x14ac:dyDescent="0.4">
      <c r="R203" s="28">
        <f t="shared" si="12"/>
        <v>14.240000000000011</v>
      </c>
      <c r="S203" s="29">
        <f t="shared" si="13"/>
        <v>6.3779914921923198E-2</v>
      </c>
      <c r="T203" s="29">
        <f t="shared" si="14"/>
        <v>0.18129762625311863</v>
      </c>
      <c r="U203" s="29">
        <f t="shared" si="15"/>
        <v>0.15447952093284667</v>
      </c>
      <c r="V203" s="29">
        <f t="shared" si="16"/>
        <v>1.7821009587169882E-3</v>
      </c>
    </row>
    <row r="204" spans="18:22" x14ac:dyDescent="0.4">
      <c r="R204" s="28">
        <f t="shared" si="12"/>
        <v>14.320000000000011</v>
      </c>
      <c r="S204" s="29">
        <f t="shared" si="13"/>
        <v>6.3826792945247221E-2</v>
      </c>
      <c r="T204" s="29">
        <f t="shared" si="14"/>
        <v>0.18129781377381951</v>
      </c>
      <c r="U204" s="29">
        <f t="shared" si="15"/>
        <v>0.15492939128016894</v>
      </c>
      <c r="V204" s="29">
        <f t="shared" si="16"/>
        <v>1.7875591266338568E-3</v>
      </c>
    </row>
    <row r="205" spans="18:22" x14ac:dyDescent="0.4">
      <c r="R205" s="28">
        <f t="shared" si="12"/>
        <v>14.400000000000011</v>
      </c>
      <c r="S205" s="29">
        <f t="shared" si="13"/>
        <v>6.3872825297109831E-2</v>
      </c>
      <c r="T205" s="29">
        <f t="shared" si="14"/>
        <v>0.18129799739504907</v>
      </c>
      <c r="U205" s="29">
        <f t="shared" si="15"/>
        <v>0.15537624907952277</v>
      </c>
      <c r="V205" s="29">
        <f t="shared" si="16"/>
        <v>1.7929807440765335E-3</v>
      </c>
    </row>
    <row r="206" spans="18:22" x14ac:dyDescent="0.4">
      <c r="R206" s="28">
        <f t="shared" si="12"/>
        <v>14.480000000000011</v>
      </c>
      <c r="S206" s="29">
        <f t="shared" si="13"/>
        <v>6.391802723327844E-2</v>
      </c>
      <c r="T206" s="29">
        <f t="shared" si="14"/>
        <v>0.18129817722698899</v>
      </c>
      <c r="U206" s="29">
        <f t="shared" si="15"/>
        <v>0.1558201145038608</v>
      </c>
      <c r="V206" s="29">
        <f t="shared" si="16"/>
        <v>1.7983660557968093E-3</v>
      </c>
    </row>
    <row r="207" spans="18:22" x14ac:dyDescent="0.4">
      <c r="R207" s="28">
        <f t="shared" si="12"/>
        <v>14.560000000000011</v>
      </c>
      <c r="S207" s="29">
        <f t="shared" si="13"/>
        <v>6.396241373430904E-2</v>
      </c>
      <c r="T207" s="29">
        <f t="shared" si="14"/>
        <v>0.18129835337476163</v>
      </c>
      <c r="U207" s="29">
        <f t="shared" si="15"/>
        <v>0.15626100759106765</v>
      </c>
      <c r="V207" s="29">
        <f t="shared" si="16"/>
        <v>1.8037153049078234E-3</v>
      </c>
    </row>
    <row r="208" spans="18:22" x14ac:dyDescent="0.4">
      <c r="R208" s="28">
        <f t="shared" si="12"/>
        <v>14.640000000000011</v>
      </c>
      <c r="S208" s="29">
        <f t="shared" si="13"/>
        <v>6.4005999510510989E-2</v>
      </c>
      <c r="T208" s="29">
        <f t="shared" si="14"/>
        <v>0.1812985259387582</v>
      </c>
      <c r="U208" s="29">
        <f t="shared" si="15"/>
        <v>0.1566989482448633</v>
      </c>
      <c r="V208" s="29">
        <f t="shared" si="16"/>
        <v>1.8090287328950197E-3</v>
      </c>
    </row>
    <row r="209" spans="18:22" x14ac:dyDescent="0.4">
      <c r="R209" s="28">
        <f t="shared" si="12"/>
        <v>14.720000000000011</v>
      </c>
      <c r="S209" s="29">
        <f t="shared" si="13"/>
        <v>6.4048799006822199E-2</v>
      </c>
      <c r="T209" s="29">
        <f t="shared" si="14"/>
        <v>0.18129869501494267</v>
      </c>
      <c r="U209" s="29">
        <f t="shared" si="15"/>
        <v>0.15713395623570073</v>
      </c>
      <c r="V209" s="29">
        <f t="shared" si="16"/>
        <v>1.814306579627029E-3</v>
      </c>
    </row>
    <row r="210" spans="18:22" x14ac:dyDescent="0.4">
      <c r="R210" s="28">
        <f t="shared" si="12"/>
        <v>14.800000000000011</v>
      </c>
      <c r="S210" s="29">
        <f t="shared" si="13"/>
        <v>6.4090826407596377E-2</v>
      </c>
      <c r="T210" s="29">
        <f t="shared" si="14"/>
        <v>0.18129886069513335</v>
      </c>
      <c r="U210" s="29">
        <f t="shared" si="15"/>
        <v>0.15756605120165745</v>
      </c>
      <c r="V210" s="29">
        <f t="shared" si="16"/>
        <v>1.8195490833664814E-3</v>
      </c>
    </row>
    <row r="211" spans="18:22" x14ac:dyDescent="0.4">
      <c r="R211" s="28">
        <f t="shared" si="12"/>
        <v>14.880000000000011</v>
      </c>
      <c r="S211" s="29">
        <f t="shared" si="13"/>
        <v>6.4132095641303941E-2</v>
      </c>
      <c r="T211" s="29">
        <f t="shared" si="14"/>
        <v>0.18129902306726386</v>
      </c>
      <c r="U211" s="29">
        <f t="shared" si="15"/>
        <v>0.15799525264932121</v>
      </c>
      <c r="V211" s="29">
        <f t="shared" si="16"/>
        <v>1.8247564807807469E-3</v>
      </c>
    </row>
    <row r="212" spans="18:22" x14ac:dyDescent="0.4">
      <c r="R212" s="28">
        <f t="shared" si="12"/>
        <v>14.960000000000012</v>
      </c>
      <c r="S212" s="29">
        <f t="shared" si="13"/>
        <v>6.4172620385148094E-2</v>
      </c>
      <c r="T212" s="29">
        <f t="shared" si="14"/>
        <v>0.18129918221562505</v>
      </c>
      <c r="U212" s="29">
        <f t="shared" si="15"/>
        <v>0.15842157995466971</v>
      </c>
      <c r="V212" s="29">
        <f t="shared" si="16"/>
        <v>1.8299290069526029E-3</v>
      </c>
    </row>
    <row r="213" spans="18:22" x14ac:dyDescent="0.4">
      <c r="R213" s="28">
        <f t="shared" si="12"/>
        <v>15.040000000000012</v>
      </c>
      <c r="S213" s="29">
        <f t="shared" si="13"/>
        <v>6.421241406959767E-2</v>
      </c>
      <c r="T213" s="29">
        <f t="shared" si="14"/>
        <v>0.18129933822108923</v>
      </c>
      <c r="U213" s="29">
        <f t="shared" si="15"/>
        <v>0.15884505236394464</v>
      </c>
      <c r="V213" s="29">
        <f t="shared" si="16"/>
        <v>1.835066895390835E-3</v>
      </c>
    </row>
    <row r="214" spans="18:22" x14ac:dyDescent="0.4">
      <c r="R214" s="28">
        <f t="shared" si="12"/>
        <v>15.120000000000012</v>
      </c>
      <c r="S214" s="29">
        <f t="shared" si="13"/>
        <v>6.4251489882838159E-2</v>
      </c>
      <c r="T214" s="29">
        <f t="shared" si="14"/>
        <v>0.18129949116131822</v>
      </c>
      <c r="U214" s="29">
        <f t="shared" si="15"/>
        <v>0.15926568899451971</v>
      </c>
      <c r="V214" s="29">
        <f t="shared" si="16"/>
        <v>1.8401703780407651E-3</v>
      </c>
    </row>
    <row r="215" spans="18:22" x14ac:dyDescent="0.4">
      <c r="R215" s="28">
        <f t="shared" si="12"/>
        <v>15.200000000000012</v>
      </c>
      <c r="S215" s="29">
        <f t="shared" si="13"/>
        <v>6.4289860775142441E-2</v>
      </c>
      <c r="T215" s="29">
        <f t="shared" si="14"/>
        <v>0.18129964111095631</v>
      </c>
      <c r="U215" s="29">
        <f t="shared" si="15"/>
        <v>0.15968350883576302</v>
      </c>
      <c r="V215" s="29">
        <f t="shared" si="16"/>
        <v>1.8452396852947086E-3</v>
      </c>
    </row>
    <row r="216" spans="18:22" x14ac:dyDescent="0.4">
      <c r="R216" s="28">
        <f t="shared" si="12"/>
        <v>15.280000000000012</v>
      </c>
      <c r="S216" s="29">
        <f t="shared" si="13"/>
        <v>6.4327539463162706E-2</v>
      </c>
      <c r="T216" s="29">
        <f t="shared" si="14"/>
        <v>0.18129978814180941</v>
      </c>
      <c r="U216" s="29">
        <f t="shared" si="15"/>
        <v>0.16009853074989375</v>
      </c>
      <c r="V216" s="29">
        <f t="shared" si="16"/>
        <v>1.8502750460023662E-3</v>
      </c>
    </row>
    <row r="217" spans="18:22" x14ac:dyDescent="0.4">
      <c r="R217" s="28">
        <f t="shared" si="12"/>
        <v>15.360000000000012</v>
      </c>
      <c r="S217" s="29">
        <f t="shared" si="13"/>
        <v>6.4364538434144941E-2</v>
      </c>
      <c r="T217" s="29">
        <f t="shared" si="14"/>
        <v>0.18129993232301117</v>
      </c>
      <c r="U217" s="29">
        <f t="shared" si="15"/>
        <v>0.16051077347283305</v>
      </c>
      <c r="V217" s="29">
        <f t="shared" si="16"/>
        <v>1.8552766874811431E-3</v>
      </c>
    </row>
    <row r="218" spans="18:22" x14ac:dyDescent="0.4">
      <c r="R218" s="28">
        <f t="shared" ref="R218:R281" si="17">R217+$S$22</f>
        <v>15.440000000000012</v>
      </c>
      <c r="S218" s="29">
        <f t="shared" ref="S218:S281" si="18">IF(S$13,S217*S$18+(S$14+S$15*IF(S$17,$D$71,0))*S$19,NA())</f>
        <v>6.4400869950067371E-2</v>
      </c>
      <c r="T218" s="29">
        <f t="shared" ref="T218:T281" si="19">IF(T$13,T217*T$18+(T$14+T$15*IF(T$17,$D$71,(S217+S218)/2))*T$19,NA())</f>
        <v>0.18130007372117743</v>
      </c>
      <c r="U218" s="29">
        <f t="shared" ref="U218:U281" si="20">IF(U$13,U217*U$18+(U$14+U$15*IF(U$17,$D$71,(T217+T218)/2))*U$19,NA())</f>
        <v>0.16092025561504919</v>
      </c>
      <c r="V218" s="29">
        <f t="shared" ref="V218:V281" si="21">IF(V$13,V217*V$18+(V$14+V$15*IF(V$17,$D$71,(U217+U218)/2))*V$19,NA())</f>
        <v>1.860244835526402E-3</v>
      </c>
    </row>
    <row r="219" spans="18:22" x14ac:dyDescent="0.4">
      <c r="R219" s="28">
        <f t="shared" si="17"/>
        <v>15.520000000000012</v>
      </c>
      <c r="S219" s="29">
        <f t="shared" si="18"/>
        <v>6.4436546051704235E-2</v>
      </c>
      <c r="T219" s="29">
        <f t="shared" si="19"/>
        <v>0.18130021240054961</v>
      </c>
      <c r="U219" s="29">
        <f t="shared" si="20"/>
        <v>0.1613269956623973</v>
      </c>
      <c r="V219" s="29">
        <f t="shared" si="21"/>
        <v>1.865179714421646E-3</v>
      </c>
    </row>
    <row r="220" spans="18:22" x14ac:dyDescent="0.4">
      <c r="R220" s="28">
        <f t="shared" si="17"/>
        <v>15.600000000000012</v>
      </c>
      <c r="S220" s="29">
        <f t="shared" si="18"/>
        <v>6.4471578562616288E-2</v>
      </c>
      <c r="T220" s="29">
        <f t="shared" si="19"/>
        <v>0.18130034842312789</v>
      </c>
      <c r="U220" s="29">
        <f t="shared" si="20"/>
        <v>0.16173101197695336</v>
      </c>
      <c r="V220" s="29">
        <f t="shared" si="21"/>
        <v>1.8700815469486359E-3</v>
      </c>
    </row>
    <row r="221" spans="18:22" x14ac:dyDescent="0.4">
      <c r="R221" s="28">
        <f t="shared" si="17"/>
        <v>15.680000000000012</v>
      </c>
      <c r="S221" s="29">
        <f t="shared" si="18"/>
        <v>6.4505979093069279E-2</v>
      </c>
      <c r="T221" s="29">
        <f t="shared" si="19"/>
        <v>0.1813004818487953</v>
      </c>
      <c r="U221" s="29">
        <f t="shared" si="20"/>
        <v>0.16213232279784257</v>
      </c>
      <c r="V221" s="29">
        <f t="shared" si="21"/>
        <v>1.8749505543974388E-3</v>
      </c>
    </row>
    <row r="222" spans="18:22" x14ac:dyDescent="0.4">
      <c r="R222" s="28">
        <f t="shared" si="17"/>
        <v>15.760000000000012</v>
      </c>
      <c r="S222" s="29">
        <f t="shared" si="18"/>
        <v>6.4539759043881775E-2</v>
      </c>
      <c r="T222" s="29">
        <f t="shared" si="19"/>
        <v>0.1813006127354326</v>
      </c>
      <c r="U222" s="29">
        <f t="shared" si="20"/>
        <v>0.16253094624206246</v>
      </c>
      <c r="V222" s="29">
        <f t="shared" si="21"/>
        <v>1.8797869565764104E-3</v>
      </c>
    </row>
    <row r="223" spans="18:22" x14ac:dyDescent="0.4">
      <c r="R223" s="28">
        <f t="shared" si="17"/>
        <v>15.840000000000012</v>
      </c>
      <c r="S223" s="29">
        <f t="shared" si="18"/>
        <v>6.4572929610203528E-2</v>
      </c>
      <c r="T223" s="29">
        <f t="shared" si="19"/>
        <v>0.18130074113902586</v>
      </c>
      <c r="U223" s="29">
        <f t="shared" si="20"/>
        <v>0.16292690030530019</v>
      </c>
      <c r="V223" s="29">
        <f t="shared" si="21"/>
        <v>1.8845909718221106E-3</v>
      </c>
    </row>
    <row r="224" spans="18:22" x14ac:dyDescent="0.4">
      <c r="R224" s="28">
        <f t="shared" si="17"/>
        <v>15.920000000000012</v>
      </c>
      <c r="S224" s="29">
        <f t="shared" si="18"/>
        <v>6.4605501785225727E-2</v>
      </c>
      <c r="T224" s="29">
        <f t="shared" si="19"/>
        <v>0.18130086711376589</v>
      </c>
      <c r="U224" s="29">
        <f t="shared" si="20"/>
        <v>0.16332020286274462</v>
      </c>
      <c r="V224" s="29">
        <f t="shared" si="21"/>
        <v>1.889362817009154E-3</v>
      </c>
    </row>
    <row r="225" spans="18:22" x14ac:dyDescent="0.4">
      <c r="R225" s="28">
        <f t="shared" si="17"/>
        <v>16.000000000000011</v>
      </c>
      <c r="S225" s="29">
        <f t="shared" si="18"/>
        <v>6.4637486363824284E-2</v>
      </c>
      <c r="T225" s="29">
        <f t="shared" si="19"/>
        <v>0.18130099071214137</v>
      </c>
      <c r="U225" s="29">
        <f t="shared" si="20"/>
        <v>0.1637108716698929</v>
      </c>
      <c r="V225" s="29">
        <f t="shared" si="21"/>
        <v>1.8941027075599934E-3</v>
      </c>
    </row>
    <row r="226" spans="18:22" x14ac:dyDescent="0.4">
      <c r="R226" s="28">
        <f t="shared" si="17"/>
        <v>16.080000000000009</v>
      </c>
      <c r="S226" s="29">
        <f t="shared" si="18"/>
        <v>6.466889394613741E-2</v>
      </c>
      <c r="T226" s="29">
        <f t="shared" si="19"/>
        <v>0.18130111198502541</v>
      </c>
      <c r="U226" s="29">
        <f t="shared" si="20"/>
        <v>0.16409892436335158</v>
      </c>
      <c r="V226" s="29">
        <f t="shared" si="21"/>
        <v>1.8988108574546389E-3</v>
      </c>
    </row>
    <row r="227" spans="18:22" x14ac:dyDescent="0.4">
      <c r="R227" s="28">
        <f t="shared" si="17"/>
        <v>16.160000000000007</v>
      </c>
      <c r="S227" s="29">
        <f t="shared" si="18"/>
        <v>6.4699734941078654E-2</v>
      </c>
      <c r="T227" s="29">
        <f t="shared" si="19"/>
        <v>0.18130123098175616</v>
      </c>
      <c r="U227" s="29">
        <f t="shared" si="20"/>
        <v>0.16448437846163255</v>
      </c>
      <c r="V227" s="29">
        <f t="shared" si="21"/>
        <v>1.9034874792403125E-3</v>
      </c>
    </row>
    <row r="228" spans="18:22" x14ac:dyDescent="0.4">
      <c r="R228" s="28">
        <f t="shared" si="17"/>
        <v>16.240000000000006</v>
      </c>
      <c r="S228" s="29">
        <f t="shared" si="18"/>
        <v>6.4730019569786551E-2</v>
      </c>
      <c r="T228" s="29">
        <f t="shared" si="19"/>
        <v>0.1813013477502122</v>
      </c>
      <c r="U228" s="29">
        <f t="shared" si="20"/>
        <v>0.16486725136594352</v>
      </c>
      <c r="V228" s="29">
        <f t="shared" si="21"/>
        <v>1.9081327840410373E-3</v>
      </c>
    </row>
    <row r="229" spans="18:22" x14ac:dyDescent="0.4">
      <c r="R229" s="28">
        <f t="shared" si="17"/>
        <v>16.320000000000004</v>
      </c>
      <c r="S229" s="29">
        <f t="shared" si="18"/>
        <v>6.4759757869012072E-2</v>
      </c>
      <c r="T229" s="29">
        <f t="shared" si="19"/>
        <v>0.18130146233688271</v>
      </c>
      <c r="U229" s="29">
        <f t="shared" si="20"/>
        <v>0.16524756036097327</v>
      </c>
      <c r="V229" s="29">
        <f t="shared" si="21"/>
        <v>1.912746981567164E-3</v>
      </c>
    </row>
    <row r="230" spans="18:22" x14ac:dyDescent="0.4">
      <c r="R230" s="28">
        <f t="shared" si="17"/>
        <v>16.400000000000002</v>
      </c>
      <c r="S230" s="29">
        <f t="shared" si="18"/>
        <v>6.4788959694444898E-2</v>
      </c>
      <c r="T230" s="29">
        <f t="shared" si="19"/>
        <v>0.1813015747869331</v>
      </c>
      <c r="U230" s="29">
        <f t="shared" si="20"/>
        <v>0.16562532261567167</v>
      </c>
      <c r="V230" s="29">
        <f t="shared" si="21"/>
        <v>1.9173302801248331E-3</v>
      </c>
    </row>
    <row r="231" spans="18:22" x14ac:dyDescent="0.4">
      <c r="R231" s="28">
        <f t="shared" si="17"/>
        <v>16.48</v>
      </c>
      <c r="S231" s="29">
        <f t="shared" si="18"/>
        <v>6.4817634723979806E-2</v>
      </c>
      <c r="T231" s="29">
        <f t="shared" si="19"/>
        <v>0.18130168514426626</v>
      </c>
      <c r="U231" s="29">
        <f t="shared" si="20"/>
        <v>0.16600055518402454</v>
      </c>
      <c r="V231" s="29">
        <f t="shared" si="21"/>
        <v>1.921882886625374E-3</v>
      </c>
    </row>
    <row r="232" spans="18:22" x14ac:dyDescent="0.4">
      <c r="R232" s="28">
        <f t="shared" si="17"/>
        <v>16.559999999999999</v>
      </c>
      <c r="S232" s="29">
        <f t="shared" si="18"/>
        <v>6.4845792460923993E-2</v>
      </c>
      <c r="T232" s="29">
        <f t="shared" si="19"/>
        <v>0.18130179345157998</v>
      </c>
      <c r="U232" s="29">
        <f t="shared" si="20"/>
        <v>0.16637327500582311</v>
      </c>
      <c r="V232" s="29">
        <f t="shared" si="21"/>
        <v>1.9264050065946415E-3</v>
      </c>
    </row>
    <row r="233" spans="18:22" x14ac:dyDescent="0.4">
      <c r="R233" s="28">
        <f t="shared" si="17"/>
        <v>16.639999999999997</v>
      </c>
      <c r="S233" s="29">
        <f t="shared" si="18"/>
        <v>6.4873442237146653E-2</v>
      </c>
      <c r="T233" s="29">
        <f t="shared" si="19"/>
        <v>0.18130189975042038</v>
      </c>
      <c r="U233" s="29">
        <f t="shared" si="20"/>
        <v>0.16674349890742868</v>
      </c>
      <c r="V233" s="29">
        <f t="shared" si="21"/>
        <v>1.9308968441822906E-3</v>
      </c>
    </row>
    <row r="234" spans="18:22" x14ac:dyDescent="0.4">
      <c r="R234" s="28">
        <f t="shared" si="17"/>
        <v>16.719999999999995</v>
      </c>
      <c r="S234" s="29">
        <f t="shared" si="18"/>
        <v>6.4900593216171643E-2</v>
      </c>
      <c r="T234" s="29">
        <f t="shared" si="19"/>
        <v>0.18130200408123218</v>
      </c>
      <c r="U234" s="29">
        <f t="shared" si="20"/>
        <v>0.16711124360253185</v>
      </c>
      <c r="V234" s="29">
        <f t="shared" si="21"/>
        <v>1.9353586021709872E-3</v>
      </c>
    </row>
    <row r="235" spans="18:22" x14ac:dyDescent="0.4">
      <c r="R235" s="28">
        <f t="shared" si="17"/>
        <v>16.799999999999994</v>
      </c>
      <c r="S235" s="29">
        <f t="shared" si="18"/>
        <v>6.4927254396214454E-2</v>
      </c>
      <c r="T235" s="29">
        <f t="shared" si="19"/>
        <v>0.18130210648340567</v>
      </c>
      <c r="U235" s="29">
        <f t="shared" si="20"/>
        <v>0.16747652569290691</v>
      </c>
      <c r="V235" s="29">
        <f t="shared" si="21"/>
        <v>1.9397904819855611E-3</v>
      </c>
    </row>
    <row r="236" spans="18:22" x14ac:dyDescent="0.4">
      <c r="R236" s="28">
        <f t="shared" si="17"/>
        <v>16.879999999999992</v>
      </c>
      <c r="S236" s="29">
        <f t="shared" si="18"/>
        <v>6.4953434613164301E-2</v>
      </c>
      <c r="T236" s="29">
        <f t="shared" si="19"/>
        <v>0.18130220699532087</v>
      </c>
      <c r="U236" s="29">
        <f t="shared" si="20"/>
        <v>0.16783936166916102</v>
      </c>
      <c r="V236" s="29">
        <f t="shared" si="21"/>
        <v>1.9441926837020943E-3</v>
      </c>
    </row>
    <row r="237" spans="18:22" x14ac:dyDescent="0.4">
      <c r="R237" s="28">
        <f t="shared" si="17"/>
        <v>16.95999999999999</v>
      </c>
      <c r="S237" s="29">
        <f t="shared" si="18"/>
        <v>6.4979142543512489E-2</v>
      </c>
      <c r="T237" s="29">
        <f t="shared" si="19"/>
        <v>0.18130230565438873</v>
      </c>
      <c r="U237" s="29">
        <f t="shared" si="20"/>
        <v>0.16819976791147848</v>
      </c>
      <c r="V237" s="29">
        <f t="shared" si="21"/>
        <v>1.9485654060569493E-3</v>
      </c>
    </row>
    <row r="238" spans="18:22" x14ac:dyDescent="0.4">
      <c r="R238" s="28">
        <f t="shared" si="17"/>
        <v>17.039999999999988</v>
      </c>
      <c r="S238" s="29">
        <f t="shared" si="18"/>
        <v>6.5004386707227912E-2</v>
      </c>
      <c r="T238" s="29">
        <f t="shared" si="19"/>
        <v>0.18130240249709006</v>
      </c>
      <c r="U238" s="29">
        <f t="shared" si="20"/>
        <v>0.16855776069035994</v>
      </c>
      <c r="V238" s="29">
        <f t="shared" si="21"/>
        <v>1.952908846455739E-3</v>
      </c>
    </row>
    <row r="239" spans="18:22" x14ac:dyDescent="0.4">
      <c r="R239" s="28">
        <f t="shared" si="17"/>
        <v>17.119999999999987</v>
      </c>
      <c r="S239" s="29">
        <f t="shared" si="18"/>
        <v>6.5029175470580694E-2</v>
      </c>
      <c r="T239" s="29">
        <f t="shared" si="19"/>
        <v>0.18130249755901187</v>
      </c>
      <c r="U239" s="29">
        <f t="shared" si="20"/>
        <v>0.16891335616735687</v>
      </c>
      <c r="V239" s="29">
        <f t="shared" si="21"/>
        <v>1.9572232009822349E-3</v>
      </c>
    </row>
    <row r="240" spans="18:22" x14ac:dyDescent="0.4">
      <c r="R240" s="28">
        <f t="shared" si="17"/>
        <v>17.199999999999985</v>
      </c>
      <c r="S240" s="29">
        <f t="shared" si="18"/>
        <v>6.5053517048914905E-2</v>
      </c>
      <c r="T240" s="29">
        <f t="shared" si="19"/>
        <v>0.18130259087488179</v>
      </c>
      <c r="U240" s="29">
        <f t="shared" si="20"/>
        <v>0.16926657039580081</v>
      </c>
      <c r="V240" s="29">
        <f t="shared" si="21"/>
        <v>1.9615086644072161E-3</v>
      </c>
    </row>
    <row r="241" spans="18:22" x14ac:dyDescent="0.4">
      <c r="R241" s="28">
        <f t="shared" si="17"/>
        <v>17.279999999999983</v>
      </c>
      <c r="S241" s="29">
        <f t="shared" si="18"/>
        <v>6.5077419509371195E-2</v>
      </c>
      <c r="T241" s="29">
        <f t="shared" si="19"/>
        <v>0.18130268247860029</v>
      </c>
      <c r="U241" s="29">
        <f t="shared" si="20"/>
        <v>0.16961741932152799</v>
      </c>
      <c r="V241" s="29">
        <f t="shared" si="21"/>
        <v>1.9657654301972593E-3</v>
      </c>
    </row>
    <row r="242" spans="18:22" x14ac:dyDescent="0.4">
      <c r="R242" s="28">
        <f t="shared" si="17"/>
        <v>17.359999999999982</v>
      </c>
      <c r="S242" s="29">
        <f t="shared" si="18"/>
        <v>6.5100890773560405E-2</v>
      </c>
      <c r="T242" s="29">
        <f t="shared" si="19"/>
        <v>0.18130277240327106</v>
      </c>
      <c r="U242" s="29">
        <f t="shared" si="20"/>
        <v>0.16996591878359904</v>
      </c>
      <c r="V242" s="29">
        <f t="shared" si="21"/>
        <v>1.9699936905234706E-3</v>
      </c>
    </row>
    <row r="243" spans="18:22" x14ac:dyDescent="0.4">
      <c r="R243" s="28">
        <f t="shared" si="17"/>
        <v>17.43999999999998</v>
      </c>
      <c r="S243" s="29">
        <f t="shared" si="18"/>
        <v>6.5123938620188865E-2</v>
      </c>
      <c r="T243" s="29">
        <f t="shared" si="19"/>
        <v>0.18130286068122964</v>
      </c>
      <c r="U243" s="29">
        <f t="shared" si="20"/>
        <v>0.1703120845150137</v>
      </c>
      <c r="V243" s="29">
        <f t="shared" si="21"/>
        <v>1.9741936362701572E-3</v>
      </c>
    </row>
    <row r="244" spans="18:22" x14ac:dyDescent="0.4">
      <c r="R244" s="28">
        <f t="shared" si="17"/>
        <v>17.519999999999978</v>
      </c>
      <c r="S244" s="29">
        <f t="shared" si="18"/>
        <v>6.5146570687636407E-2</v>
      </c>
      <c r="T244" s="29">
        <f t="shared" si="19"/>
        <v>0.18130294734407054</v>
      </c>
      <c r="U244" s="29">
        <f t="shared" si="20"/>
        <v>0.17065593214342117</v>
      </c>
      <c r="V244" s="29">
        <f t="shared" si="21"/>
        <v>1.9783654570434436E-3</v>
      </c>
    </row>
    <row r="245" spans="18:22" x14ac:dyDescent="0.4">
      <c r="R245" s="28">
        <f t="shared" si="17"/>
        <v>17.599999999999977</v>
      </c>
      <c r="S245" s="29">
        <f t="shared" si="18"/>
        <v>6.5168794476487796E-2</v>
      </c>
      <c r="T245" s="29">
        <f t="shared" si="19"/>
        <v>0.18130303242267273</v>
      </c>
      <c r="U245" s="29">
        <f t="shared" si="20"/>
        <v>0.17099747719182523</v>
      </c>
      <c r="V245" s="29">
        <f t="shared" si="21"/>
        <v>1.9825093411798287E-3</v>
      </c>
    </row>
    <row r="246" spans="18:22" x14ac:dyDescent="0.4">
      <c r="R246" s="28">
        <f t="shared" si="17"/>
        <v>17.679999999999975</v>
      </c>
      <c r="S246" s="29">
        <f t="shared" si="18"/>
        <v>6.5190617352018546E-2</v>
      </c>
      <c r="T246" s="29">
        <f t="shared" si="19"/>
        <v>0.18130311594722376</v>
      </c>
      <c r="U246" s="29">
        <f t="shared" si="20"/>
        <v>0.17133673507928501</v>
      </c>
      <c r="V246" s="29">
        <f t="shared" si="21"/>
        <v>1.9866254757546845E-3</v>
      </c>
    </row>
    <row r="247" spans="18:22" x14ac:dyDescent="0.4">
      <c r="R247" s="28">
        <f t="shared" si="17"/>
        <v>17.759999999999973</v>
      </c>
      <c r="S247" s="29">
        <f t="shared" si="18"/>
        <v>6.5212046546635843E-2</v>
      </c>
      <c r="T247" s="29">
        <f t="shared" si="19"/>
        <v>0.18130319794724256</v>
      </c>
      <c r="U247" s="29">
        <f t="shared" si="20"/>
        <v>0.17167372112161083</v>
      </c>
      <c r="V247" s="29">
        <f t="shared" si="21"/>
        <v>1.9907140465907002E-3</v>
      </c>
    </row>
    <row r="248" spans="18:22" x14ac:dyDescent="0.4">
      <c r="R248" s="28">
        <f t="shared" si="17"/>
        <v>17.839999999999971</v>
      </c>
      <c r="S248" s="29">
        <f t="shared" si="18"/>
        <v>6.5233089162275534E-2</v>
      </c>
      <c r="T248" s="29">
        <f t="shared" si="19"/>
        <v>0.18130327845160116</v>
      </c>
      <c r="U248" s="29">
        <f t="shared" si="20"/>
        <v>0.17200845053205555</v>
      </c>
      <c r="V248" s="29">
        <f t="shared" si="21"/>
        <v>1.9947752382662707E-3</v>
      </c>
    </row>
    <row r="249" spans="18:22" x14ac:dyDescent="0.4">
      <c r="R249" s="28">
        <f t="shared" si="17"/>
        <v>17.91999999999997</v>
      </c>
      <c r="S249" s="29">
        <f t="shared" si="18"/>
        <v>6.5253752172755752E-2</v>
      </c>
      <c r="T249" s="29">
        <f t="shared" si="19"/>
        <v>0.18130335748854506</v>
      </c>
      <c r="U249" s="29">
        <f t="shared" si="20"/>
        <v>0.17234093842200116</v>
      </c>
      <c r="V249" s="29">
        <f t="shared" si="21"/>
        <v>1.9988092341238248E-3</v>
      </c>
    </row>
    <row r="250" spans="18:22" x14ac:dyDescent="0.4">
      <c r="R250" s="28">
        <f t="shared" si="17"/>
        <v>17.999999999999968</v>
      </c>
      <c r="S250" s="29">
        <f t="shared" si="18"/>
        <v>6.5274042426088141E-2</v>
      </c>
      <c r="T250" s="29">
        <f t="shared" si="19"/>
        <v>0.18130343508571287</v>
      </c>
      <c r="U250" s="29">
        <f t="shared" si="20"/>
        <v>0.17267119980164092</v>
      </c>
      <c r="V250" s="29">
        <f t="shared" si="21"/>
        <v>2.0028162162781002E-3</v>
      </c>
    </row>
    <row r="251" spans="18:22" x14ac:dyDescent="0.4">
      <c r="R251" s="28">
        <f t="shared" si="17"/>
        <v>18.079999999999966</v>
      </c>
      <c r="S251" s="29">
        <f t="shared" si="18"/>
        <v>6.5293966646747401E-2</v>
      </c>
      <c r="T251" s="29">
        <f t="shared" si="19"/>
        <v>0.18130351127015454</v>
      </c>
      <c r="U251" s="29">
        <f t="shared" si="20"/>
        <v>0.17299924958065679</v>
      </c>
      <c r="V251" s="29">
        <f t="shared" si="21"/>
        <v>2.0067963656243653E-3</v>
      </c>
    </row>
    <row r="252" spans="18:22" x14ac:dyDescent="0.4">
      <c r="R252" s="28">
        <f t="shared" si="17"/>
        <v>18.159999999999965</v>
      </c>
      <c r="S252" s="29">
        <f t="shared" si="18"/>
        <v>6.5313531437899877E-2</v>
      </c>
      <c r="T252" s="29">
        <f t="shared" si="19"/>
        <v>0.18130358606834904</v>
      </c>
      <c r="U252" s="29">
        <f t="shared" si="20"/>
        <v>0.17332510256889244</v>
      </c>
      <c r="V252" s="29">
        <f t="shared" si="21"/>
        <v>2.0107498618465816E-3</v>
      </c>
    </row>
    <row r="253" spans="18:22" x14ac:dyDescent="0.4">
      <c r="R253" s="28">
        <f t="shared" si="17"/>
        <v>18.239999999999963</v>
      </c>
      <c r="S253" s="29">
        <f t="shared" si="18"/>
        <v>6.5332743283591913E-2</v>
      </c>
      <c r="T253" s="29">
        <f t="shared" si="19"/>
        <v>0.18130365950622107</v>
      </c>
      <c r="U253" s="29">
        <f t="shared" si="20"/>
        <v>0.17364877347702171</v>
      </c>
      <c r="V253" s="29">
        <f t="shared" si="21"/>
        <v>2.014676883425515E-3</v>
      </c>
    </row>
    <row r="254" spans="18:22" x14ac:dyDescent="0.4">
      <c r="R254" s="28">
        <f t="shared" si="17"/>
        <v>18.319999999999961</v>
      </c>
      <c r="S254" s="29">
        <f t="shared" si="18"/>
        <v>6.5351608550898804E-2</v>
      </c>
      <c r="T254" s="29">
        <f t="shared" si="19"/>
        <v>0.18130373160915692</v>
      </c>
      <c r="U254" s="29">
        <f t="shared" si="20"/>
        <v>0.17397027691721256</v>
      </c>
      <c r="V254" s="29">
        <f t="shared" si="21"/>
        <v>2.0185776076467911E-3</v>
      </c>
    </row>
    <row r="255" spans="18:22" x14ac:dyDescent="0.4">
      <c r="R255" s="28">
        <f t="shared" si="17"/>
        <v>18.399999999999959</v>
      </c>
      <c r="S255" s="29">
        <f t="shared" si="18"/>
        <v>6.5370133492034868E-2</v>
      </c>
      <c r="T255" s="29">
        <f t="shared" si="19"/>
        <v>0.18130380240201968</v>
      </c>
      <c r="U255" s="29">
        <f t="shared" si="20"/>
        <v>0.17428962740378665</v>
      </c>
      <c r="V255" s="29">
        <f t="shared" si="21"/>
        <v>2.0224522106088967E-3</v>
      </c>
    </row>
    <row r="256" spans="18:22" x14ac:dyDescent="0.4">
      <c r="R256" s="28">
        <f t="shared" si="17"/>
        <v>18.479999999999958</v>
      </c>
      <c r="S256" s="29">
        <f t="shared" si="18"/>
        <v>6.5388324246425586E-2</v>
      </c>
      <c r="T256" s="29">
        <f t="shared" si="19"/>
        <v>0.18130387190916369</v>
      </c>
      <c r="U256" s="29">
        <f t="shared" si="20"/>
        <v>0.17460683935387444</v>
      </c>
      <c r="V256" s="29">
        <f t="shared" si="21"/>
        <v>2.0263008672311293E-3</v>
      </c>
    </row>
    <row r="257" spans="18:22" x14ac:dyDescent="0.4">
      <c r="R257" s="28">
        <f t="shared" si="17"/>
        <v>18.559999999999956</v>
      </c>
      <c r="S257" s="29">
        <f t="shared" si="18"/>
        <v>6.5406186842742242E-2</v>
      </c>
      <c r="T257" s="29">
        <f t="shared" si="19"/>
        <v>0.18130394015444837</v>
      </c>
      <c r="U257" s="29">
        <f t="shared" si="20"/>
        <v>0.174921927088066</v>
      </c>
      <c r="V257" s="29">
        <f t="shared" si="21"/>
        <v>2.0301237512614905E-3</v>
      </c>
    </row>
    <row r="258" spans="18:22" x14ac:dyDescent="0.4">
      <c r="R258" s="28">
        <f t="shared" si="17"/>
        <v>18.639999999999954</v>
      </c>
      <c r="S258" s="29">
        <f t="shared" si="18"/>
        <v>6.5423727200899937E-2</v>
      </c>
      <c r="T258" s="29">
        <f t="shared" si="19"/>
        <v>0.18130400716125139</v>
      </c>
      <c r="U258" s="29">
        <f t="shared" si="20"/>
        <v>0.1752349048310573</v>
      </c>
      <c r="V258" s="29">
        <f t="shared" si="21"/>
        <v>2.0339210352845294E-3</v>
      </c>
    </row>
    <row r="259" spans="18:22" x14ac:dyDescent="0.4">
      <c r="R259" s="28">
        <f t="shared" si="17"/>
        <v>18.719999999999953</v>
      </c>
      <c r="S259" s="29">
        <f t="shared" si="18"/>
        <v>6.5440951134019515E-2</v>
      </c>
      <c r="T259" s="29">
        <f t="shared" si="19"/>
        <v>0.18130407295248138</v>
      </c>
      <c r="U259" s="29">
        <f t="shared" si="20"/>
        <v>0.1755457867122924</v>
      </c>
      <c r="V259" s="29">
        <f t="shared" si="21"/>
        <v>2.0376928907291326E-3</v>
      </c>
    </row>
    <row r="260" spans="18:22" x14ac:dyDescent="0.4">
      <c r="R260" s="28">
        <f t="shared" si="17"/>
        <v>18.799999999999951</v>
      </c>
      <c r="S260" s="29">
        <f t="shared" si="18"/>
        <v>6.5457864350354125E-2</v>
      </c>
      <c r="T260" s="29">
        <f t="shared" si="19"/>
        <v>0.18130413755058999</v>
      </c>
      <c r="U260" s="29">
        <f t="shared" si="20"/>
        <v>0.17585458676660112</v>
      </c>
      <c r="V260" s="29">
        <f t="shared" si="21"/>
        <v>2.0414394878762619E-3</v>
      </c>
    </row>
    <row r="261" spans="18:22" x14ac:dyDescent="0.4">
      <c r="R261" s="28">
        <f t="shared" si="17"/>
        <v>18.879999999999949</v>
      </c>
      <c r="S261" s="29">
        <f t="shared" si="18"/>
        <v>6.5474472455181024E-2</v>
      </c>
      <c r="T261" s="29">
        <f t="shared" si="19"/>
        <v>0.18130420097758351</v>
      </c>
      <c r="U261" s="29">
        <f t="shared" si="20"/>
        <v>0.17616131893483258</v>
      </c>
      <c r="V261" s="29">
        <f t="shared" si="21"/>
        <v>2.045160995866639E-3</v>
      </c>
    </row>
    <row r="262" spans="18:22" x14ac:dyDescent="0.4">
      <c r="R262" s="28">
        <f t="shared" si="17"/>
        <v>18.959999999999948</v>
      </c>
      <c r="S262" s="29">
        <f t="shared" si="18"/>
        <v>6.5490780952659228E-2</v>
      </c>
      <c r="T262" s="29">
        <f t="shared" si="19"/>
        <v>0.18130426325503407</v>
      </c>
      <c r="U262" s="29">
        <f t="shared" si="20"/>
        <v>0.17646599706448446</v>
      </c>
      <c r="V262" s="29">
        <f t="shared" si="21"/>
        <v>2.0488575827083814E-3</v>
      </c>
    </row>
    <row r="263" spans="18:22" x14ac:dyDescent="0.4">
      <c r="R263" s="28">
        <f t="shared" si="17"/>
        <v>19.039999999999946</v>
      </c>
      <c r="S263" s="29">
        <f t="shared" si="18"/>
        <v>6.5506795247653668E-2</v>
      </c>
      <c r="T263" s="29">
        <f t="shared" si="19"/>
        <v>0.18130432440409028</v>
      </c>
      <c r="U263" s="29">
        <f t="shared" si="20"/>
        <v>0.17676863491032807</v>
      </c>
      <c r="V263" s="29">
        <f t="shared" si="21"/>
        <v>2.0525294152845845E-3</v>
      </c>
    </row>
    <row r="264" spans="18:22" x14ac:dyDescent="0.4">
      <c r="R264" s="28">
        <f t="shared" si="17"/>
        <v>19.119999999999944</v>
      </c>
      <c r="S264" s="29">
        <f t="shared" si="18"/>
        <v>6.552252064752645E-2</v>
      </c>
      <c r="T264" s="29">
        <f t="shared" si="19"/>
        <v>0.18130438444548755</v>
      </c>
      <c r="U264" s="29">
        <f t="shared" si="20"/>
        <v>0.17706924613502914</v>
      </c>
      <c r="V264" s="29">
        <f t="shared" si="21"/>
        <v>2.0561766593608565E-3</v>
      </c>
    </row>
    <row r="265" spans="18:22" x14ac:dyDescent="0.4">
      <c r="R265" s="28">
        <f t="shared" si="17"/>
        <v>19.199999999999942</v>
      </c>
      <c r="S265" s="29">
        <f t="shared" si="18"/>
        <v>6.5537962363895766E-2</v>
      </c>
      <c r="T265" s="29">
        <f t="shared" si="19"/>
        <v>0.18130444339955792</v>
      </c>
      <c r="U265" s="29">
        <f t="shared" si="20"/>
        <v>0.1773678443097646</v>
      </c>
      <c r="V265" s="29">
        <f t="shared" si="21"/>
        <v>2.0597994795927975E-3</v>
      </c>
    </row>
    <row r="266" spans="18:22" x14ac:dyDescent="0.4">
      <c r="R266" s="28">
        <f t="shared" si="17"/>
        <v>19.279999999999941</v>
      </c>
      <c r="S266" s="29">
        <f t="shared" si="18"/>
        <v>6.5553125514363139E-2</v>
      </c>
      <c r="T266" s="29">
        <f t="shared" si="19"/>
        <v>0.18130450128623976</v>
      </c>
      <c r="U266" s="29">
        <f t="shared" si="20"/>
        <v>0.17766444291483519</v>
      </c>
      <c r="V266" s="29">
        <f t="shared" si="21"/>
        <v>2.0633980395334344E-3</v>
      </c>
    </row>
    <row r="267" spans="18:22" x14ac:dyDescent="0.4">
      <c r="R267" s="28">
        <f t="shared" si="17"/>
        <v>19.359999999999939</v>
      </c>
      <c r="S267" s="29">
        <f t="shared" si="18"/>
        <v>6.5568015124209414E-2</v>
      </c>
      <c r="T267" s="29">
        <f t="shared" si="19"/>
        <v>0.1813045581250867</v>
      </c>
      <c r="U267" s="29">
        <f t="shared" si="20"/>
        <v>0.17795905534027379</v>
      </c>
      <c r="V267" s="29">
        <f t="shared" si="21"/>
        <v>2.0669725016406017E-3</v>
      </c>
    </row>
    <row r="268" spans="18:22" x14ac:dyDescent="0.4">
      <c r="R268" s="28">
        <f t="shared" si="17"/>
        <v>19.439999999999937</v>
      </c>
      <c r="S268" s="29">
        <f t="shared" si="18"/>
        <v>6.558263612806027E-2</v>
      </c>
      <c r="T268" s="29">
        <f t="shared" si="19"/>
        <v>0.18130461393527672</v>
      </c>
      <c r="U268" s="29">
        <f t="shared" si="20"/>
        <v>0.17825169488645004</v>
      </c>
      <c r="V268" s="29">
        <f t="shared" si="21"/>
        <v>2.0705230272842754E-3</v>
      </c>
    </row>
    <row r="269" spans="18:22" x14ac:dyDescent="0.4">
      <c r="R269" s="28">
        <f t="shared" si="17"/>
        <v>19.519999999999936</v>
      </c>
      <c r="S269" s="29">
        <f t="shared" si="18"/>
        <v>6.5596993371521556E-2</v>
      </c>
      <c r="T269" s="29">
        <f t="shared" si="19"/>
        <v>0.18130466873562062</v>
      </c>
      <c r="U269" s="29">
        <f t="shared" si="20"/>
        <v>0.17854237476467053</v>
      </c>
      <c r="V269" s="29">
        <f t="shared" si="21"/>
        <v>2.0740497767538558E-3</v>
      </c>
    </row>
    <row r="270" spans="18:22" x14ac:dyDescent="0.4">
      <c r="R270" s="28">
        <f t="shared" si="17"/>
        <v>19.599999999999934</v>
      </c>
      <c r="S270" s="29">
        <f t="shared" si="18"/>
        <v>6.5611091612785249E-2</v>
      </c>
      <c r="T270" s="29">
        <f t="shared" si="19"/>
        <v>0.18130472254457025</v>
      </c>
      <c r="U270" s="29">
        <f t="shared" si="20"/>
        <v>0.17883110809777522</v>
      </c>
      <c r="V270" s="29">
        <f t="shared" si="21"/>
        <v>2.0775529092654042E-3</v>
      </c>
    </row>
    <row r="271" spans="18:22" x14ac:dyDescent="0.4">
      <c r="R271" s="28">
        <f t="shared" si="17"/>
        <v>19.679999999999932</v>
      </c>
      <c r="S271" s="29">
        <f t="shared" si="18"/>
        <v>6.5624935524206354E-2</v>
      </c>
      <c r="T271" s="29">
        <f t="shared" si="19"/>
        <v>0.18130477538022652</v>
      </c>
      <c r="U271" s="29">
        <f t="shared" si="20"/>
        <v>0.17911790792072979</v>
      </c>
      <c r="V271" s="29">
        <f t="shared" si="21"/>
        <v>2.0810325829688286E-3</v>
      </c>
    </row>
    <row r="272" spans="18:22" x14ac:dyDescent="0.4">
      <c r="R272" s="28">
        <f t="shared" si="17"/>
        <v>19.759999999999931</v>
      </c>
      <c r="S272" s="29">
        <f t="shared" si="18"/>
        <v>6.5638529693851394E-2</v>
      </c>
      <c r="T272" s="29">
        <f t="shared" si="19"/>
        <v>0.18130482726034711</v>
      </c>
      <c r="U272" s="29">
        <f t="shared" si="20"/>
        <v>0.179402787181214</v>
      </c>
      <c r="V272" s="29">
        <f t="shared" si="21"/>
        <v>2.0844889549550224E-3</v>
      </c>
    </row>
    <row r="273" spans="18:22" x14ac:dyDescent="0.4">
      <c r="R273" s="28">
        <f t="shared" si="17"/>
        <v>19.839999999999929</v>
      </c>
      <c r="S273" s="29">
        <f t="shared" si="18"/>
        <v>6.5651878627018975E-2</v>
      </c>
      <c r="T273" s="29">
        <f t="shared" si="19"/>
        <v>0.18130487820235394</v>
      </c>
      <c r="U273" s="29">
        <f t="shared" si="20"/>
        <v>0.17968575874020618</v>
      </c>
      <c r="V273" s="29">
        <f t="shared" si="21"/>
        <v>2.0879221812629555E-3</v>
      </c>
    </row>
    <row r="274" spans="18:22" x14ac:dyDescent="0.4">
      <c r="R274" s="28">
        <f t="shared" si="17"/>
        <v>19.919999999999927</v>
      </c>
      <c r="S274" s="29">
        <f t="shared" si="18"/>
        <v>6.5664986747732884E-2</v>
      </c>
      <c r="T274" s="29">
        <f t="shared" si="19"/>
        <v>0.18130492822334052</v>
      </c>
      <c r="U274" s="29">
        <f t="shared" si="20"/>
        <v>0.17996683537256369</v>
      </c>
      <c r="V274" s="29">
        <f t="shared" si="21"/>
        <v>2.0913324168867174E-3</v>
      </c>
    </row>
    <row r="275" spans="18:22" x14ac:dyDescent="0.4">
      <c r="R275" s="28">
        <f t="shared" si="17"/>
        <v>19.999999999999925</v>
      </c>
      <c r="S275" s="29">
        <f t="shared" si="18"/>
        <v>6.5677858400208275E-2</v>
      </c>
      <c r="T275" s="29">
        <f t="shared" si="19"/>
        <v>0.1813049773400788</v>
      </c>
      <c r="U275" s="29">
        <f t="shared" si="20"/>
        <v>0.18024602976759968</v>
      </c>
      <c r="V275" s="29">
        <f t="shared" si="21"/>
        <v>2.0947198157825146E-3</v>
      </c>
    </row>
    <row r="276" spans="18:22" x14ac:dyDescent="0.4">
      <c r="R276" s="28">
        <f t="shared" si="17"/>
        <v>20.079999999999924</v>
      </c>
      <c r="S276" s="29">
        <f t="shared" si="18"/>
        <v>6.5690497850291407E-2</v>
      </c>
      <c r="T276" s="29">
        <f t="shared" si="19"/>
        <v>0.18130502556902608</v>
      </c>
      <c r="U276" s="29">
        <f t="shared" si="20"/>
        <v>0.18052335452965579</v>
      </c>
      <c r="V276" s="29">
        <f t="shared" si="21"/>
        <v>2.0980845308756183E-3</v>
      </c>
    </row>
    <row r="277" spans="18:22" x14ac:dyDescent="0.4">
      <c r="R277" s="28">
        <f t="shared" si="17"/>
        <v>20.159999999999922</v>
      </c>
      <c r="S277" s="29">
        <f t="shared" si="18"/>
        <v>6.5702909286873432E-2</v>
      </c>
      <c r="T277" s="29">
        <f t="shared" si="19"/>
        <v>0.18130507292633166</v>
      </c>
      <c r="U277" s="29">
        <f t="shared" si="20"/>
        <v>0.1807988221786711</v>
      </c>
      <c r="V277" s="29">
        <f t="shared" si="21"/>
        <v>2.101426714067268E-3</v>
      </c>
    </row>
    <row r="278" spans="18:22" x14ac:dyDescent="0.4">
      <c r="R278" s="28">
        <f t="shared" si="17"/>
        <v>20.23999999999992</v>
      </c>
      <c r="S278" s="29">
        <f t="shared" si="18"/>
        <v>6.5715096823278613E-2</v>
      </c>
      <c r="T278" s="29">
        <f t="shared" si="19"/>
        <v>0.18130511942784314</v>
      </c>
      <c r="U278" s="29">
        <f t="shared" si="20"/>
        <v>0.18107244515074741</v>
      </c>
      <c r="V278" s="29">
        <f t="shared" si="21"/>
        <v>2.1047465162415289E-3</v>
      </c>
    </row>
    <row r="279" spans="18:22" x14ac:dyDescent="0.4">
      <c r="R279" s="28">
        <f t="shared" si="17"/>
        <v>20.319999999999919</v>
      </c>
      <c r="S279" s="29">
        <f t="shared" si="18"/>
        <v>6.5727064498627544E-2</v>
      </c>
      <c r="T279" s="29">
        <f t="shared" si="19"/>
        <v>0.18130516508911274</v>
      </c>
      <c r="U279" s="29">
        <f t="shared" si="20"/>
        <v>0.18134423579871042</v>
      </c>
      <c r="V279" s="29">
        <f t="shared" si="21"/>
        <v>2.1080440872721018E-3</v>
      </c>
    </row>
    <row r="280" spans="18:22" x14ac:dyDescent="0.4">
      <c r="R280" s="28">
        <f t="shared" si="17"/>
        <v>20.399999999999917</v>
      </c>
      <c r="S280" s="29">
        <f t="shared" si="18"/>
        <v>6.5738816279175785E-2</v>
      </c>
      <c r="T280" s="29">
        <f t="shared" si="19"/>
        <v>0.18130520992540336</v>
      </c>
      <c r="U280" s="29">
        <f t="shared" si="20"/>
        <v>0.18161420639266743</v>
      </c>
      <c r="V280" s="29">
        <f t="shared" si="21"/>
        <v>2.1113195760290885E-3</v>
      </c>
    </row>
    <row r="281" spans="18:22" x14ac:dyDescent="0.4">
      <c r="R281" s="28">
        <f t="shared" si="17"/>
        <v>20.479999999999915</v>
      </c>
      <c r="S281" s="29">
        <f t="shared" si="18"/>
        <v>6.575035605962834E-2</v>
      </c>
      <c r="T281" s="29">
        <f t="shared" si="19"/>
        <v>0.18130525395169442</v>
      </c>
      <c r="U281" s="29">
        <f t="shared" si="20"/>
        <v>0.18188236912056119</v>
      </c>
      <c r="V281" s="29">
        <f t="shared" si="21"/>
        <v>2.114573130385712E-3</v>
      </c>
    </row>
    <row r="282" spans="18:22" x14ac:dyDescent="0.4">
      <c r="R282" s="28">
        <f t="shared" ref="R282:R345" si="22">R281+$S$22</f>
        <v>20.559999999999913</v>
      </c>
      <c r="S282" s="29">
        <f t="shared" ref="S282:S345" si="23">IF(S$13,S281*S$18+(S$14+S$15*IF(S$17,$D$71,0))*S$19,NA())</f>
        <v>6.5761687664430385E-2</v>
      </c>
      <c r="T282" s="29">
        <f t="shared" ref="T282:T345" si="24">IF(T$13,T281*T$18+(T$14+T$15*IF(T$17,$D$71,(S281+S282)/2))*T$19,NA())</f>
        <v>0.18130529718268767</v>
      </c>
      <c r="U282" s="29">
        <f t="shared" ref="U282:U345" si="25">IF(U$13,U281*U$18+(U$14+U$15*IF(U$17,$D$71,(T281+T282)/2))*U$19,NA())</f>
        <v>0.18214873608872012</v>
      </c>
      <c r="V282" s="29">
        <f t="shared" ref="V282:V345" si="26">IF(V$13,V281*V$18+(V$14+V$15*IF(V$17,$D$71,(U281+U282)/2))*V$19,NA())</f>
        <v>2.1178048972249905E-3</v>
      </c>
    </row>
    <row r="283" spans="18:22" x14ac:dyDescent="0.4">
      <c r="R283" s="28">
        <f t="shared" si="22"/>
        <v>20.639999999999912</v>
      </c>
      <c r="S283" s="29">
        <f t="shared" si="23"/>
        <v>6.5772814849034786E-2</v>
      </c>
      <c r="T283" s="29">
        <f t="shared" si="24"/>
        <v>0.18130533963281278</v>
      </c>
      <c r="U283" s="29">
        <f t="shared" si="25"/>
        <v>0.18241331932240473</v>
      </c>
      <c r="V283" s="29">
        <f t="shared" si="26"/>
        <v>2.1210150224463698E-3</v>
      </c>
    </row>
    <row r="284" spans="18:22" x14ac:dyDescent="0.4">
      <c r="R284" s="28">
        <f t="shared" si="22"/>
        <v>20.71999999999991</v>
      </c>
      <c r="S284" s="29">
        <f t="shared" si="23"/>
        <v>6.5783741301146684E-2</v>
      </c>
      <c r="T284" s="29">
        <f t="shared" si="24"/>
        <v>0.18130538131623267</v>
      </c>
      <c r="U284" s="29">
        <f t="shared" si="25"/>
        <v>0.18267613076635042</v>
      </c>
      <c r="V284" s="29">
        <f t="shared" si="26"/>
        <v>2.1242036509723067E-3</v>
      </c>
    </row>
    <row r="285" spans="18:22" x14ac:dyDescent="0.4">
      <c r="R285" s="28">
        <f t="shared" si="22"/>
        <v>20.799999999999908</v>
      </c>
      <c r="S285" s="29">
        <f t="shared" si="23"/>
        <v>6.5794470641945629E-2</v>
      </c>
      <c r="T285" s="29">
        <f t="shared" si="24"/>
        <v>0.18130542224684887</v>
      </c>
      <c r="U285" s="29">
        <f t="shared" si="25"/>
        <v>0.18293718228530678</v>
      </c>
      <c r="V285" s="29">
        <f t="shared" si="26"/>
        <v>2.1273709267548122E-3</v>
      </c>
    </row>
    <row r="286" spans="18:22" x14ac:dyDescent="0.4">
      <c r="R286" s="28">
        <f t="shared" si="22"/>
        <v>20.879999999999907</v>
      </c>
      <c r="S286" s="29">
        <f t="shared" si="23"/>
        <v>6.5805006427285748E-2</v>
      </c>
      <c r="T286" s="29">
        <f t="shared" si="24"/>
        <v>0.18130546243830681</v>
      </c>
      <c r="U286" s="29">
        <f t="shared" si="25"/>
        <v>0.18319648566457306</v>
      </c>
      <c r="V286" s="29">
        <f t="shared" si="26"/>
        <v>2.1305169927819489E-3</v>
      </c>
    </row>
    <row r="287" spans="18:22" x14ac:dyDescent="0.4">
      <c r="R287" s="28">
        <f t="shared" si="22"/>
        <v>20.959999999999905</v>
      </c>
      <c r="S287" s="29">
        <f t="shared" si="23"/>
        <v>6.5815352148874157E-2</v>
      </c>
      <c r="T287" s="29">
        <f t="shared" si="24"/>
        <v>0.18130550190400066</v>
      </c>
      <c r="U287" s="29">
        <f t="shared" si="25"/>
        <v>0.18345405261053019</v>
      </c>
      <c r="V287" s="29">
        <f t="shared" si="26"/>
        <v>2.1336419910842857E-3</v>
      </c>
    </row>
    <row r="288" spans="18:22" x14ac:dyDescent="0.4">
      <c r="R288" s="28">
        <f t="shared" si="22"/>
        <v>21.039999999999903</v>
      </c>
      <c r="S288" s="29">
        <f t="shared" si="23"/>
        <v>6.582551123542818E-2</v>
      </c>
      <c r="T288" s="29">
        <f t="shared" si="24"/>
        <v>0.18130554065707838</v>
      </c>
      <c r="U288" s="29">
        <f t="shared" si="25"/>
        <v>0.18370989475116919</v>
      </c>
      <c r="V288" s="29">
        <f t="shared" si="26"/>
        <v>2.1367460627413088E-3</v>
      </c>
    </row>
    <row r="289" spans="18:22" x14ac:dyDescent="0.4">
      <c r="R289" s="28">
        <f t="shared" si="22"/>
        <v>21.119999999999902</v>
      </c>
      <c r="S289" s="29">
        <f t="shared" si="23"/>
        <v>6.5835487053811675E-2</v>
      </c>
      <c r="T289" s="29">
        <f t="shared" si="24"/>
        <v>0.18130557871044647</v>
      </c>
      <c r="U289" s="29">
        <f t="shared" si="25"/>
        <v>0.18396402363661621</v>
      </c>
      <c r="V289" s="29">
        <f t="shared" si="26"/>
        <v>2.1398293478877908E-3</v>
      </c>
    </row>
    <row r="290" spans="18:22" x14ac:dyDescent="0.4">
      <c r="R290" s="28">
        <f t="shared" si="22"/>
        <v>21.1999999999999</v>
      </c>
      <c r="S290" s="29">
        <f t="shared" si="23"/>
        <v>6.5845282910150849E-2</v>
      </c>
      <c r="T290" s="29">
        <f t="shared" si="24"/>
        <v>0.18130561607677467</v>
      </c>
      <c r="U290" s="29">
        <f t="shared" si="25"/>
        <v>0.18421645073965368</v>
      </c>
      <c r="V290" s="29">
        <f t="shared" si="26"/>
        <v>2.1428919857201158E-3</v>
      </c>
    </row>
    <row r="291" spans="18:22" x14ac:dyDescent="0.4">
      <c r="R291" s="28">
        <f t="shared" si="22"/>
        <v>21.279999999999898</v>
      </c>
      <c r="S291" s="29">
        <f t="shared" si="23"/>
        <v>6.5854902050929962E-2</v>
      </c>
      <c r="T291" s="29">
        <f t="shared" si="24"/>
        <v>0.18130565276850052</v>
      </c>
      <c r="U291" s="29">
        <f t="shared" si="25"/>
        <v>0.18446718745623839</v>
      </c>
      <c r="V291" s="29">
        <f t="shared" si="26"/>
        <v>2.1459341145025623E-3</v>
      </c>
    </row>
    <row r="292" spans="18:22" x14ac:dyDescent="0.4">
      <c r="R292" s="28">
        <f t="shared" si="22"/>
        <v>21.359999999999896</v>
      </c>
      <c r="S292" s="29">
        <f t="shared" si="23"/>
        <v>6.5864347664067263E-2</v>
      </c>
      <c r="T292" s="29">
        <f t="shared" si="24"/>
        <v>0.18130568879783387</v>
      </c>
      <c r="U292" s="29">
        <f t="shared" si="25"/>
        <v>0.18471624510601581</v>
      </c>
      <c r="V292" s="29">
        <f t="shared" si="26"/>
        <v>2.1489558715735465E-3</v>
      </c>
    </row>
    <row r="293" spans="18:22" x14ac:dyDescent="0.4">
      <c r="R293" s="28">
        <f t="shared" si="22"/>
        <v>21.439999999999895</v>
      </c>
      <c r="S293" s="29">
        <f t="shared" si="23"/>
        <v>6.5873622879971491E-2</v>
      </c>
      <c r="T293" s="29">
        <f t="shared" si="24"/>
        <v>0.18130572417676116</v>
      </c>
      <c r="U293" s="29">
        <f t="shared" si="25"/>
        <v>0.18496363493283108</v>
      </c>
      <c r="V293" s="29">
        <f t="shared" si="26"/>
        <v>2.1519573933518189E-3</v>
      </c>
    </row>
    <row r="294" spans="18:22" x14ac:dyDescent="0.4">
      <c r="R294" s="28">
        <f t="shared" si="22"/>
        <v>21.519999999999893</v>
      </c>
      <c r="S294" s="29">
        <f t="shared" si="23"/>
        <v>6.5882730772579376E-2</v>
      </c>
      <c r="T294" s="29">
        <f t="shared" si="24"/>
        <v>0.18130575891704978</v>
      </c>
      <c r="U294" s="29">
        <f t="shared" si="25"/>
        <v>0.18520936810523664</v>
      </c>
      <c r="V294" s="29">
        <f t="shared" si="26"/>
        <v>2.1549388153426245E-3</v>
      </c>
    </row>
    <row r="295" spans="18:22" x14ac:dyDescent="0.4">
      <c r="R295" s="28">
        <f t="shared" si="22"/>
        <v>21.599999999999891</v>
      </c>
      <c r="S295" s="29">
        <f t="shared" si="23"/>
        <v>6.5891674360374353E-2</v>
      </c>
      <c r="T295" s="29">
        <f t="shared" si="24"/>
        <v>0.18130579303025218</v>
      </c>
      <c r="U295" s="29">
        <f t="shared" si="25"/>
        <v>0.18545345571699628</v>
      </c>
      <c r="V295" s="29">
        <f t="shared" si="26"/>
        <v>2.1579002721438187E-3</v>
      </c>
    </row>
    <row r="296" spans="18:22" x14ac:dyDescent="0.4">
      <c r="R296" s="28">
        <f t="shared" si="22"/>
        <v>21.67999999999989</v>
      </c>
      <c r="S296" s="29">
        <f t="shared" si="23"/>
        <v>6.5900456607386915E-2</v>
      </c>
      <c r="T296" s="29">
        <f t="shared" si="24"/>
        <v>0.18130582652770999</v>
      </c>
      <c r="U296" s="29">
        <f t="shared" si="25"/>
        <v>0.18569590878758604</v>
      </c>
      <c r="V296" s="29">
        <f t="shared" si="26"/>
        <v>2.1608418974519436E-3</v>
      </c>
    </row>
    <row r="297" spans="18:22" x14ac:dyDescent="0.4">
      <c r="R297" s="28">
        <f t="shared" si="22"/>
        <v>21.759999999999888</v>
      </c>
      <c r="S297" s="29">
        <f t="shared" si="23"/>
        <v>6.590908042417698E-2</v>
      </c>
      <c r="T297" s="29">
        <f t="shared" si="24"/>
        <v>0.18130585942055799</v>
      </c>
      <c r="U297" s="29">
        <f t="shared" si="25"/>
        <v>0.18593673826269155</v>
      </c>
      <c r="V297" s="29">
        <f t="shared" si="26"/>
        <v>2.1637638240682624E-3</v>
      </c>
    </row>
    <row r="298" spans="18:22" x14ac:dyDescent="0.4">
      <c r="R298" s="28">
        <f t="shared" si="22"/>
        <v>21.839999999999886</v>
      </c>
      <c r="S298" s="29">
        <f t="shared" si="23"/>
        <v>6.5917548668798454E-2</v>
      </c>
      <c r="T298" s="29">
        <f t="shared" si="24"/>
        <v>0.18130589171972805</v>
      </c>
      <c r="U298" s="29">
        <f t="shared" si="25"/>
        <v>0.1861759550147021</v>
      </c>
      <c r="V298" s="29">
        <f t="shared" si="26"/>
        <v>2.1666661839047554E-3</v>
      </c>
    </row>
    <row r="299" spans="18:22" x14ac:dyDescent="0.4">
      <c r="R299" s="28">
        <f t="shared" si="22"/>
        <v>21.919999999999884</v>
      </c>
      <c r="S299" s="29">
        <f t="shared" si="23"/>
        <v>6.5925864147746441E-2</v>
      </c>
      <c r="T299" s="29">
        <f t="shared" si="24"/>
        <v>0.18130592343595284</v>
      </c>
      <c r="U299" s="29">
        <f t="shared" si="25"/>
        <v>0.18641356984320162</v>
      </c>
      <c r="V299" s="29">
        <f t="shared" si="26"/>
        <v>2.1695491079900741E-3</v>
      </c>
    </row>
    <row r="300" spans="18:22" x14ac:dyDescent="0.4">
      <c r="R300" s="28">
        <f t="shared" si="22"/>
        <v>21.999999999999883</v>
      </c>
      <c r="S300" s="29">
        <f t="shared" si="23"/>
        <v>6.5934029616887366E-2</v>
      </c>
      <c r="T300" s="29">
        <f t="shared" si="24"/>
        <v>0.18130595457976972</v>
      </c>
      <c r="U300" s="29">
        <f t="shared" si="25"/>
        <v>0.18664959347545598</v>
      </c>
      <c r="V300" s="29">
        <f t="shared" si="26"/>
        <v>2.1724127264754547E-3</v>
      </c>
    </row>
    <row r="301" spans="18:22" x14ac:dyDescent="0.4">
      <c r="R301" s="28">
        <f t="shared" si="22"/>
        <v>22.079999999999881</v>
      </c>
      <c r="S301" s="29">
        <f t="shared" si="23"/>
        <v>6.5942047782372296E-2</v>
      </c>
      <c r="T301" s="29">
        <f t="shared" si="24"/>
        <v>0.18130598516152435</v>
      </c>
      <c r="U301" s="29">
        <f t="shared" si="25"/>
        <v>0.18688403656689734</v>
      </c>
      <c r="V301" s="29">
        <f t="shared" si="26"/>
        <v>2.1752571686405949E-3</v>
      </c>
    </row>
    <row r="302" spans="18:22" x14ac:dyDescent="0.4">
      <c r="R302" s="28">
        <f t="shared" si="22"/>
        <v>22.159999999999879</v>
      </c>
      <c r="S302" s="29">
        <f t="shared" si="23"/>
        <v>6.5949921301533793E-2</v>
      </c>
      <c r="T302" s="29">
        <f t="shared" si="24"/>
        <v>0.18130601519137418</v>
      </c>
      <c r="U302" s="29">
        <f t="shared" si="25"/>
        <v>0.18711690970160508</v>
      </c>
      <c r="V302" s="29">
        <f t="shared" si="26"/>
        <v>2.1780825628994888E-3</v>
      </c>
    </row>
    <row r="303" spans="18:22" x14ac:dyDescent="0.4">
      <c r="R303" s="28">
        <f t="shared" si="22"/>
        <v>22.239999999999878</v>
      </c>
      <c r="S303" s="29">
        <f t="shared" si="23"/>
        <v>6.5957652783766599E-2</v>
      </c>
      <c r="T303" s="29">
        <f t="shared" si="24"/>
        <v>0.18130604467929209</v>
      </c>
      <c r="U303" s="29">
        <f t="shared" si="25"/>
        <v>0.1873482233927837</v>
      </c>
      <c r="V303" s="29">
        <f t="shared" si="26"/>
        <v>2.1808890368062248E-3</v>
      </c>
    </row>
    <row r="304" spans="18:22" x14ac:dyDescent="0.4">
      <c r="R304" s="28">
        <f t="shared" si="22"/>
        <v>22.319999999999876</v>
      </c>
      <c r="S304" s="29">
        <f t="shared" si="23"/>
        <v>6.5965244791392444E-2</v>
      </c>
      <c r="T304" s="29">
        <f t="shared" si="24"/>
        <v>0.18130607363506976</v>
      </c>
      <c r="U304" s="29">
        <f t="shared" si="25"/>
        <v>0.18757798808323733</v>
      </c>
      <c r="V304" s="29">
        <f t="shared" si="26"/>
        <v>2.1836767170607422E-3</v>
      </c>
    </row>
    <row r="305" spans="18:22" x14ac:dyDescent="0.4">
      <c r="R305" s="28">
        <f t="shared" si="22"/>
        <v>22.399999999999874</v>
      </c>
      <c r="S305" s="29">
        <f t="shared" si="23"/>
        <v>6.5972699840509186E-2</v>
      </c>
      <c r="T305" s="29">
        <f t="shared" si="24"/>
        <v>0.18130610206832101</v>
      </c>
      <c r="U305" s="29">
        <f t="shared" si="25"/>
        <v>0.18780621414584112</v>
      </c>
      <c r="V305" s="29">
        <f t="shared" si="26"/>
        <v>2.1864457295145512E-3</v>
      </c>
    </row>
    <row r="306" spans="18:22" x14ac:dyDescent="0.4">
      <c r="R306" s="28">
        <f t="shared" si="22"/>
        <v>22.479999999999873</v>
      </c>
      <c r="S306" s="29">
        <f t="shared" si="23"/>
        <v>6.5980020401824727E-2</v>
      </c>
      <c r="T306" s="29">
        <f t="shared" si="24"/>
        <v>0.18130612998848519</v>
      </c>
      <c r="U306" s="29">
        <f t="shared" si="25"/>
        <v>0.18803291188400945</v>
      </c>
      <c r="V306" s="29">
        <f t="shared" si="26"/>
        <v>2.1891961991764141E-3</v>
      </c>
    </row>
    <row r="307" spans="18:22" x14ac:dyDescent="0.4">
      <c r="R307" s="28">
        <f t="shared" si="22"/>
        <v>22.559999999999871</v>
      </c>
      <c r="S307" s="29">
        <f t="shared" si="23"/>
        <v>6.5987208901475816E-2</v>
      </c>
      <c r="T307" s="29">
        <f t="shared" si="24"/>
        <v>0.18130615740483033</v>
      </c>
      <c r="U307" s="29">
        <f t="shared" si="25"/>
        <v>0.18825809153216116</v>
      </c>
      <c r="V307" s="29">
        <f t="shared" si="26"/>
        <v>2.1919282502179879E-3</v>
      </c>
    </row>
    <row r="308" spans="18:22" x14ac:dyDescent="0.4">
      <c r="R308" s="28">
        <f t="shared" si="22"/>
        <v>22.639999999999869</v>
      </c>
      <c r="S308" s="29">
        <f t="shared" si="23"/>
        <v>6.5994267721832131E-2</v>
      </c>
      <c r="T308" s="29">
        <f t="shared" si="24"/>
        <v>0.18130618432645637</v>
      </c>
      <c r="U308" s="29">
        <f t="shared" si="25"/>
        <v>0.18848176325618152</v>
      </c>
      <c r="V308" s="29">
        <f t="shared" si="26"/>
        <v>2.1946420059794302E-3</v>
      </c>
    </row>
    <row r="309" spans="18:22" x14ac:dyDescent="0.4">
      <c r="R309" s="28">
        <f t="shared" si="22"/>
        <v>22.719999999999867</v>
      </c>
      <c r="S309" s="29">
        <f t="shared" si="23"/>
        <v>6.6001199202285796E-2</v>
      </c>
      <c r="T309" s="29">
        <f t="shared" si="24"/>
        <v>0.18130621076229819</v>
      </c>
      <c r="U309" s="29">
        <f t="shared" si="25"/>
        <v>0.18870393715388101</v>
      </c>
      <c r="V309" s="29">
        <f t="shared" si="26"/>
        <v>2.1973375889749662E-3</v>
      </c>
    </row>
    <row r="310" spans="18:22" x14ac:dyDescent="0.4">
      <c r="R310" s="28">
        <f t="shared" si="22"/>
        <v>22.799999999999866</v>
      </c>
      <c r="S310" s="29">
        <f t="shared" si="23"/>
        <v>6.6008005640026707E-2</v>
      </c>
      <c r="T310" s="29">
        <f t="shared" si="24"/>
        <v>0.18130623672112872</v>
      </c>
      <c r="U310" s="29">
        <f t="shared" si="25"/>
        <v>0.18892462325545131</v>
      </c>
      <c r="V310" s="29">
        <f t="shared" si="26"/>
        <v>2.2000151208984207E-3</v>
      </c>
    </row>
    <row r="311" spans="18:22" x14ac:dyDescent="0.4">
      <c r="R311" s="28">
        <f t="shared" si="22"/>
        <v>22.879999999999864</v>
      </c>
      <c r="S311" s="29">
        <f t="shared" si="23"/>
        <v>6.6014689290803841E-2</v>
      </c>
      <c r="T311" s="29">
        <f t="shared" si="24"/>
        <v>0.18130626221156193</v>
      </c>
      <c r="U311" s="29">
        <f t="shared" si="25"/>
        <v>0.189143831523918</v>
      </c>
      <c r="V311" s="29">
        <f t="shared" si="26"/>
        <v>2.2026747226287094E-3</v>
      </c>
    </row>
    <row r="312" spans="18:22" x14ac:dyDescent="0.4">
      <c r="R312" s="28">
        <f t="shared" si="22"/>
        <v>22.959999999999862</v>
      </c>
      <c r="S312" s="29">
        <f t="shared" si="23"/>
        <v>6.6021252369672878E-2</v>
      </c>
      <c r="T312" s="29">
        <f t="shared" si="24"/>
        <v>0.18130628724205564</v>
      </c>
      <c r="U312" s="29">
        <f t="shared" si="25"/>
        <v>0.18936157185559035</v>
      </c>
      <c r="V312" s="29">
        <f t="shared" si="26"/>
        <v>2.2053165142352973E-3</v>
      </c>
    </row>
    <row r="313" spans="18:22" x14ac:dyDescent="0.4">
      <c r="R313" s="28">
        <f t="shared" si="22"/>
        <v>23.039999999999861</v>
      </c>
      <c r="S313" s="29">
        <f t="shared" si="23"/>
        <v>6.6027697051730255E-2</v>
      </c>
      <c r="T313" s="29">
        <f t="shared" si="24"/>
        <v>0.1813063118209145</v>
      </c>
      <c r="U313" s="29">
        <f t="shared" si="25"/>
        <v>0.18957785408050809</v>
      </c>
      <c r="V313" s="29">
        <f t="shared" si="26"/>
        <v>2.2079406149836177E-3</v>
      </c>
    </row>
    <row r="314" spans="18:22" x14ac:dyDescent="0.4">
      <c r="R314" s="28">
        <f t="shared" si="22"/>
        <v>23.119999999999859</v>
      </c>
      <c r="S314" s="29">
        <f t="shared" si="23"/>
        <v>6.6034025472834046E-2</v>
      </c>
      <c r="T314" s="29">
        <f t="shared" si="24"/>
        <v>0.18130633595629286</v>
      </c>
      <c r="U314" s="29">
        <f t="shared" si="25"/>
        <v>0.18979268796288498</v>
      </c>
      <c r="V314" s="29">
        <f t="shared" si="26"/>
        <v>2.2105471433404573E-3</v>
      </c>
    </row>
    <row r="315" spans="18:22" x14ac:dyDescent="0.4">
      <c r="R315" s="28">
        <f t="shared" si="22"/>
        <v>23.199999999999857</v>
      </c>
      <c r="S315" s="29">
        <f t="shared" si="23"/>
        <v>6.6040239730311812E-2</v>
      </c>
      <c r="T315" s="29">
        <f t="shared" si="24"/>
        <v>0.18130635965619732</v>
      </c>
      <c r="U315" s="29">
        <f t="shared" si="25"/>
        <v>0.19000608320154982</v>
      </c>
      <c r="V315" s="29">
        <f t="shared" si="26"/>
        <v>2.2131362169793035E-3</v>
      </c>
    </row>
    <row r="316" spans="18:22" x14ac:dyDescent="0.4">
      <c r="R316" s="28">
        <f t="shared" si="22"/>
        <v>23.279999999999855</v>
      </c>
      <c r="S316" s="29">
        <f t="shared" si="23"/>
        <v>6.6046341883655699E-2</v>
      </c>
      <c r="T316" s="29">
        <f t="shared" si="24"/>
        <v>0.18130638292848961</v>
      </c>
      <c r="U316" s="29">
        <f t="shared" si="25"/>
        <v>0.19021804943038415</v>
      </c>
      <c r="V316" s="29">
        <f t="shared" si="26"/>
        <v>2.215707952785655E-3</v>
      </c>
    </row>
    <row r="317" spans="18:22" x14ac:dyDescent="0.4">
      <c r="R317" s="28">
        <f t="shared" si="22"/>
        <v>23.359999999999854</v>
      </c>
      <c r="S317" s="29">
        <f t="shared" si="23"/>
        <v>6.6052333955204962E-2</v>
      </c>
      <c r="T317" s="29">
        <f t="shared" si="24"/>
        <v>0.18130640578088916</v>
      </c>
      <c r="U317" s="29">
        <f t="shared" si="25"/>
        <v>0.1904285962187571</v>
      </c>
      <c r="V317" s="29">
        <f t="shared" si="26"/>
        <v>2.2182624668623E-3</v>
      </c>
    </row>
    <row r="318" spans="18:22" x14ac:dyDescent="0.4">
      <c r="R318" s="28">
        <f t="shared" si="22"/>
        <v>23.439999999999852</v>
      </c>
      <c r="S318" s="29">
        <f t="shared" si="23"/>
        <v>6.605821793081619E-2</v>
      </c>
      <c r="T318" s="29">
        <f t="shared" si="24"/>
        <v>0.18130642822097576</v>
      </c>
      <c r="U318" s="29">
        <f t="shared" si="25"/>
        <v>0.19063773307195758</v>
      </c>
      <c r="V318" s="29">
        <f t="shared" si="26"/>
        <v>2.2207998745345579E-3</v>
      </c>
    </row>
    <row r="319" spans="18:22" x14ac:dyDescent="0.4">
      <c r="R319" s="28">
        <f t="shared" si="22"/>
        <v>23.51999999999985</v>
      </c>
      <c r="S319" s="29">
        <f t="shared" si="23"/>
        <v>6.6063995760521493E-2</v>
      </c>
      <c r="T319" s="29">
        <f t="shared" si="24"/>
        <v>0.18130645025619205</v>
      </c>
      <c r="U319" s="29">
        <f t="shared" si="25"/>
        <v>0.19084546943162312</v>
      </c>
      <c r="V319" s="29">
        <f t="shared" si="26"/>
        <v>2.2233202903554823E-3</v>
      </c>
    </row>
    <row r="320" spans="18:22" x14ac:dyDescent="0.4">
      <c r="R320" s="28">
        <f t="shared" si="22"/>
        <v>23.599999999999849</v>
      </c>
      <c r="S320" s="29">
        <f t="shared" si="23"/>
        <v>6.6069669359174701E-2</v>
      </c>
      <c r="T320" s="29">
        <f t="shared" si="24"/>
        <v>0.18130647189384605</v>
      </c>
      <c r="U320" s="29">
        <f t="shared" si="25"/>
        <v>0.19105181467616622</v>
      </c>
      <c r="V320" s="29">
        <f t="shared" si="26"/>
        <v>2.2258238281110351E-3</v>
      </c>
    </row>
    <row r="321" spans="18:22" x14ac:dyDescent="0.4">
      <c r="R321" s="28">
        <f t="shared" si="22"/>
        <v>23.679999999999847</v>
      </c>
      <c r="S321" s="29">
        <f t="shared" si="23"/>
        <v>6.6075240607086042E-2</v>
      </c>
      <c r="T321" s="29">
        <f t="shared" si="24"/>
        <v>0.18130649314111369</v>
      </c>
      <c r="U321" s="29">
        <f t="shared" si="25"/>
        <v>0.19125677812119773</v>
      </c>
      <c r="V321" s="29">
        <f t="shared" si="26"/>
        <v>2.2283106008252214E-3</v>
      </c>
    </row>
    <row r="322" spans="18:22" x14ac:dyDescent="0.4">
      <c r="R322" s="28">
        <f t="shared" si="22"/>
        <v>23.759999999999845</v>
      </c>
      <c r="S322" s="29">
        <f t="shared" si="23"/>
        <v>6.6080711350645263E-2</v>
      </c>
      <c r="T322" s="29">
        <f t="shared" si="24"/>
        <v>0.18130651400504103</v>
      </c>
      <c r="U322" s="29">
        <f t="shared" si="25"/>
        <v>0.19146036901994729</v>
      </c>
      <c r="V322" s="29">
        <f t="shared" si="26"/>
        <v>2.2307807207651931E-3</v>
      </c>
    </row>
    <row r="323" spans="18:22" x14ac:dyDescent="0.4">
      <c r="R323" s="28">
        <f t="shared" si="22"/>
        <v>23.839999999999844</v>
      </c>
      <c r="S323" s="29">
        <f t="shared" si="23"/>
        <v>6.6086083402933551E-2</v>
      </c>
      <c r="T323" s="29">
        <f t="shared" si="24"/>
        <v>0.1813065344925468</v>
      </c>
      <c r="U323" s="29">
        <f t="shared" si="25"/>
        <v>0.19166259656368112</v>
      </c>
      <c r="V323" s="29">
        <f t="shared" si="26"/>
        <v>2.2332342994463156E-3</v>
      </c>
    </row>
    <row r="324" spans="18:22" x14ac:dyDescent="0.4">
      <c r="R324" s="28">
        <f t="shared" si="22"/>
        <v>23.919999999999842</v>
      </c>
      <c r="S324" s="29">
        <f t="shared" si="23"/>
        <v>6.6091358544324422E-2</v>
      </c>
      <c r="T324" s="29">
        <f t="shared" si="24"/>
        <v>0.18130655461042469</v>
      </c>
      <c r="U324" s="29">
        <f t="shared" si="25"/>
        <v>0.19186346988211694</v>
      </c>
      <c r="V324" s="29">
        <f t="shared" si="26"/>
        <v>2.2356714476372019E-3</v>
      </c>
    </row>
    <row r="325" spans="18:22" x14ac:dyDescent="0.4">
      <c r="R325" s="28">
        <f t="shared" si="22"/>
        <v>23.99999999999984</v>
      </c>
      <c r="S325" s="29">
        <f t="shared" si="23"/>
        <v>6.6096538523073761E-2</v>
      </c>
      <c r="T325" s="29">
        <f t="shared" si="24"/>
        <v>0.18130657436534553</v>
      </c>
      <c r="U325" s="29">
        <f t="shared" si="25"/>
        <v>0.19206299804383606</v>
      </c>
      <c r="V325" s="29">
        <f t="shared" si="26"/>
        <v>2.2380922753647138E-3</v>
      </c>
    </row>
    <row r="326" spans="18:22" x14ac:dyDescent="0.4">
      <c r="R326" s="28">
        <f t="shared" si="22"/>
        <v>24.079999999999838</v>
      </c>
      <c r="S326" s="29">
        <f t="shared" si="23"/>
        <v>6.6101625055899227E-2</v>
      </c>
      <c r="T326" s="29">
        <f t="shared" si="24"/>
        <v>0.18130659376385963</v>
      </c>
      <c r="U326" s="29">
        <f t="shared" si="25"/>
        <v>0.19226119005669276</v>
      </c>
      <c r="V326" s="29">
        <f t="shared" si="26"/>
        <v>2.2404968919189278E-3</v>
      </c>
    </row>
    <row r="327" spans="18:22" x14ac:dyDescent="0.4">
      <c r="R327" s="28">
        <f t="shared" si="22"/>
        <v>24.159999999999837</v>
      </c>
      <c r="S327" s="29">
        <f t="shared" si="23"/>
        <v>6.6106619828549179E-2</v>
      </c>
      <c r="T327" s="29">
        <f t="shared" si="24"/>
        <v>0.18130661281239893</v>
      </c>
      <c r="U327" s="29">
        <f t="shared" si="25"/>
        <v>0.19245805486822098</v>
      </c>
      <c r="V327" s="29">
        <f t="shared" si="26"/>
        <v>2.2428854058580703E-3</v>
      </c>
    </row>
    <row r="328" spans="18:22" x14ac:dyDescent="0.4">
      <c r="R328" s="28">
        <f t="shared" si="22"/>
        <v>24.239999999999835</v>
      </c>
      <c r="S328" s="29">
        <f t="shared" si="23"/>
        <v>6.611152449636136E-2</v>
      </c>
      <c r="T328" s="29">
        <f t="shared" si="24"/>
        <v>0.18130663151727913</v>
      </c>
      <c r="U328" s="29">
        <f t="shared" si="25"/>
        <v>0.19265360136603824</v>
      </c>
      <c r="V328" s="29">
        <f t="shared" si="26"/>
        <v>2.2452579250134162E-3</v>
      </c>
    </row>
    <row r="329" spans="18:22" x14ac:dyDescent="0.4">
      <c r="R329" s="28">
        <f t="shared" si="22"/>
        <v>24.319999999999833</v>
      </c>
      <c r="S329" s="29">
        <f t="shared" si="23"/>
        <v>6.6116340684811523E-2</v>
      </c>
      <c r="T329" s="29">
        <f t="shared" si="24"/>
        <v>0.18130664988470188</v>
      </c>
      <c r="U329" s="29">
        <f t="shared" si="25"/>
        <v>0.19284783837824668</v>
      </c>
      <c r="V329" s="29">
        <f t="shared" si="26"/>
        <v>2.2476145564941574E-3</v>
      </c>
    </row>
    <row r="330" spans="18:22" x14ac:dyDescent="0.4">
      <c r="R330" s="28">
        <f t="shared" si="22"/>
        <v>24.399999999999832</v>
      </c>
      <c r="S330" s="29">
        <f t="shared" si="23"/>
        <v>6.61210699900521E-2</v>
      </c>
      <c r="T330" s="29">
        <f t="shared" si="24"/>
        <v>0.18130666792075673</v>
      </c>
      <c r="U330" s="29">
        <f t="shared" si="25"/>
        <v>0.19304077467383191</v>
      </c>
      <c r="V330" s="29">
        <f t="shared" si="26"/>
        <v>2.249955406692239E-3</v>
      </c>
    </row>
    <row r="331" spans="18:22" x14ac:dyDescent="0.4">
      <c r="R331" s="28">
        <f t="shared" si="22"/>
        <v>24.47999999999983</v>
      </c>
      <c r="S331" s="29">
        <f t="shared" si="23"/>
        <v>6.6125713979441225E-2</v>
      </c>
      <c r="T331" s="29">
        <f t="shared" si="24"/>
        <v>0.18130668563142327</v>
      </c>
      <c r="U331" s="29">
        <f t="shared" si="25"/>
        <v>0.19323241896305854</v>
      </c>
      <c r="V331" s="29">
        <f t="shared" si="26"/>
        <v>2.2522805812871609E-3</v>
      </c>
    </row>
    <row r="332" spans="18:22" x14ac:dyDescent="0.4">
      <c r="R332" s="28">
        <f t="shared" si="22"/>
        <v>24.559999999999828</v>
      </c>
      <c r="S332" s="29">
        <f t="shared" si="23"/>
        <v>6.6130274192062161E-2</v>
      </c>
      <c r="T332" s="29">
        <f t="shared" si="24"/>
        <v>0.18130670302257304</v>
      </c>
      <c r="U332" s="29">
        <f t="shared" si="25"/>
        <v>0.19342277989786358</v>
      </c>
      <c r="V332" s="29">
        <f t="shared" si="26"/>
        <v>2.2545901852507487E-3</v>
      </c>
    </row>
    <row r="333" spans="18:22" x14ac:dyDescent="0.4">
      <c r="R333" s="28">
        <f t="shared" si="22"/>
        <v>24.639999999999826</v>
      </c>
      <c r="S333" s="29">
        <f t="shared" si="23"/>
        <v>6.6134752139233352E-2</v>
      </c>
      <c r="T333" s="29">
        <f t="shared" si="24"/>
        <v>0.18130672009997159</v>
      </c>
      <c r="U333" s="29">
        <f t="shared" si="25"/>
        <v>0.19361186607224695</v>
      </c>
      <c r="V333" s="29">
        <f t="shared" si="26"/>
        <v>2.2568843228518922E-3</v>
      </c>
    </row>
    <row r="334" spans="18:22" x14ac:dyDescent="0.4">
      <c r="R334" s="28">
        <f t="shared" si="22"/>
        <v>24.719999999999825</v>
      </c>
      <c r="S334" s="29">
        <f t="shared" si="23"/>
        <v>6.6139149305009345E-2</v>
      </c>
      <c r="T334" s="29">
        <f t="shared" si="24"/>
        <v>0.18130673686928031</v>
      </c>
      <c r="U334" s="29">
        <f t="shared" si="25"/>
        <v>0.19379968602265946</v>
      </c>
      <c r="V334" s="29">
        <f t="shared" si="26"/>
        <v>2.2591630976612534E-3</v>
      </c>
    </row>
    <row r="335" spans="18:22" x14ac:dyDescent="0.4">
      <c r="R335" s="28">
        <f t="shared" si="22"/>
        <v>24.799999999999823</v>
      </c>
      <c r="S335" s="29">
        <f t="shared" si="23"/>
        <v>6.6143467146672588E-2</v>
      </c>
      <c r="T335" s="29">
        <f t="shared" si="24"/>
        <v>0.18130675333605833</v>
      </c>
      <c r="U335" s="29">
        <f t="shared" si="25"/>
        <v>0.19398624822838814</v>
      </c>
      <c r="V335" s="29">
        <f t="shared" si="26"/>
        <v>2.2614266125559413E-3</v>
      </c>
    </row>
    <row r="336" spans="18:22" x14ac:dyDescent="0.4">
      <c r="R336" s="28">
        <f t="shared" si="22"/>
        <v>24.879999999999821</v>
      </c>
      <c r="S336" s="29">
        <f t="shared" si="23"/>
        <v>6.614770709521639E-2</v>
      </c>
      <c r="T336" s="29">
        <f t="shared" si="24"/>
        <v>0.18130676950576446</v>
      </c>
      <c r="U336" s="29">
        <f t="shared" si="25"/>
        <v>0.19417156111193906</v>
      </c>
      <c r="V336" s="29">
        <f t="shared" si="26"/>
        <v>2.2636749697241558E-3</v>
      </c>
    </row>
    <row r="337" spans="18:22" x14ac:dyDescent="0.4">
      <c r="R337" s="28">
        <f t="shared" si="22"/>
        <v>24.95999999999982</v>
      </c>
      <c r="S337" s="29">
        <f t="shared" si="23"/>
        <v>6.6151870555819212E-2</v>
      </c>
      <c r="T337" s="29">
        <f t="shared" si="24"/>
        <v>0.18130678538375891</v>
      </c>
      <c r="U337" s="29">
        <f t="shared" si="25"/>
        <v>0.1943556330394175</v>
      </c>
      <c r="V337" s="29">
        <f t="shared" si="26"/>
        <v>2.2659082706698009E-3</v>
      </c>
    </row>
    <row r="338" spans="18:22" x14ac:dyDescent="0.4">
      <c r="R338" s="28">
        <f t="shared" si="22"/>
        <v>25.039999999999818</v>
      </c>
      <c r="S338" s="29">
        <f t="shared" si="23"/>
        <v>6.6155958908310331E-2</v>
      </c>
      <c r="T338" s="29">
        <f t="shared" si="24"/>
        <v>0.1813068009753051</v>
      </c>
      <c r="U338" s="29">
        <f t="shared" si="25"/>
        <v>0.19453847232090565</v>
      </c>
      <c r="V338" s="29">
        <f t="shared" si="26"/>
        <v>2.268126616217067E-3</v>
      </c>
    </row>
    <row r="339" spans="18:22" x14ac:dyDescent="0.4">
      <c r="R339" s="28">
        <f t="shared" si="22"/>
        <v>25.119999999999816</v>
      </c>
      <c r="S339" s="29">
        <f t="shared" si="23"/>
        <v>6.6159973507627132E-2</v>
      </c>
      <c r="T339" s="29">
        <f t="shared" si="24"/>
        <v>0.18130681628557144</v>
      </c>
      <c r="U339" s="29">
        <f t="shared" si="25"/>
        <v>0.19472008721083781</v>
      </c>
      <c r="V339" s="29">
        <f t="shared" si="26"/>
        <v>2.2703301065149827E-3</v>
      </c>
    </row>
    <row r="340" spans="18:22" x14ac:dyDescent="0.4">
      <c r="R340" s="28">
        <f t="shared" si="22"/>
        <v>25.199999999999815</v>
      </c>
      <c r="S340" s="29">
        <f t="shared" si="23"/>
        <v>6.6163915684264163E-2</v>
      </c>
      <c r="T340" s="29">
        <f t="shared" si="24"/>
        <v>0.18130683131963299</v>
      </c>
      <c r="U340" s="29">
        <f t="shared" si="25"/>
        <v>0.19490048590837289</v>
      </c>
      <c r="V340" s="29">
        <f t="shared" si="26"/>
        <v>2.2725188410419352E-3</v>
      </c>
    </row>
    <row r="341" spans="18:22" x14ac:dyDescent="0.4">
      <c r="R341" s="28">
        <f t="shared" si="22"/>
        <v>25.279999999999813</v>
      </c>
      <c r="S341" s="29">
        <f t="shared" si="23"/>
        <v>6.6167786744714088E-2</v>
      </c>
      <c r="T341" s="29">
        <f t="shared" si="24"/>
        <v>0.18130684608247327</v>
      </c>
      <c r="U341" s="29">
        <f t="shared" si="25"/>
        <v>0.19507967655776468</v>
      </c>
      <c r="V341" s="29">
        <f t="shared" si="26"/>
        <v>2.2746929186101615E-3</v>
      </c>
    </row>
    <row r="342" spans="18:22" x14ac:dyDescent="0.4">
      <c r="R342" s="28">
        <f t="shared" si="22"/>
        <v>25.359999999999811</v>
      </c>
      <c r="S342" s="29">
        <f t="shared" si="23"/>
        <v>6.6171587971900675E-2</v>
      </c>
      <c r="T342" s="29">
        <f t="shared" si="24"/>
        <v>0.18130686057898576</v>
      </c>
      <c r="U342" s="29">
        <f t="shared" si="25"/>
        <v>0.19525766724872937</v>
      </c>
      <c r="V342" s="29">
        <f t="shared" si="26"/>
        <v>2.2768524373702093E-3</v>
      </c>
    </row>
    <row r="343" spans="18:22" x14ac:dyDescent="0.4">
      <c r="R343" s="28">
        <f t="shared" si="22"/>
        <v>25.439999999999809</v>
      </c>
      <c r="S343" s="29">
        <f t="shared" si="23"/>
        <v>6.6175320625603939E-2</v>
      </c>
      <c r="T343" s="29">
        <f t="shared" si="24"/>
        <v>0.18130687481397564</v>
      </c>
      <c r="U343" s="29">
        <f t="shared" si="25"/>
        <v>0.19543446601681089</v>
      </c>
      <c r="V343" s="29">
        <f t="shared" si="26"/>
        <v>2.2789974948153667E-3</v>
      </c>
    </row>
    <row r="344" spans="18:22" x14ac:dyDescent="0.4">
      <c r="R344" s="28">
        <f t="shared" si="22"/>
        <v>25.519999999999808</v>
      </c>
      <c r="S344" s="29">
        <f t="shared" si="23"/>
        <v>6.6178985942877716E-2</v>
      </c>
      <c r="T344" s="29">
        <f t="shared" si="24"/>
        <v>0.18130688879216136</v>
      </c>
      <c r="U344" s="29">
        <f t="shared" si="25"/>
        <v>0.19561008084374354</v>
      </c>
      <c r="V344" s="29">
        <f t="shared" si="26"/>
        <v>2.2811281877860648E-3</v>
      </c>
    </row>
    <row r="345" spans="18:22" x14ac:dyDescent="0.4">
      <c r="R345" s="28">
        <f t="shared" si="22"/>
        <v>25.599999999999806</v>
      </c>
      <c r="S345" s="29">
        <f t="shared" si="23"/>
        <v>6.6182585138459593E-2</v>
      </c>
      <c r="T345" s="29">
        <f t="shared" si="24"/>
        <v>0.18130690251817622</v>
      </c>
      <c r="U345" s="29">
        <f t="shared" si="25"/>
        <v>0.19578451965781243</v>
      </c>
      <c r="V345" s="29">
        <f t="shared" si="26"/>
        <v>2.2832446124742486E-3</v>
      </c>
    </row>
    <row r="346" spans="18:22" x14ac:dyDescent="0.4">
      <c r="R346" s="28">
        <f t="shared" ref="R346:R409" si="27">R345+$S$22</f>
        <v>25.679999999999804</v>
      </c>
      <c r="S346" s="29">
        <f t="shared" ref="S346:S409" si="28">IF(S$13,S345*S$18+(S$14+S$15*IF(S$17,$D$71,0))*S$19,NA())</f>
        <v>6.618611940517348E-2</v>
      </c>
      <c r="T346" s="29">
        <f t="shared" ref="T346:T409" si="29">IF(T$13,T345*T$18+(T$14+T$15*IF(T$17,$D$71,(S345+S346)/2))*T$19,NA())</f>
        <v>0.18130691599656981</v>
      </c>
      <c r="U346" s="29">
        <f t="shared" ref="U346:U409" si="30">IF(U$13,U345*U$18+(U$14+U$15*IF(U$17,$D$71,(T345+T346)/2))*U$19,NA())</f>
        <v>0.19595779033421129</v>
      </c>
      <c r="V346" s="29">
        <f t="shared" ref="V346:V409" si="31">IF(V$13,V345*V$18+(V$14+V$15*IF(V$17,$D$71,(U345+U346)/2))*V$19,NA())</f>
        <v>2.2853468644277192E-3</v>
      </c>
    </row>
    <row r="347" spans="18:22" x14ac:dyDescent="0.4">
      <c r="R347" s="28">
        <f t="shared" si="27"/>
        <v>25.759999999999803</v>
      </c>
      <c r="S347" s="29">
        <f t="shared" si="28"/>
        <v>6.618958991432497E-2</v>
      </c>
      <c r="T347" s="29">
        <f t="shared" si="29"/>
        <v>0.18130692923180969</v>
      </c>
      <c r="U347" s="29">
        <f t="shared" si="30"/>
        <v>0.19612990069539804</v>
      </c>
      <c r="V347" s="29">
        <f t="shared" si="31"/>
        <v>2.2874350385544474E-3</v>
      </c>
    </row>
    <row r="348" spans="18:22" x14ac:dyDescent="0.4">
      <c r="R348" s="28">
        <f t="shared" si="27"/>
        <v>25.839999999999801</v>
      </c>
      <c r="S348" s="29">
        <f t="shared" si="28"/>
        <v>6.6192997816089505E-2</v>
      </c>
      <c r="T348" s="29">
        <f t="shared" si="29"/>
        <v>0.18130694222828275</v>
      </c>
      <c r="U348" s="29">
        <f t="shared" si="30"/>
        <v>0.19630085851144788</v>
      </c>
      <c r="V348" s="29">
        <f t="shared" si="31"/>
        <v>2.2895092291268584E-3</v>
      </c>
    </row>
    <row r="349" spans="18:22" x14ac:dyDescent="0.4">
      <c r="R349" s="28">
        <f t="shared" si="27"/>
        <v>25.919999999999799</v>
      </c>
      <c r="S349" s="29">
        <f t="shared" si="28"/>
        <v>6.6196344239893554E-2</v>
      </c>
      <c r="T349" s="29">
        <f t="shared" si="29"/>
        <v>0.18130695499029673</v>
      </c>
      <c r="U349" s="29">
        <f t="shared" si="30"/>
        <v>0.19647067150040409</v>
      </c>
      <c r="V349" s="29">
        <f t="shared" si="31"/>
        <v>2.2915695297860881E-3</v>
      </c>
    </row>
    <row r="350" spans="18:22" x14ac:dyDescent="0.4">
      <c r="R350" s="28">
        <f t="shared" si="27"/>
        <v>25.999999999999797</v>
      </c>
      <c r="S350" s="29">
        <f t="shared" si="28"/>
        <v>6.6199630294788939E-2</v>
      </c>
      <c r="T350" s="29">
        <f t="shared" si="29"/>
        <v>0.18130696752208159</v>
      </c>
      <c r="U350" s="29">
        <f t="shared" si="30"/>
        <v>0.1966393473286264</v>
      </c>
      <c r="V350" s="29">
        <f t="shared" si="31"/>
        <v>2.2936160335462084E-3</v>
      </c>
    </row>
    <row r="351" spans="18:22" x14ac:dyDescent="0.4">
      <c r="R351" s="28">
        <f t="shared" si="27"/>
        <v>26.079999999999796</v>
      </c>
      <c r="S351" s="29">
        <f t="shared" si="28"/>
        <v>6.6202857069820348E-2</v>
      </c>
      <c r="T351" s="29">
        <f t="shared" si="29"/>
        <v>0.18130697982779101</v>
      </c>
      <c r="U351" s="29">
        <f t="shared" si="30"/>
        <v>0.19680689361113718</v>
      </c>
      <c r="V351" s="29">
        <f t="shared" si="31"/>
        <v>2.2956488327984283E-3</v>
      </c>
    </row>
    <row r="352" spans="18:22" x14ac:dyDescent="0.4">
      <c r="R352" s="28">
        <f t="shared" si="27"/>
        <v>26.159999999999794</v>
      </c>
      <c r="S352" s="29">
        <f t="shared" si="28"/>
        <v>6.6206025634386323E-2</v>
      </c>
      <c r="T352" s="29">
        <f t="shared" si="29"/>
        <v>0.18130699191150362</v>
      </c>
      <c r="U352" s="29">
        <f t="shared" si="30"/>
        <v>0.19697331791196512</v>
      </c>
      <c r="V352" s="29">
        <f t="shared" si="31"/>
        <v>2.2976680193152635E-3</v>
      </c>
    </row>
    <row r="353" spans="18:22" x14ac:dyDescent="0.4">
      <c r="R353" s="28">
        <f t="shared" si="27"/>
        <v>26.239999999999792</v>
      </c>
      <c r="S353" s="29">
        <f t="shared" si="28"/>
        <v>6.620913703859363E-2</v>
      </c>
      <c r="T353" s="29">
        <f t="shared" si="29"/>
        <v>0.18130700377722458</v>
      </c>
      <c r="U353" s="29">
        <f t="shared" si="30"/>
        <v>0.19713862774448673</v>
      </c>
      <c r="V353" s="29">
        <f t="shared" si="31"/>
        <v>2.2996736842546793E-3</v>
      </c>
    </row>
    <row r="354" spans="18:22" x14ac:dyDescent="0.4">
      <c r="R354" s="28">
        <f t="shared" si="27"/>
        <v>26.319999999999791</v>
      </c>
      <c r="S354" s="29">
        <f t="shared" si="28"/>
        <v>6.6212192313605284E-2</v>
      </c>
      <c r="T354" s="29">
        <f t="shared" si="29"/>
        <v>0.18130701542888664</v>
      </c>
      <c r="U354" s="29">
        <f t="shared" si="30"/>
        <v>0.19730283057176551</v>
      </c>
      <c r="V354" s="29">
        <f t="shared" si="31"/>
        <v>2.301665918164207E-3</v>
      </c>
    </row>
    <row r="355" spans="18:22" x14ac:dyDescent="0.4">
      <c r="R355" s="28">
        <f t="shared" si="27"/>
        <v>26.399999999999789</v>
      </c>
      <c r="S355" s="29">
        <f t="shared" si="28"/>
        <v>6.6215192471982293E-2</v>
      </c>
      <c r="T355" s="29">
        <f t="shared" si="29"/>
        <v>0.18130702687035169</v>
      </c>
      <c r="U355" s="29">
        <f t="shared" si="30"/>
        <v>0.19746593380688884</v>
      </c>
      <c r="V355" s="29">
        <f t="shared" si="31"/>
        <v>2.3036448109850305E-3</v>
      </c>
    </row>
    <row r="356" spans="18:22" x14ac:dyDescent="0.4">
      <c r="R356" s="28">
        <f t="shared" si="27"/>
        <v>26.479999999999787</v>
      </c>
      <c r="S356" s="29">
        <f t="shared" si="28"/>
        <v>6.6218138508019248E-2</v>
      </c>
      <c r="T356" s="29">
        <f t="shared" si="29"/>
        <v>0.18130703810541182</v>
      </c>
      <c r="U356" s="29">
        <f t="shared" si="30"/>
        <v>0.19762794481330268</v>
      </c>
      <c r="V356" s="29">
        <f t="shared" si="31"/>
        <v>2.3056104520560463E-3</v>
      </c>
    </row>
    <row r="357" spans="18:22" x14ac:dyDescent="0.4">
      <c r="R357" s="28">
        <f t="shared" si="27"/>
        <v>26.559999999999786</v>
      </c>
      <c r="S357" s="29">
        <f t="shared" si="28"/>
        <v>6.6221031398073851E-2</v>
      </c>
      <c r="T357" s="29">
        <f t="shared" si="29"/>
        <v>0.1813070491377908</v>
      </c>
      <c r="U357" s="29">
        <f t="shared" si="30"/>
        <v>0.19778887090514394</v>
      </c>
      <c r="V357" s="29">
        <f t="shared" si="31"/>
        <v>2.3075629301178976E-3</v>
      </c>
    </row>
    <row r="358" spans="18:22" x14ac:dyDescent="0.4">
      <c r="R358" s="28">
        <f t="shared" si="27"/>
        <v>26.639999999999784</v>
      </c>
      <c r="S358" s="29">
        <f t="shared" si="28"/>
        <v>6.6223872100890452E-2</v>
      </c>
      <c r="T358" s="29">
        <f t="shared" si="29"/>
        <v>0.18130705997114518</v>
      </c>
      <c r="U358" s="29">
        <f t="shared" si="30"/>
        <v>0.19794871934757072</v>
      </c>
      <c r="V358" s="29">
        <f t="shared" si="31"/>
        <v>2.3095023333169792E-3</v>
      </c>
    </row>
    <row r="359" spans="18:22" x14ac:dyDescent="0.4">
      <c r="R359" s="28">
        <f t="shared" si="27"/>
        <v>26.719999999999782</v>
      </c>
      <c r="S359" s="29">
        <f t="shared" si="28"/>
        <v>6.6226661557917829E-2</v>
      </c>
      <c r="T359" s="29">
        <f t="shared" si="29"/>
        <v>0.18130707060906548</v>
      </c>
      <c r="U359" s="29">
        <f t="shared" si="30"/>
        <v>0.19810749735709024</v>
      </c>
      <c r="V359" s="29">
        <f t="shared" si="31"/>
        <v>2.3114287492094179E-3</v>
      </c>
    </row>
    <row r="360" spans="18:22" x14ac:dyDescent="0.4">
      <c r="R360" s="28">
        <f t="shared" si="27"/>
        <v>26.79999999999978</v>
      </c>
      <c r="S360" s="29">
        <f t="shared" si="28"/>
        <v>6.6229400693621196E-2</v>
      </c>
      <c r="T360" s="29">
        <f t="shared" si="29"/>
        <v>0.18130708105507748</v>
      </c>
      <c r="U360" s="29">
        <f t="shared" si="30"/>
        <v>0.19826521210188464</v>
      </c>
      <c r="V360" s="29">
        <f t="shared" si="31"/>
        <v>2.3133422647650245E-3</v>
      </c>
    </row>
    <row r="361" spans="18:22" x14ac:dyDescent="0.4">
      <c r="R361" s="28">
        <f t="shared" si="27"/>
        <v>26.879999999999779</v>
      </c>
      <c r="S361" s="29">
        <f t="shared" si="28"/>
        <v>6.623209041578855E-2</v>
      </c>
      <c r="T361" s="29">
        <f t="shared" si="29"/>
        <v>0.18130709131264333</v>
      </c>
      <c r="U361" s="29">
        <f t="shared" si="30"/>
        <v>0.19842187070213457</v>
      </c>
      <c r="V361" s="29">
        <f t="shared" si="31"/>
        <v>2.3152429663712195E-3</v>
      </c>
    </row>
    <row r="362" spans="18:22" x14ac:dyDescent="0.4">
      <c r="R362" s="28">
        <f t="shared" si="27"/>
        <v>26.959999999999777</v>
      </c>
      <c r="S362" s="29">
        <f t="shared" si="28"/>
        <v>6.6234731615831571E-2</v>
      </c>
      <c r="T362" s="29">
        <f t="shared" si="29"/>
        <v>0.18130710138516273</v>
      </c>
      <c r="U362" s="29">
        <f t="shared" si="30"/>
        <v>0.19857748023034064</v>
      </c>
      <c r="V362" s="29">
        <f t="shared" si="31"/>
        <v>2.3171309398369341E-3</v>
      </c>
    </row>
    <row r="363" spans="18:22" x14ac:dyDescent="0.4">
      <c r="R363" s="28">
        <f t="shared" si="27"/>
        <v>27.039999999999775</v>
      </c>
      <c r="S363" s="29">
        <f t="shared" si="28"/>
        <v>6.6237325169081027E-2</v>
      </c>
      <c r="T363" s="29">
        <f t="shared" si="29"/>
        <v>0.18130711127597401</v>
      </c>
      <c r="U363" s="29">
        <f t="shared" si="30"/>
        <v>0.19873204771164266</v>
      </c>
      <c r="V363" s="29">
        <f t="shared" si="31"/>
        <v>2.3190062703964832E-3</v>
      </c>
    </row>
    <row r="364" spans="18:22" x14ac:dyDescent="0.4">
      <c r="R364" s="28">
        <f t="shared" si="27"/>
        <v>27.119999999999774</v>
      </c>
      <c r="S364" s="29">
        <f t="shared" si="28"/>
        <v>6.6239871935076855E-2</v>
      </c>
      <c r="T364" s="29">
        <f t="shared" si="29"/>
        <v>0.18130712098835527</v>
      </c>
      <c r="U364" s="29">
        <f t="shared" si="30"/>
        <v>0.19888558012413687</v>
      </c>
      <c r="V364" s="29">
        <f t="shared" si="31"/>
        <v>2.3208690427134128E-3</v>
      </c>
    </row>
    <row r="365" spans="18:22" x14ac:dyDescent="0.4">
      <c r="R365" s="28">
        <f t="shared" si="27"/>
        <v>27.199999999999772</v>
      </c>
      <c r="S365" s="29">
        <f t="shared" si="28"/>
        <v>6.6242372757853052E-2</v>
      </c>
      <c r="T365" s="29">
        <f t="shared" si="29"/>
        <v>0.18130713052552547</v>
      </c>
      <c r="U365" s="29">
        <f t="shared" si="30"/>
        <v>0.19903808439919082</v>
      </c>
      <c r="V365" s="29">
        <f t="shared" si="31"/>
        <v>2.3227193408843229E-3</v>
      </c>
    </row>
    <row r="366" spans="18:22" x14ac:dyDescent="0.4">
      <c r="R366" s="28">
        <f t="shared" si="27"/>
        <v>27.27999999999977</v>
      </c>
      <c r="S366" s="29">
        <f t="shared" si="28"/>
        <v>6.6244828466217376E-2</v>
      </c>
      <c r="T366" s="29">
        <f t="shared" si="29"/>
        <v>0.18130713989064551</v>
      </c>
      <c r="U366" s="29">
        <f t="shared" si="30"/>
        <v>0.19918956742175639</v>
      </c>
      <c r="V366" s="29">
        <f t="shared" si="31"/>
        <v>2.3245572484426637E-3</v>
      </c>
    </row>
    <row r="367" spans="18:22" x14ac:dyDescent="0.4">
      <c r="R367" s="28">
        <f t="shared" si="27"/>
        <v>27.359999999999769</v>
      </c>
      <c r="S367" s="29">
        <f t="shared" si="28"/>
        <v>6.6247239874026045E-2</v>
      </c>
      <c r="T367" s="29">
        <f t="shared" si="29"/>
        <v>0.18130714908681922</v>
      </c>
      <c r="U367" s="29">
        <f t="shared" si="30"/>
        <v>0.1993400360306806</v>
      </c>
      <c r="V367" s="29">
        <f t="shared" si="31"/>
        <v>2.3263828483625058E-3</v>
      </c>
    </row>
    <row r="368" spans="18:22" x14ac:dyDescent="0.4">
      <c r="R368" s="28">
        <f t="shared" si="27"/>
        <v>27.439999999999767</v>
      </c>
      <c r="S368" s="29">
        <f t="shared" si="28"/>
        <v>6.6249607780453454E-2</v>
      </c>
      <c r="T368" s="29">
        <f t="shared" si="29"/>
        <v>0.18130715811709444</v>
      </c>
      <c r="U368" s="29">
        <f t="shared" si="30"/>
        <v>0.19948949701901428</v>
      </c>
      <c r="V368" s="29">
        <f t="shared" si="31"/>
        <v>2.3281962230622872E-3</v>
      </c>
    </row>
    <row r="369" spans="18:22" x14ac:dyDescent="0.4">
      <c r="R369" s="28">
        <f t="shared" si="27"/>
        <v>27.519999999999765</v>
      </c>
      <c r="S369" s="29">
        <f t="shared" si="28"/>
        <v>6.6251932970257013E-2</v>
      </c>
      <c r="T369" s="29">
        <f t="shared" si="29"/>
        <v>0.18130716698446409</v>
      </c>
      <c r="U369" s="29">
        <f t="shared" si="30"/>
        <v>0.19963795713431878</v>
      </c>
      <c r="V369" s="29">
        <f t="shared" si="31"/>
        <v>2.3299974544085337E-3</v>
      </c>
    </row>
    <row r="370" spans="18:22" x14ac:dyDescent="0.4">
      <c r="R370" s="28">
        <f t="shared" si="27"/>
        <v>27.599999999999763</v>
      </c>
      <c r="S370" s="29">
        <f t="shared" si="28"/>
        <v>6.6254216214037265E-2</v>
      </c>
      <c r="T370" s="29">
        <f t="shared" si="29"/>
        <v>0.18130717569186697</v>
      </c>
      <c r="U370" s="29">
        <f t="shared" si="30"/>
        <v>0.1997854230789706</v>
      </c>
      <c r="V370" s="29">
        <f t="shared" si="31"/>
        <v>2.3317866237195536E-3</v>
      </c>
    </row>
    <row r="371" spans="18:22" x14ac:dyDescent="0.4">
      <c r="R371" s="28">
        <f t="shared" si="27"/>
        <v>27.679999999999762</v>
      </c>
      <c r="S371" s="29">
        <f t="shared" si="28"/>
        <v>6.6256458268493232E-2</v>
      </c>
      <c r="T371" s="29">
        <f t="shared" si="29"/>
        <v>0.18130718424218897</v>
      </c>
      <c r="U371" s="29">
        <f t="shared" si="30"/>
        <v>0.19993190151046389</v>
      </c>
      <c r="V371" s="29">
        <f t="shared" si="31"/>
        <v>2.3335638117691101E-3</v>
      </c>
    </row>
    <row r="372" spans="18:22" x14ac:dyDescent="0.4">
      <c r="R372" s="28">
        <f t="shared" si="27"/>
        <v>27.75999999999976</v>
      </c>
      <c r="S372" s="29">
        <f t="shared" si="28"/>
        <v>6.6258659876673232E-2</v>
      </c>
      <c r="T372" s="29">
        <f t="shared" si="29"/>
        <v>0.18130719263826386</v>
      </c>
      <c r="U372" s="29">
        <f t="shared" si="30"/>
        <v>0.2000773990417111</v>
      </c>
      <c r="V372" s="29">
        <f t="shared" si="31"/>
        <v>2.3353290987900674E-3</v>
      </c>
    </row>
    <row r="373" spans="18:22" x14ac:dyDescent="0.4">
      <c r="R373" s="28">
        <f t="shared" si="27"/>
        <v>27.839999999999758</v>
      </c>
      <c r="S373" s="29">
        <f t="shared" si="28"/>
        <v>6.6260821768221095E-2</v>
      </c>
      <c r="T373" s="29">
        <f t="shared" si="29"/>
        <v>0.18130720088287428</v>
      </c>
      <c r="U373" s="29">
        <f t="shared" si="30"/>
        <v>0.20022192224134139</v>
      </c>
      <c r="V373" s="29">
        <f t="shared" si="31"/>
        <v>2.337082564478012E-3</v>
      </c>
    </row>
    <row r="374" spans="18:22" x14ac:dyDescent="0.4">
      <c r="R374" s="28">
        <f t="shared" si="27"/>
        <v>27.919999999999757</v>
      </c>
      <c r="S374" s="29">
        <f t="shared" si="28"/>
        <v>6.6262944659618045E-2</v>
      </c>
      <c r="T374" s="29">
        <f t="shared" si="29"/>
        <v>0.18130720897875269</v>
      </c>
      <c r="U374" s="29">
        <f t="shared" si="30"/>
        <v>0.20036547763399729</v>
      </c>
      <c r="V374" s="29">
        <f t="shared" si="31"/>
        <v>2.3388242879948513E-3</v>
      </c>
    </row>
    <row r="375" spans="18:22" x14ac:dyDescent="0.4">
      <c r="R375" s="28">
        <f t="shared" si="27"/>
        <v>27.999999999999755</v>
      </c>
      <c r="S375" s="29">
        <f t="shared" si="28"/>
        <v>6.6265029254420071E-2</v>
      </c>
      <c r="T375" s="29">
        <f t="shared" si="29"/>
        <v>0.1813072169285822</v>
      </c>
      <c r="U375" s="29">
        <f t="shared" si="30"/>
        <v>0.20050807170062918</v>
      </c>
      <c r="V375" s="29">
        <f t="shared" si="31"/>
        <v>2.3405543479723869E-3</v>
      </c>
    </row>
    <row r="376" spans="18:22" x14ac:dyDescent="0.4">
      <c r="R376" s="28">
        <f t="shared" si="27"/>
        <v>28.079999999999753</v>
      </c>
      <c r="S376" s="29">
        <f t="shared" si="28"/>
        <v>6.6267076243491138E-2</v>
      </c>
      <c r="T376" s="29">
        <f t="shared" si="29"/>
        <v>0.18130722473499761</v>
      </c>
      <c r="U376" s="29">
        <f t="shared" si="30"/>
        <v>0.20064971087878786</v>
      </c>
      <c r="V376" s="29">
        <f t="shared" si="31"/>
        <v>2.3422728225158647E-3</v>
      </c>
    </row>
    <row r="377" spans="18:22" x14ac:dyDescent="0.4">
      <c r="R377" s="28">
        <f t="shared" si="27"/>
        <v>28.159999999999751</v>
      </c>
      <c r="S377" s="29">
        <f t="shared" si="28"/>
        <v>6.6269086305232164E-2</v>
      </c>
      <c r="T377" s="29">
        <f t="shared" si="29"/>
        <v>0.1813072324005861</v>
      </c>
      <c r="U377" s="29">
        <f t="shared" si="30"/>
        <v>0.20079040156291519</v>
      </c>
      <c r="V377" s="29">
        <f t="shared" si="31"/>
        <v>2.3439797892075001E-3</v>
      </c>
    </row>
    <row r="378" spans="18:22" x14ac:dyDescent="0.4">
      <c r="R378" s="28">
        <f t="shared" si="27"/>
        <v>28.23999999999975</v>
      </c>
      <c r="S378" s="29">
        <f t="shared" si="28"/>
        <v>6.6271060105805801E-2</v>
      </c>
      <c r="T378" s="29">
        <f t="shared" si="29"/>
        <v>0.18130723992788822</v>
      </c>
      <c r="U378" s="29">
        <f t="shared" si="30"/>
        <v>0.2009301501046328</v>
      </c>
      <c r="V378" s="29">
        <f t="shared" si="31"/>
        <v>2.3456753251099812E-3</v>
      </c>
    </row>
    <row r="379" spans="18:22" x14ac:dyDescent="0.4">
      <c r="R379" s="28">
        <f t="shared" si="27"/>
        <v>28.319999999999748</v>
      </c>
      <c r="S379" s="29">
        <f t="shared" si="28"/>
        <v>6.6272998299357275E-2</v>
      </c>
      <c r="T379" s="29">
        <f t="shared" si="29"/>
        <v>0.18130724731939868</v>
      </c>
      <c r="U379" s="29">
        <f t="shared" si="30"/>
        <v>0.20106896281302872</v>
      </c>
      <c r="V379" s="29">
        <f t="shared" si="31"/>
        <v>2.3473595067699479E-3</v>
      </c>
    </row>
    <row r="380" spans="18:22" x14ac:dyDescent="0.4">
      <c r="R380" s="28">
        <f t="shared" si="27"/>
        <v>28.399999999999746</v>
      </c>
      <c r="S380" s="29">
        <f t="shared" si="28"/>
        <v>6.6274901528231123E-2</v>
      </c>
      <c r="T380" s="29">
        <f t="shared" si="29"/>
        <v>0.18130725457756713</v>
      </c>
      <c r="U380" s="29">
        <f t="shared" si="30"/>
        <v>0.20120684595494234</v>
      </c>
      <c r="V380" s="29">
        <f t="shared" si="31"/>
        <v>2.3490324102214463E-3</v>
      </c>
    </row>
    <row r="381" spans="18:22" x14ac:dyDescent="0.4">
      <c r="R381" s="28">
        <f t="shared" si="27"/>
        <v>28.479999999999745</v>
      </c>
      <c r="S381" s="29">
        <f t="shared" si="28"/>
        <v>6.6276770423184111E-2</v>
      </c>
      <c r="T381" s="29">
        <f t="shared" si="29"/>
        <v>0.18130726170479911</v>
      </c>
      <c r="U381" s="29">
        <f t="shared" si="30"/>
        <v>0.20134380575524721</v>
      </c>
      <c r="V381" s="29">
        <f t="shared" si="31"/>
        <v>2.3506941109893626E-3</v>
      </c>
    </row>
    <row r="382" spans="18:22" x14ac:dyDescent="0.4">
      <c r="R382" s="28">
        <f t="shared" si="27"/>
        <v>28.559999999999743</v>
      </c>
      <c r="S382" s="29">
        <f t="shared" si="28"/>
        <v>6.6278605603594248E-2</v>
      </c>
      <c r="T382" s="29">
        <f t="shared" si="29"/>
        <v>0.18130726870345668</v>
      </c>
      <c r="U382" s="29">
        <f t="shared" si="30"/>
        <v>0.20147984839713209</v>
      </c>
      <c r="V382" s="29">
        <f t="shared" si="31"/>
        <v>2.3523446840928324E-3</v>
      </c>
    </row>
    <row r="383" spans="18:22" x14ac:dyDescent="0.4">
      <c r="R383" s="28">
        <f t="shared" si="27"/>
        <v>28.639999999999741</v>
      </c>
      <c r="S383" s="29">
        <f t="shared" si="28"/>
        <v>6.6280407677666076E-2</v>
      </c>
      <c r="T383" s="29">
        <f t="shared" si="29"/>
        <v>0.18130727557585935</v>
      </c>
      <c r="U383" s="29">
        <f t="shared" si="30"/>
        <v>0.20161498002238015</v>
      </c>
      <c r="V383" s="29">
        <f t="shared" si="31"/>
        <v>2.3539842040486256E-3</v>
      </c>
    </row>
    <row r="384" spans="18:22" x14ac:dyDescent="0.4">
      <c r="R384" s="28">
        <f t="shared" si="27"/>
        <v>28.71999999999974</v>
      </c>
      <c r="S384" s="29">
        <f t="shared" si="28"/>
        <v>6.6282177242632231E-2</v>
      </c>
      <c r="T384" s="29">
        <f t="shared" si="29"/>
        <v>0.18130728232428478</v>
      </c>
      <c r="U384" s="29">
        <f t="shared" si="30"/>
        <v>0.20174920673164615</v>
      </c>
      <c r="V384" s="29">
        <f t="shared" si="31"/>
        <v>2.3556127448745132E-3</v>
      </c>
    </row>
    <row r="385" spans="18:22" x14ac:dyDescent="0.4">
      <c r="R385" s="28">
        <f t="shared" si="27"/>
        <v>28.799999999999738</v>
      </c>
      <c r="S385" s="29">
        <f t="shared" si="28"/>
        <v>6.6283914884951375E-2</v>
      </c>
      <c r="T385" s="29">
        <f t="shared" si="29"/>
        <v>0.18130728895096948</v>
      </c>
      <c r="U385" s="29">
        <f t="shared" si="30"/>
        <v>0.20188253458473185</v>
      </c>
      <c r="V385" s="29">
        <f t="shared" si="31"/>
        <v>2.3572303800926063E-3</v>
      </c>
    </row>
    <row r="386" spans="18:22" x14ac:dyDescent="0.4">
      <c r="R386" s="28">
        <f t="shared" si="27"/>
        <v>28.879999999999736</v>
      </c>
      <c r="S386" s="29">
        <f t="shared" si="28"/>
        <v>6.628562118050256E-2</v>
      </c>
      <c r="T386" s="29">
        <f t="shared" si="29"/>
        <v>0.1813072954581097</v>
      </c>
      <c r="U386" s="29">
        <f t="shared" si="30"/>
        <v>0.20201496960085968</v>
      </c>
      <c r="V386" s="29">
        <f t="shared" si="31"/>
        <v>2.3588371827326774E-3</v>
      </c>
    </row>
    <row r="387" spans="18:22" x14ac:dyDescent="0.4">
      <c r="R387" s="28">
        <f t="shared" si="27"/>
        <v>28.959999999999734</v>
      </c>
      <c r="S387" s="29">
        <f t="shared" si="28"/>
        <v>6.6287296694776079E-2</v>
      </c>
      <c r="T387" s="29">
        <f t="shared" si="29"/>
        <v>0.18130730184786198</v>
      </c>
      <c r="U387" s="29">
        <f t="shared" si="30"/>
        <v>0.20214651775894435</v>
      </c>
      <c r="V387" s="29">
        <f t="shared" si="31"/>
        <v>2.360433225335455E-3</v>
      </c>
    </row>
    <row r="388" spans="18:22" x14ac:dyDescent="0.4">
      <c r="R388" s="28">
        <f t="shared" si="27"/>
        <v>29.039999999999733</v>
      </c>
      <c r="S388" s="29">
        <f t="shared" si="28"/>
        <v>6.6288941983060887E-2</v>
      </c>
      <c r="T388" s="29">
        <f t="shared" si="29"/>
        <v>0.18130730812234402</v>
      </c>
      <c r="U388" s="29">
        <f t="shared" si="30"/>
        <v>0.20227718499786282</v>
      </c>
      <c r="V388" s="29">
        <f t="shared" si="31"/>
        <v>2.3620185799559006E-3</v>
      </c>
    </row>
    <row r="389" spans="18:22" x14ac:dyDescent="0.4">
      <c r="R389" s="28">
        <f t="shared" si="27"/>
        <v>29.119999999999731</v>
      </c>
      <c r="S389" s="29">
        <f t="shared" si="28"/>
        <v>6.6290557590628588E-2</v>
      </c>
      <c r="T389" s="29">
        <f t="shared" si="29"/>
        <v>0.18130731428363531</v>
      </c>
      <c r="U389" s="29">
        <f t="shared" si="30"/>
        <v>0.20240697721672246</v>
      </c>
      <c r="V389" s="29">
        <f t="shared" si="31"/>
        <v>2.3635933181664595E-3</v>
      </c>
    </row>
    <row r="390" spans="18:22" x14ac:dyDescent="0.4">
      <c r="R390" s="28">
        <f t="shared" si="27"/>
        <v>29.199999999999729</v>
      </c>
      <c r="S390" s="29">
        <f t="shared" si="28"/>
        <v>6.6292144052914226E-2</v>
      </c>
      <c r="T390" s="29">
        <f t="shared" si="29"/>
        <v>0.18130732033377775</v>
      </c>
      <c r="U390" s="29">
        <f t="shared" si="30"/>
        <v>0.20253590027512727</v>
      </c>
      <c r="V390" s="29">
        <f t="shared" si="31"/>
        <v>2.365157511060294E-3</v>
      </c>
    </row>
    <row r="391" spans="18:22" x14ac:dyDescent="0.4">
      <c r="R391" s="28">
        <f t="shared" si="27"/>
        <v>29.279999999999728</v>
      </c>
      <c r="S391" s="29">
        <f t="shared" si="28"/>
        <v>6.6293701895693655E-2</v>
      </c>
      <c r="T391" s="29">
        <f t="shared" si="29"/>
        <v>0.1813073262747765</v>
      </c>
      <c r="U391" s="29">
        <f t="shared" si="30"/>
        <v>0.20266395999344242</v>
      </c>
      <c r="V391" s="29">
        <f t="shared" si="31"/>
        <v>2.3667112292544913E-3</v>
      </c>
    </row>
    <row r="392" spans="18:22" x14ac:dyDescent="0.4">
      <c r="R392" s="28">
        <f t="shared" si="27"/>
        <v>29.359999999999726</v>
      </c>
      <c r="S392" s="29">
        <f t="shared" si="28"/>
        <v>6.6295231635257829E-2</v>
      </c>
      <c r="T392" s="29">
        <f t="shared" si="29"/>
        <v>0.18130733210860051</v>
      </c>
      <c r="U392" s="29">
        <f t="shared" si="30"/>
        <v>0.20279116215305709</v>
      </c>
      <c r="V392" s="29">
        <f t="shared" si="31"/>
        <v>2.3682545428932514E-3</v>
      </c>
    </row>
    <row r="393" spans="18:22" x14ac:dyDescent="0.4">
      <c r="R393" s="28">
        <f t="shared" si="27"/>
        <v>29.439999999999724</v>
      </c>
      <c r="S393" s="29">
        <f t="shared" si="28"/>
        <v>6.6296733778583916E-2</v>
      </c>
      <c r="T393" s="29">
        <f t="shared" si="29"/>
        <v>0.18130733783718317</v>
      </c>
      <c r="U393" s="29">
        <f t="shared" si="30"/>
        <v>0.20291751249664539</v>
      </c>
      <c r="V393" s="29">
        <f t="shared" si="31"/>
        <v>2.3697875216510556E-3</v>
      </c>
    </row>
    <row r="394" spans="18:22" x14ac:dyDescent="0.4">
      <c r="R394" s="28">
        <f t="shared" si="27"/>
        <v>29.519999999999722</v>
      </c>
      <c r="S394" s="29">
        <f t="shared" si="28"/>
        <v>6.6298208823503291E-2</v>
      </c>
      <c r="T394" s="29">
        <f t="shared" si="29"/>
        <v>0.18130734346242305</v>
      </c>
      <c r="U394" s="29">
        <f t="shared" si="30"/>
        <v>0.20304301672842562</v>
      </c>
      <c r="V394" s="29">
        <f t="shared" si="31"/>
        <v>2.3713102347358095E-3</v>
      </c>
    </row>
    <row r="395" spans="18:22" x14ac:dyDescent="0.4">
      <c r="R395" s="28">
        <f t="shared" si="27"/>
        <v>29.599999999999721</v>
      </c>
      <c r="S395" s="29">
        <f t="shared" si="28"/>
        <v>6.6299657258866537E-2</v>
      </c>
      <c r="T395" s="29">
        <f t="shared" si="29"/>
        <v>0.18130734898618447</v>
      </c>
      <c r="U395" s="29">
        <f t="shared" si="30"/>
        <v>0.20316768051441783</v>
      </c>
      <c r="V395" s="29">
        <f t="shared" si="31"/>
        <v>2.372822750891969E-3</v>
      </c>
    </row>
    <row r="396" spans="18:22" x14ac:dyDescent="0.4">
      <c r="R396" s="28">
        <f t="shared" si="27"/>
        <v>29.679999999999719</v>
      </c>
      <c r="S396" s="29">
        <f t="shared" si="28"/>
        <v>6.6301079564705476E-2</v>
      </c>
      <c r="T396" s="29">
        <f t="shared" si="29"/>
        <v>0.18130735441029808</v>
      </c>
      <c r="U396" s="29">
        <f t="shared" si="30"/>
        <v>0.20329150948269958</v>
      </c>
      <c r="V396" s="29">
        <f t="shared" si="31"/>
        <v>2.3743251384036428E-3</v>
      </c>
    </row>
    <row r="397" spans="18:22" x14ac:dyDescent="0.4">
      <c r="R397" s="28">
        <f t="shared" si="27"/>
        <v>29.759999999999717</v>
      </c>
      <c r="S397" s="29">
        <f t="shared" si="28"/>
        <v>6.63024762123922E-2</v>
      </c>
      <c r="T397" s="29">
        <f t="shared" si="29"/>
        <v>0.18130735973656148</v>
      </c>
      <c r="U397" s="29">
        <f t="shared" si="30"/>
        <v>0.20341450922366003</v>
      </c>
      <c r="V397" s="29">
        <f t="shared" si="31"/>
        <v>2.3758174650976758E-3</v>
      </c>
    </row>
    <row r="398" spans="18:22" x14ac:dyDescent="0.4">
      <c r="R398" s="28">
        <f t="shared" si="27"/>
        <v>29.839999999999716</v>
      </c>
      <c r="S398" s="29">
        <f t="shared" si="28"/>
        <v>6.6303847664795371E-2</v>
      </c>
      <c r="T398" s="29">
        <f t="shared" si="29"/>
        <v>0.18130736496673994</v>
      </c>
      <c r="U398" s="29">
        <f t="shared" si="30"/>
        <v>0.20353668529025226</v>
      </c>
      <c r="V398" s="29">
        <f t="shared" si="31"/>
        <v>2.377299798346711E-3</v>
      </c>
    </row>
    <row r="399" spans="18:22" x14ac:dyDescent="0.4">
      <c r="R399" s="28">
        <f t="shared" si="27"/>
        <v>29.919999999999714</v>
      </c>
      <c r="S399" s="29">
        <f t="shared" si="28"/>
        <v>6.6305194376433563E-2</v>
      </c>
      <c r="T399" s="29">
        <f t="shared" si="29"/>
        <v>0.18130737010256676</v>
      </c>
      <c r="U399" s="29">
        <f t="shared" si="30"/>
        <v>0.20365804319824402</v>
      </c>
      <c r="V399" s="29">
        <f t="shared" si="31"/>
        <v>2.3787722050722304E-3</v>
      </c>
    </row>
    <row r="400" spans="18:22" x14ac:dyDescent="0.4">
      <c r="R400" s="28">
        <f t="shared" si="27"/>
        <v>29.999999999999712</v>
      </c>
      <c r="S400" s="29">
        <f t="shared" si="28"/>
        <v>6.6306516793625897E-2</v>
      </c>
      <c r="T400" s="29">
        <f t="shared" si="29"/>
        <v>0.18130737514574408</v>
      </c>
      <c r="U400" s="29">
        <f t="shared" si="30"/>
        <v>0.20377858842646673</v>
      </c>
      <c r="V400" s="29">
        <f t="shared" si="31"/>
        <v>2.3802347517475763E-3</v>
      </c>
    </row>
    <row r="401" spans="18:22" x14ac:dyDescent="0.4">
      <c r="R401" s="28">
        <f t="shared" si="27"/>
        <v>30.079999999999711</v>
      </c>
      <c r="S401" s="29">
        <f t="shared" si="28"/>
        <v>6.6307815354640004E-2</v>
      </c>
      <c r="T401" s="29">
        <f t="shared" si="29"/>
        <v>0.18130738009794325</v>
      </c>
      <c r="U401" s="29">
        <f t="shared" si="30"/>
        <v>0.20389832641706279</v>
      </c>
      <c r="V401" s="29">
        <f t="shared" si="31"/>
        <v>2.3816875044009533E-3</v>
      </c>
    </row>
    <row r="402" spans="18:22" x14ac:dyDescent="0.4">
      <c r="R402" s="28">
        <f t="shared" si="27"/>
        <v>30.159999999999709</v>
      </c>
      <c r="S402" s="29">
        <f t="shared" si="28"/>
        <v>6.6309090489837214E-2</v>
      </c>
      <c r="T402" s="29">
        <f t="shared" si="29"/>
        <v>0.18130738496080556</v>
      </c>
      <c r="U402" s="29">
        <f t="shared" si="30"/>
        <v>0.2040172625757313</v>
      </c>
      <c r="V402" s="29">
        <f t="shared" si="31"/>
        <v>2.3831305286184071E-3</v>
      </c>
    </row>
    <row r="403" spans="18:22" x14ac:dyDescent="0.4">
      <c r="R403" s="28">
        <f t="shared" si="27"/>
        <v>30.239999999999707</v>
      </c>
      <c r="S403" s="29">
        <f t="shared" si="28"/>
        <v>6.6310342621815233E-2</v>
      </c>
      <c r="T403" s="29">
        <f t="shared" si="29"/>
        <v>0.18130738973594263</v>
      </c>
      <c r="U403" s="29">
        <f t="shared" si="30"/>
        <v>0.20413540227197208</v>
      </c>
      <c r="V403" s="29">
        <f t="shared" si="31"/>
        <v>2.3845638895467879E-3</v>
      </c>
    </row>
    <row r="404" spans="18:22" x14ac:dyDescent="0.4">
      <c r="R404" s="28">
        <f t="shared" si="27"/>
        <v>30.319999999999705</v>
      </c>
      <c r="S404" s="29">
        <f t="shared" si="28"/>
        <v>6.6311572165548172E-2</v>
      </c>
      <c r="T404" s="29">
        <f t="shared" si="29"/>
        <v>0.18130739442493696</v>
      </c>
      <c r="U404" s="29">
        <f t="shared" si="30"/>
        <v>0.20425275083932806</v>
      </c>
      <c r="V404" s="29">
        <f t="shared" si="31"/>
        <v>2.385987651896689E-3</v>
      </c>
    </row>
    <row r="405" spans="18:22" x14ac:dyDescent="0.4">
      <c r="R405" s="28">
        <f t="shared" si="27"/>
        <v>30.399999999999704</v>
      </c>
      <c r="S405" s="29">
        <f t="shared" si="28"/>
        <v>6.6312779528524088E-2</v>
      </c>
      <c r="T405" s="29">
        <f t="shared" si="29"/>
        <v>0.18130739902934259</v>
      </c>
      <c r="U405" s="29">
        <f t="shared" si="30"/>
        <v>0.2043693135756261</v>
      </c>
      <c r="V405" s="29">
        <f t="shared" si="31"/>
        <v>2.3874018799453695E-3</v>
      </c>
    </row>
    <row r="406" spans="18:22" x14ac:dyDescent="0.4">
      <c r="R406" s="28">
        <f t="shared" si="27"/>
        <v>30.479999999999702</v>
      </c>
      <c r="S406" s="29">
        <f t="shared" si="28"/>
        <v>6.6313965110880002E-2</v>
      </c>
      <c r="T406" s="29">
        <f t="shared" si="29"/>
        <v>0.18130740355068548</v>
      </c>
      <c r="U406" s="29">
        <f t="shared" si="30"/>
        <v>0.20448509574321613</v>
      </c>
      <c r="V406" s="29">
        <f t="shared" si="31"/>
        <v>2.3888066375396554E-3</v>
      </c>
    </row>
    <row r="407" spans="18:22" x14ac:dyDescent="0.4">
      <c r="R407" s="28">
        <f t="shared" si="27"/>
        <v>30.5599999999997</v>
      </c>
      <c r="S407" s="29">
        <f t="shared" si="28"/>
        <v>6.6315129305534543E-2</v>
      </c>
      <c r="T407" s="29">
        <f t="shared" si="29"/>
        <v>0.18130740799046408</v>
      </c>
      <c r="U407" s="29">
        <f t="shared" si="30"/>
        <v>0.20460010256920874</v>
      </c>
      <c r="V407" s="29">
        <f t="shared" si="31"/>
        <v>2.3902019880988235E-3</v>
      </c>
    </row>
    <row r="408" spans="18:22" x14ac:dyDescent="0.4">
      <c r="R408" s="28">
        <f t="shared" si="27"/>
        <v>30.639999999999699</v>
      </c>
      <c r="S408" s="29">
        <f t="shared" si="28"/>
        <v>6.631627249831816E-2</v>
      </c>
      <c r="T408" s="29">
        <f t="shared" si="29"/>
        <v>0.1813074123501498</v>
      </c>
      <c r="U408" s="29">
        <f t="shared" si="30"/>
        <v>0.20471433924571111</v>
      </c>
      <c r="V408" s="29">
        <f t="shared" si="31"/>
        <v>2.3915879946174619E-3</v>
      </c>
    </row>
    <row r="409" spans="18:22" x14ac:dyDescent="0.4">
      <c r="R409" s="28">
        <f t="shared" si="27"/>
        <v>30.719999999999697</v>
      </c>
      <c r="S409" s="29">
        <f t="shared" si="28"/>
        <v>6.6317395068100998E-2</v>
      </c>
      <c r="T409" s="29">
        <f t="shared" si="29"/>
        <v>0.18130741663118752</v>
      </c>
      <c r="U409" s="29">
        <f t="shared" si="30"/>
        <v>0.20482781093006147</v>
      </c>
      <c r="V409" s="29">
        <f t="shared" si="31"/>
        <v>2.3929647196683163E-3</v>
      </c>
    </row>
    <row r="410" spans="18:22" x14ac:dyDescent="0.4">
      <c r="R410" s="28">
        <f t="shared" ref="R410:R473" si="32">R409+$S$22</f>
        <v>30.799999999999695</v>
      </c>
      <c r="S410" s="29">
        <f t="shared" ref="S410:S473" si="33">IF(S$13,S409*S$18+(S$14+S$15*IF(S$17,$D$71,0))*S$19,NA())</f>
        <v>6.6318497386918418E-2</v>
      </c>
      <c r="T410" s="29">
        <f t="shared" ref="T410:T473" si="34">IF(T$13,T409*T$18+(T$14+T$15*IF(T$17,$D$71,(S409+S410)/2))*T$19,NA())</f>
        <v>0.18130742083499601</v>
      </c>
      <c r="U410" s="29">
        <f t="shared" ref="U410:U473" si="35">IF(U$13,U409*U$18+(U$14+U$15*IF(U$17,$D$71,(T409+T410)/2))*U$19,NA())</f>
        <v>0.20494052274506191</v>
      </c>
      <c r="V410" s="29">
        <f t="shared" ref="V410:V473" si="36">IF(V$13,V409*V$18+(V$14+V$15*IF(V$17,$D$71,(U409+U410)/2))*V$19,NA())</f>
        <v>2.3943322254051133E-3</v>
      </c>
    </row>
    <row r="411" spans="18:22" x14ac:dyDescent="0.4">
      <c r="R411" s="28">
        <f t="shared" si="32"/>
        <v>30.879999999999693</v>
      </c>
      <c r="S411" s="29">
        <f t="shared" si="33"/>
        <v>6.6319579820094357E-2</v>
      </c>
      <c r="T411" s="29">
        <f t="shared" si="34"/>
        <v>0.18130742496296848</v>
      </c>
      <c r="U411" s="29">
        <f t="shared" si="35"/>
        <v>0.2050524797792096</v>
      </c>
      <c r="V411" s="29">
        <f t="shared" si="36"/>
        <v>2.3956905735653669E-3</v>
      </c>
    </row>
    <row r="412" spans="18:22" x14ac:dyDescent="0.4">
      <c r="R412" s="28">
        <f t="shared" si="32"/>
        <v>30.959999999999692</v>
      </c>
      <c r="S412" s="29">
        <f t="shared" si="33"/>
        <v>6.6320642726362358E-2</v>
      </c>
      <c r="T412" s="29">
        <f t="shared" si="34"/>
        <v>0.18130742901647298</v>
      </c>
      <c r="U412" s="29">
        <f t="shared" si="35"/>
        <v>0.20516368708692656</v>
      </c>
      <c r="V412" s="29">
        <f t="shared" si="36"/>
        <v>2.3970398254731648E-3</v>
      </c>
    </row>
    <row r="413" spans="18:22" x14ac:dyDescent="0.4">
      <c r="R413" s="28">
        <f t="shared" si="32"/>
        <v>31.03999999999969</v>
      </c>
      <c r="S413" s="29">
        <f t="shared" si="33"/>
        <v>6.6321686457984474E-2</v>
      </c>
      <c r="T413" s="29">
        <f t="shared" si="34"/>
        <v>0.18130743299685295</v>
      </c>
      <c r="U413" s="29">
        <f t="shared" si="35"/>
        <v>0.20527414968878782</v>
      </c>
      <c r="V413" s="29">
        <f t="shared" si="36"/>
        <v>2.3983800420419388E-3</v>
      </c>
    </row>
    <row r="414" spans="18:22" x14ac:dyDescent="0.4">
      <c r="R414" s="28">
        <f t="shared" si="32"/>
        <v>31.119999999999688</v>
      </c>
      <c r="S414" s="29">
        <f t="shared" si="33"/>
        <v>6.6322711360868009E-2</v>
      </c>
      <c r="T414" s="29">
        <f t="shared" si="34"/>
        <v>0.18130743690542753</v>
      </c>
      <c r="U414" s="29">
        <f t="shared" si="35"/>
        <v>0.20538387257174809</v>
      </c>
      <c r="V414" s="29">
        <f t="shared" si="36"/>
        <v>2.3997112837772132E-3</v>
      </c>
    </row>
    <row r="415" spans="18:22" x14ac:dyDescent="0.4">
      <c r="R415" s="28">
        <f t="shared" si="32"/>
        <v>31.199999999999687</v>
      </c>
      <c r="S415" s="29">
        <f t="shared" si="33"/>
        <v>6.6323717774680171E-2</v>
      </c>
      <c r="T415" s="29">
        <f t="shared" si="34"/>
        <v>0.18130744074349206</v>
      </c>
      <c r="U415" s="29">
        <f t="shared" si="35"/>
        <v>0.2054928606893669</v>
      </c>
      <c r="V415" s="29">
        <f t="shared" si="36"/>
        <v>2.4010336107793359E-3</v>
      </c>
    </row>
    <row r="416" spans="18:22" x14ac:dyDescent="0.4">
      <c r="R416" s="28">
        <f t="shared" si="32"/>
        <v>31.279999999999685</v>
      </c>
      <c r="S416" s="29">
        <f t="shared" si="33"/>
        <v>6.6324706032960618E-2</v>
      </c>
      <c r="T416" s="29">
        <f t="shared" si="34"/>
        <v>0.18130744451231853</v>
      </c>
      <c r="U416" s="29">
        <f t="shared" si="35"/>
        <v>0.20560111896203218</v>
      </c>
      <c r="V416" s="29">
        <f t="shared" si="36"/>
        <v>2.4023470827461936E-3</v>
      </c>
    </row>
    <row r="417" spans="18:22" x14ac:dyDescent="0.4">
      <c r="R417" s="28">
        <f t="shared" si="32"/>
        <v>31.359999999999683</v>
      </c>
      <c r="S417" s="29">
        <f t="shared" si="33"/>
        <v>6.6325676463232008E-2</v>
      </c>
      <c r="T417" s="29">
        <f t="shared" si="34"/>
        <v>0.18130744821315603</v>
      </c>
      <c r="U417" s="29">
        <f t="shared" si="35"/>
        <v>0.20570865227718246</v>
      </c>
      <c r="V417" s="29">
        <f t="shared" si="36"/>
        <v>2.4036517589759044E-3</v>
      </c>
    </row>
    <row r="418" spans="18:22" x14ac:dyDescent="0.4">
      <c r="R418" s="28">
        <f t="shared" si="32"/>
        <v>31.439999999999682</v>
      </c>
      <c r="S418" s="29">
        <f t="shared" si="33"/>
        <v>6.6326629387108552E-2</v>
      </c>
      <c r="T418" s="29">
        <f t="shared" si="34"/>
        <v>0.18130745184723104</v>
      </c>
      <c r="U418" s="29">
        <f t="shared" si="35"/>
        <v>0.2058154654895275</v>
      </c>
      <c r="V418" s="29">
        <f t="shared" si="36"/>
        <v>2.4049476983694969E-3</v>
      </c>
    </row>
    <row r="419" spans="18:22" x14ac:dyDescent="0.4">
      <c r="R419" s="28">
        <f t="shared" si="32"/>
        <v>31.51999999999968</v>
      </c>
      <c r="S419" s="29">
        <f t="shared" si="33"/>
        <v>6.6327565120402596E-2</v>
      </c>
      <c r="T419" s="29">
        <f t="shared" si="34"/>
        <v>0.18130745541574791</v>
      </c>
      <c r="U419" s="29">
        <f t="shared" si="35"/>
        <v>0.20592156342126736</v>
      </c>
      <c r="V419" s="29">
        <f t="shared" si="36"/>
        <v>2.4062349594335679E-3</v>
      </c>
    </row>
    <row r="420" spans="18:22" x14ac:dyDescent="0.4">
      <c r="R420" s="28">
        <f t="shared" si="32"/>
        <v>31.599999999999678</v>
      </c>
      <c r="S420" s="29">
        <f t="shared" si="33"/>
        <v>6.6328483973229296E-2</v>
      </c>
      <c r="T420" s="29">
        <f t="shared" si="34"/>
        <v>0.18130745891988936</v>
      </c>
      <c r="U420" s="29">
        <f t="shared" si="35"/>
        <v>0.20602695086231021</v>
      </c>
      <c r="V420" s="29">
        <f t="shared" si="36"/>
        <v>2.4075136002829245E-3</v>
      </c>
    </row>
    <row r="421" spans="18:22" x14ac:dyDescent="0.4">
      <c r="R421" s="28">
        <f t="shared" si="32"/>
        <v>31.679999999999676</v>
      </c>
      <c r="S421" s="29">
        <f t="shared" si="33"/>
        <v>6.6329386250109354E-2</v>
      </c>
      <c r="T421" s="29">
        <f t="shared" si="34"/>
        <v>0.18130746236081668</v>
      </c>
      <c r="U421" s="29">
        <f t="shared" si="35"/>
        <v>0.20613163257048858</v>
      </c>
      <c r="V421" s="29">
        <f t="shared" si="36"/>
        <v>2.4087836786432074E-3</v>
      </c>
    </row>
    <row r="422" spans="18:22" x14ac:dyDescent="0.4">
      <c r="R422" s="28">
        <f t="shared" si="32"/>
        <v>31.759999999999675</v>
      </c>
      <c r="S422" s="29">
        <f t="shared" si="33"/>
        <v>6.6330272250070002E-2</v>
      </c>
      <c r="T422" s="29">
        <f t="shared" si="34"/>
        <v>0.18130746573967027</v>
      </c>
      <c r="U422" s="29">
        <f t="shared" si="35"/>
        <v>0.20623561327177406</v>
      </c>
      <c r="V422" s="29">
        <f t="shared" si="36"/>
        <v>2.4100452518534972E-3</v>
      </c>
    </row>
    <row r="423" spans="18:22" x14ac:dyDescent="0.4">
      <c r="R423" s="28">
        <f t="shared" si="32"/>
        <v>31.839999999999673</v>
      </c>
      <c r="S423" s="29">
        <f t="shared" si="33"/>
        <v>6.6331142266744067E-2</v>
      </c>
      <c r="T423" s="29">
        <f t="shared" si="34"/>
        <v>0.18130746905756992</v>
      </c>
      <c r="U423" s="29">
        <f t="shared" si="35"/>
        <v>0.20633889766049066</v>
      </c>
      <c r="V423" s="29">
        <f t="shared" si="36"/>
        <v>2.4112983768689012E-3</v>
      </c>
    </row>
    <row r="424" spans="18:22" x14ac:dyDescent="0.4">
      <c r="R424" s="28">
        <f t="shared" si="32"/>
        <v>31.919999999999671</v>
      </c>
      <c r="S424" s="29">
        <f t="shared" si="33"/>
        <v>6.6331996588467279E-2</v>
      </c>
      <c r="T424" s="29">
        <f t="shared" si="34"/>
        <v>0.1813074723156152</v>
      </c>
      <c r="U424" s="29">
        <f t="shared" si="35"/>
        <v>0.20644149039952686</v>
      </c>
      <c r="V424" s="29">
        <f t="shared" si="36"/>
        <v>2.4125431102631281E-3</v>
      </c>
    </row>
    <row r="425" spans="18:22" x14ac:dyDescent="0.4">
      <c r="R425" s="28">
        <f t="shared" si="32"/>
        <v>31.99999999999967</v>
      </c>
      <c r="S425" s="29">
        <f t="shared" si="33"/>
        <v>6.6332835498373849E-2</v>
      </c>
      <c r="T425" s="29">
        <f t="shared" si="34"/>
        <v>0.18130747551488588</v>
      </c>
      <c r="U425" s="29">
        <f t="shared" si="35"/>
        <v>0.20654339612054601</v>
      </c>
      <c r="V425" s="29">
        <f t="shared" si="36"/>
        <v>2.4137795082310384E-3</v>
      </c>
    </row>
    <row r="426" spans="18:22" x14ac:dyDescent="0.4">
      <c r="R426" s="28">
        <f t="shared" si="32"/>
        <v>32.079999999999671</v>
      </c>
      <c r="S426" s="29">
        <f t="shared" si="33"/>
        <v>6.6333659274490281E-2</v>
      </c>
      <c r="T426" s="29">
        <f t="shared" si="34"/>
        <v>0.18130747865644228</v>
      </c>
      <c r="U426" s="29">
        <f t="shared" si="35"/>
        <v>0.2066446194241954</v>
      </c>
      <c r="V426" s="29">
        <f t="shared" si="36"/>
        <v>2.4150076265911842E-3</v>
      </c>
    </row>
    <row r="427" spans="18:22" x14ac:dyDescent="0.4">
      <c r="R427" s="28">
        <f t="shared" si="32"/>
        <v>32.15999999999967</v>
      </c>
      <c r="S427" s="29">
        <f t="shared" si="33"/>
        <v>6.633446818982755E-2</v>
      </c>
      <c r="T427" s="29">
        <f t="shared" si="34"/>
        <v>0.18130748174132552</v>
      </c>
      <c r="U427" s="29">
        <f t="shared" si="35"/>
        <v>0.20674516488031408</v>
      </c>
      <c r="V427" s="29">
        <f t="shared" si="36"/>
        <v>2.4162275207883269E-3</v>
      </c>
    </row>
    <row r="428" spans="18:22" x14ac:dyDescent="0.4">
      <c r="R428" s="28">
        <f t="shared" si="32"/>
        <v>32.239999999999668</v>
      </c>
      <c r="S428" s="29">
        <f t="shared" si="33"/>
        <v>6.6335262512471557E-2</v>
      </c>
      <c r="T428" s="29">
        <f t="shared" si="34"/>
        <v>0.181307484770558</v>
      </c>
      <c r="U428" s="29">
        <f t="shared" si="35"/>
        <v>0.20684503702813906</v>
      </c>
      <c r="V428" s="29">
        <f t="shared" si="36"/>
        <v>2.4174392458959416E-3</v>
      </c>
    </row>
    <row r="429" spans="18:22" x14ac:dyDescent="0.4">
      <c r="R429" s="28">
        <f t="shared" si="32"/>
        <v>32.319999999999666</v>
      </c>
      <c r="S429" s="29">
        <f t="shared" si="33"/>
        <v>6.633604250567196E-2</v>
      </c>
      <c r="T429" s="29">
        <f t="shared" si="34"/>
        <v>0.18130748774514363</v>
      </c>
      <c r="U429" s="29">
        <f t="shared" si="35"/>
        <v>0.20694424037651027</v>
      </c>
      <c r="V429" s="29">
        <f t="shared" si="36"/>
        <v>2.4186428566187038E-3</v>
      </c>
    </row>
    <row r="430" spans="18:22" x14ac:dyDescent="0.4">
      <c r="R430" s="28">
        <f t="shared" si="32"/>
        <v>32.399999999999665</v>
      </c>
      <c r="S430" s="29">
        <f t="shared" si="33"/>
        <v>6.6336808427929453E-2</v>
      </c>
      <c r="T430" s="29">
        <f t="shared" si="34"/>
        <v>0.18130749066606824</v>
      </c>
      <c r="U430" s="29">
        <f t="shared" si="35"/>
        <v>0.20704277940407409</v>
      </c>
      <c r="V430" s="29">
        <f t="shared" si="36"/>
        <v>2.419838407294957E-3</v>
      </c>
    </row>
    <row r="431" spans="18:22" x14ac:dyDescent="0.4">
      <c r="R431" s="28">
        <f t="shared" si="32"/>
        <v>32.479999999999663</v>
      </c>
      <c r="S431" s="29">
        <f t="shared" si="33"/>
        <v>6.633756053308143E-2</v>
      </c>
      <c r="T431" s="29">
        <f t="shared" si="34"/>
        <v>0.18130749353429987</v>
      </c>
      <c r="U431" s="29">
        <f t="shared" si="35"/>
        <v>0.2071406585594856</v>
      </c>
      <c r="V431" s="29">
        <f t="shared" si="36"/>
        <v>2.4210259518991683E-3</v>
      </c>
    </row>
    <row r="432" spans="18:22" x14ac:dyDescent="0.4">
      <c r="R432" s="28">
        <f t="shared" si="32"/>
        <v>32.559999999999661</v>
      </c>
      <c r="S432" s="29">
        <f t="shared" si="33"/>
        <v>6.6338299070386089E-2</v>
      </c>
      <c r="T432" s="29">
        <f t="shared" si="34"/>
        <v>0.1813074963507891</v>
      </c>
      <c r="U432" s="29">
        <f t="shared" si="35"/>
        <v>0.20723788226160933</v>
      </c>
      <c r="V432" s="29">
        <f t="shared" si="36"/>
        <v>2.4222055440443623E-3</v>
      </c>
    </row>
    <row r="433" spans="18:22" x14ac:dyDescent="0.4">
      <c r="R433" s="28">
        <f t="shared" si="32"/>
        <v>32.63999999999966</v>
      </c>
      <c r="S433" s="29">
        <f t="shared" si="33"/>
        <v>6.6339024284605058E-2</v>
      </c>
      <c r="T433" s="29">
        <f t="shared" si="34"/>
        <v>0.18130749911646935</v>
      </c>
      <c r="U433" s="29">
        <f t="shared" si="35"/>
        <v>0.20733445489971883</v>
      </c>
      <c r="V433" s="29">
        <f t="shared" si="36"/>
        <v>2.4233772369845448E-3</v>
      </c>
    </row>
    <row r="434" spans="18:22" x14ac:dyDescent="0.4">
      <c r="R434" s="28">
        <f t="shared" si="32"/>
        <v>32.719999999999658</v>
      </c>
      <c r="S434" s="29">
        <f t="shared" si="33"/>
        <v>6.633973641608451E-2</v>
      </c>
      <c r="T434" s="29">
        <f t="shared" si="34"/>
        <v>0.18130750183225716</v>
      </c>
      <c r="U434" s="29">
        <f t="shared" si="35"/>
        <v>0.20743038083369478</v>
      </c>
      <c r="V434" s="29">
        <f t="shared" si="36"/>
        <v>2.4245410836171051E-3</v>
      </c>
    </row>
    <row r="435" spans="18:22" x14ac:dyDescent="0.4">
      <c r="R435" s="28">
        <f t="shared" si="32"/>
        <v>32.799999999999656</v>
      </c>
      <c r="S435" s="29">
        <f t="shared" si="33"/>
        <v>6.634043570083481E-2</v>
      </c>
      <c r="T435" s="29">
        <f t="shared" si="34"/>
        <v>0.18130750449905264</v>
      </c>
      <c r="U435" s="29">
        <f t="shared" si="35"/>
        <v>0.20752566439422182</v>
      </c>
      <c r="V435" s="29">
        <f t="shared" si="36"/>
        <v>2.4256971364852026E-3</v>
      </c>
    </row>
    <row r="436" spans="18:22" x14ac:dyDescent="0.4">
      <c r="R436" s="28">
        <f t="shared" si="32"/>
        <v>32.879999999999654</v>
      </c>
      <c r="S436" s="29">
        <f t="shared" si="33"/>
        <v>6.6341122370608727E-2</v>
      </c>
      <c r="T436" s="29">
        <f t="shared" si="34"/>
        <v>0.18130750711773957</v>
      </c>
      <c r="U436" s="29">
        <f t="shared" si="35"/>
        <v>0.20762030988298408</v>
      </c>
      <c r="V436" s="29">
        <f t="shared" si="36"/>
        <v>2.4268454477801415E-3</v>
      </c>
    </row>
    <row r="437" spans="18:22" x14ac:dyDescent="0.4">
      <c r="R437" s="28">
        <f t="shared" si="32"/>
        <v>32.959999999999653</v>
      </c>
      <c r="S437" s="29">
        <f t="shared" si="33"/>
        <v>6.6341796652978277E-2</v>
      </c>
      <c r="T437" s="29">
        <f t="shared" si="34"/>
        <v>0.18130750968918585</v>
      </c>
      <c r="U437" s="29">
        <f t="shared" si="35"/>
        <v>0.20771432157285935</v>
      </c>
      <c r="V437" s="29">
        <f t="shared" si="36"/>
        <v>2.4279860693437261E-3</v>
      </c>
    </row>
    <row r="438" spans="18:22" x14ac:dyDescent="0.4">
      <c r="R438" s="28">
        <f t="shared" si="32"/>
        <v>33.039999999999651</v>
      </c>
      <c r="S438" s="29">
        <f t="shared" si="33"/>
        <v>6.6342458771410082E-2</v>
      </c>
      <c r="T438" s="29">
        <f t="shared" si="34"/>
        <v>0.18130751221424368</v>
      </c>
      <c r="U438" s="29">
        <f t="shared" si="35"/>
        <v>0.20780770370811205</v>
      </c>
      <c r="V438" s="29">
        <f t="shared" si="36"/>
        <v>2.4291190526706005E-3</v>
      </c>
    </row>
    <row r="439" spans="18:22" x14ac:dyDescent="0.4">
      <c r="R439" s="28">
        <f t="shared" si="32"/>
        <v>33.119999999999649</v>
      </c>
      <c r="S439" s="29">
        <f t="shared" si="33"/>
        <v>6.6343108945339499E-2</v>
      </c>
      <c r="T439" s="29">
        <f t="shared" si="34"/>
        <v>0.18130751469374989</v>
      </c>
      <c r="U439" s="29">
        <f t="shared" si="35"/>
        <v>0.20790046050458472</v>
      </c>
      <c r="V439" s="29">
        <f t="shared" si="36"/>
        <v>2.4302444489105743E-3</v>
      </c>
    </row>
    <row r="440" spans="18:22" x14ac:dyDescent="0.4">
      <c r="R440" s="28">
        <f t="shared" si="32"/>
        <v>33.199999999999648</v>
      </c>
      <c r="S440" s="29">
        <f t="shared" si="33"/>
        <v>6.6343747390243291E-2</v>
      </c>
      <c r="T440" s="29">
        <f t="shared" si="34"/>
        <v>0.18130751712852625</v>
      </c>
      <c r="U440" s="29">
        <f t="shared" si="35"/>
        <v>0.20799259614988841</v>
      </c>
      <c r="V440" s="29">
        <f t="shared" si="36"/>
        <v>2.4313623088709313E-3</v>
      </c>
    </row>
    <row r="441" spans="18:22" x14ac:dyDescent="0.4">
      <c r="R441" s="28">
        <f t="shared" si="32"/>
        <v>33.279999999999646</v>
      </c>
      <c r="S441" s="29">
        <f t="shared" si="33"/>
        <v>6.634437431771105E-2</v>
      </c>
      <c r="T441" s="29">
        <f t="shared" si="34"/>
        <v>0.18130751951937965</v>
      </c>
      <c r="U441" s="29">
        <f t="shared" si="35"/>
        <v>0.20808411480359182</v>
      </c>
      <c r="V441" s="29">
        <f t="shared" si="36"/>
        <v>2.4324726830187229E-3</v>
      </c>
    </row>
    <row r="442" spans="18:22" x14ac:dyDescent="0.4">
      <c r="R442" s="28">
        <f t="shared" si="32"/>
        <v>33.359999999999644</v>
      </c>
      <c r="S442" s="29">
        <f t="shared" si="33"/>
        <v>6.6344989935515339E-2</v>
      </c>
      <c r="T442" s="29">
        <f t="shared" si="34"/>
        <v>0.18130752186710244</v>
      </c>
      <c r="U442" s="29">
        <f t="shared" si="35"/>
        <v>0.20817502059740892</v>
      </c>
      <c r="V442" s="29">
        <f t="shared" si="36"/>
        <v>2.4335756214830468E-3</v>
      </c>
    </row>
    <row r="443" spans="18:22" x14ac:dyDescent="0.4">
      <c r="R443" s="28">
        <f t="shared" si="32"/>
        <v>33.439999999999642</v>
      </c>
      <c r="S443" s="29">
        <f t="shared" si="33"/>
        <v>6.6345594447680539E-2</v>
      </c>
      <c r="T443" s="29">
        <f t="shared" si="34"/>
        <v>0.18130752417247273</v>
      </c>
      <c r="U443" s="29">
        <f t="shared" si="35"/>
        <v>0.20826531763538558</v>
      </c>
      <c r="V443" s="29">
        <f t="shared" si="36"/>
        <v>2.4346711740573109E-3</v>
      </c>
    </row>
    <row r="444" spans="18:22" x14ac:dyDescent="0.4">
      <c r="R444" s="28">
        <f t="shared" si="32"/>
        <v>33.519999999999641</v>
      </c>
      <c r="S444" s="29">
        <f t="shared" si="33"/>
        <v>6.6346188054550462E-2</v>
      </c>
      <c r="T444" s="29">
        <f t="shared" si="34"/>
        <v>0.18130752643625456</v>
      </c>
      <c r="U444" s="29">
        <f t="shared" si="35"/>
        <v>0.20835500999408482</v>
      </c>
      <c r="V444" s="29">
        <f t="shared" si="36"/>
        <v>2.4357593902014801E-3</v>
      </c>
    </row>
    <row r="445" spans="18:22" x14ac:dyDescent="0.4">
      <c r="R445" s="28">
        <f t="shared" si="32"/>
        <v>33.599999999999639</v>
      </c>
      <c r="S445" s="29">
        <f t="shared" si="33"/>
        <v>6.6346770952854767E-2</v>
      </c>
      <c r="T445" s="29">
        <f t="shared" si="34"/>
        <v>0.18130752865919814</v>
      </c>
      <c r="U445" s="29">
        <f t="shared" si="35"/>
        <v>0.20844410172277086</v>
      </c>
      <c r="V445" s="29">
        <f t="shared" si="36"/>
        <v>2.4368403190443083E-3</v>
      </c>
    </row>
    <row r="446" spans="18:22" x14ac:dyDescent="0.4">
      <c r="R446" s="28">
        <f t="shared" si="32"/>
        <v>33.679999999999637</v>
      </c>
      <c r="S446" s="29">
        <f t="shared" si="33"/>
        <v>6.634734333577412E-2</v>
      </c>
      <c r="T446" s="29">
        <f t="shared" si="34"/>
        <v>0.18130753084204018</v>
      </c>
      <c r="U446" s="29">
        <f t="shared" si="35"/>
        <v>0.20853259684359188</v>
      </c>
      <c r="V446" s="29">
        <f t="shared" si="36"/>
        <v>2.437914009385559E-3</v>
      </c>
    </row>
    <row r="447" spans="18:22" x14ac:dyDescent="0.4">
      <c r="R447" s="28">
        <f t="shared" si="32"/>
        <v>33.759999999999636</v>
      </c>
      <c r="S447" s="29">
        <f t="shared" si="33"/>
        <v>6.6347905393004253E-2</v>
      </c>
      <c r="T447" s="29">
        <f t="shared" si="34"/>
        <v>0.18130753298550414</v>
      </c>
      <c r="U447" s="29">
        <f t="shared" si="35"/>
        <v>0.20862049935176172</v>
      </c>
      <c r="V447" s="29">
        <f t="shared" si="36"/>
        <v>2.4389805096982063E-3</v>
      </c>
    </row>
    <row r="448" spans="18:22" x14ac:dyDescent="0.4">
      <c r="R448" s="28">
        <f t="shared" si="32"/>
        <v>33.839999999999634</v>
      </c>
      <c r="S448" s="29">
        <f t="shared" si="33"/>
        <v>6.6348457310818829E-2</v>
      </c>
      <c r="T448" s="29">
        <f t="shared" si="34"/>
        <v>0.1813075350903004</v>
      </c>
      <c r="U448" s="29">
        <f t="shared" si="35"/>
        <v>0.20870781321574008</v>
      </c>
      <c r="V448" s="29">
        <f t="shared" si="36"/>
        <v>2.440039868130624E-3</v>
      </c>
    </row>
    <row r="449" spans="18:22" x14ac:dyDescent="0.4">
      <c r="R449" s="28">
        <f t="shared" si="32"/>
        <v>33.919999999999632</v>
      </c>
      <c r="S449" s="29">
        <f t="shared" si="33"/>
        <v>6.6348999272131143E-2</v>
      </c>
      <c r="T449" s="29">
        <f t="shared" si="34"/>
        <v>0.1813075371571265</v>
      </c>
      <c r="U449" s="29">
        <f t="shared" si="35"/>
        <v>0.20879454237741185</v>
      </c>
      <c r="V449" s="29">
        <f t="shared" si="36"/>
        <v>2.4410921325087589E-3</v>
      </c>
    </row>
    <row r="450" spans="18:22" x14ac:dyDescent="0.4">
      <c r="R450" s="28">
        <f t="shared" si="32"/>
        <v>33.999999999999631</v>
      </c>
      <c r="S450" s="29">
        <f t="shared" si="33"/>
        <v>6.6349531456554797E-2</v>
      </c>
      <c r="T450" s="29">
        <f t="shared" si="34"/>
        <v>0.18130753918666737</v>
      </c>
      <c r="U450" s="29">
        <f t="shared" si="35"/>
        <v>0.20888069075226487</v>
      </c>
      <c r="V450" s="29">
        <f t="shared" si="36"/>
        <v>2.4421373503382905E-3</v>
      </c>
    </row>
    <row r="451" spans="18:22" x14ac:dyDescent="0.4">
      <c r="R451" s="28">
        <f t="shared" si="32"/>
        <v>34.079999999999629</v>
      </c>
      <c r="S451" s="29">
        <f t="shared" si="33"/>
        <v>6.6350054040463166E-2</v>
      </c>
      <c r="T451" s="29">
        <f t="shared" si="34"/>
        <v>0.18130754117959569</v>
      </c>
      <c r="U451" s="29">
        <f t="shared" si="35"/>
        <v>0.20896626222956688</v>
      </c>
      <c r="V451" s="29">
        <f t="shared" si="36"/>
        <v>2.4431755688067748E-3</v>
      </c>
    </row>
    <row r="452" spans="18:22" x14ac:dyDescent="0.4">
      <c r="R452" s="28">
        <f t="shared" si="32"/>
        <v>34.159999999999627</v>
      </c>
      <c r="S452" s="29">
        <f t="shared" si="33"/>
        <v>6.6350567197047891E-2</v>
      </c>
      <c r="T452" s="29">
        <f t="shared" si="34"/>
        <v>0.18130754313657191</v>
      </c>
      <c r="U452" s="29">
        <f t="shared" si="35"/>
        <v>0.20905126067254104</v>
      </c>
      <c r="V452" s="29">
        <f t="shared" si="36"/>
        <v>2.4442068347857765E-3</v>
      </c>
    </row>
    <row r="453" spans="18:22" x14ac:dyDescent="0.4">
      <c r="R453" s="28">
        <f t="shared" si="32"/>
        <v>34.239999999999625</v>
      </c>
      <c r="S453" s="29">
        <f t="shared" si="33"/>
        <v>6.635107109637628E-2</v>
      </c>
      <c r="T453" s="29">
        <f t="shared" si="34"/>
        <v>0.18130754505824465</v>
      </c>
      <c r="U453" s="29">
        <f t="shared" si="35"/>
        <v>0.20913568991854029</v>
      </c>
      <c r="V453" s="29">
        <f t="shared" si="36"/>
        <v>2.4452311948329813E-3</v>
      </c>
    </row>
    <row r="454" spans="18:22" x14ac:dyDescent="0.4">
      <c r="R454" s="28">
        <f t="shared" si="32"/>
        <v>34.319999999999624</v>
      </c>
      <c r="S454" s="29">
        <f t="shared" si="33"/>
        <v>6.6351565905447621E-2</v>
      </c>
      <c r="T454" s="29">
        <f t="shared" si="34"/>
        <v>0.18130754694525072</v>
      </c>
      <c r="U454" s="29">
        <f t="shared" si="35"/>
        <v>0.20921955377922061</v>
      </c>
      <c r="V454" s="29">
        <f t="shared" si="36"/>
        <v>2.4462486951943021E-3</v>
      </c>
    </row>
    <row r="455" spans="18:22" x14ac:dyDescent="0.4">
      <c r="R455" s="28">
        <f t="shared" si="32"/>
        <v>34.399999999999622</v>
      </c>
      <c r="S455" s="29">
        <f t="shared" si="33"/>
        <v>6.6352051788248601E-2</v>
      </c>
      <c r="T455" s="29">
        <f t="shared" si="34"/>
        <v>0.18130754879821553</v>
      </c>
      <c r="U455" s="29">
        <f t="shared" si="35"/>
        <v>0.20930285604071316</v>
      </c>
      <c r="V455" s="29">
        <f t="shared" si="36"/>
        <v>2.4472593818059638E-3</v>
      </c>
    </row>
    <row r="456" spans="18:22" x14ac:dyDescent="0.4">
      <c r="R456" s="28">
        <f t="shared" si="32"/>
        <v>34.47999999999962</v>
      </c>
      <c r="S456" s="29">
        <f t="shared" si="33"/>
        <v>6.635252890580759E-2</v>
      </c>
      <c r="T456" s="29">
        <f t="shared" si="34"/>
        <v>0.18130755061775317</v>
      </c>
      <c r="U456" s="29">
        <f t="shared" si="35"/>
        <v>0.20938560046379517</v>
      </c>
      <c r="V456" s="29">
        <f t="shared" si="36"/>
        <v>2.448263300296578E-3</v>
      </c>
    </row>
    <row r="457" spans="18:22" x14ac:dyDescent="0.4">
      <c r="R457" s="28">
        <f t="shared" si="32"/>
        <v>34.559999999999619</v>
      </c>
      <c r="S457" s="29">
        <f t="shared" si="33"/>
        <v>6.6352997416248047E-2</v>
      </c>
      <c r="T457" s="29">
        <f t="shared" si="34"/>
        <v>0.18130755240446667</v>
      </c>
      <c r="U457" s="29">
        <f t="shared" si="35"/>
        <v>0.20946779078405964</v>
      </c>
      <c r="V457" s="29">
        <f t="shared" si="36"/>
        <v>2.4492604959892041E-3</v>
      </c>
    </row>
    <row r="458" spans="18:22" x14ac:dyDescent="0.4">
      <c r="R458" s="28">
        <f t="shared" si="32"/>
        <v>34.639999999999617</v>
      </c>
      <c r="S458" s="29">
        <f t="shared" si="33"/>
        <v>6.6353457474840907E-2</v>
      </c>
      <c r="T458" s="29">
        <f t="shared" si="34"/>
        <v>0.18130755415894814</v>
      </c>
      <c r="U458" s="29">
        <f t="shared" si="35"/>
        <v>0.20954943071208409</v>
      </c>
      <c r="V458" s="29">
        <f t="shared" si="36"/>
        <v>2.4502510139033933E-3</v>
      </c>
    </row>
    <row r="459" spans="18:22" x14ac:dyDescent="0.4">
      <c r="R459" s="28">
        <f t="shared" si="32"/>
        <v>34.719999999999615</v>
      </c>
      <c r="S459" s="29">
        <f t="shared" si="33"/>
        <v>6.6353909234056041E-2</v>
      </c>
      <c r="T459" s="29">
        <f t="shared" si="34"/>
        <v>0.1813075558817791</v>
      </c>
      <c r="U459" s="29">
        <f t="shared" si="35"/>
        <v>0.20963052393359807</v>
      </c>
      <c r="V459" s="29">
        <f t="shared" si="36"/>
        <v>2.4512348987572228E-3</v>
      </c>
    </row>
    <row r="460" spans="18:22" x14ac:dyDescent="0.4">
      <c r="R460" s="28">
        <f t="shared" si="32"/>
        <v>34.799999999999613</v>
      </c>
      <c r="S460" s="29">
        <f t="shared" si="33"/>
        <v>6.6354352843612796E-2</v>
      </c>
      <c r="T460" s="29">
        <f t="shared" si="34"/>
        <v>0.18130755757353045</v>
      </c>
      <c r="U460" s="29">
        <f t="shared" si="35"/>
        <v>0.20971107410964951</v>
      </c>
      <c r="V460" s="29">
        <f t="shared" si="36"/>
        <v>2.4522121949693129E-3</v>
      </c>
    </row>
    <row r="461" spans="18:22" x14ac:dyDescent="0.4">
      <c r="R461" s="28">
        <f t="shared" si="32"/>
        <v>34.879999999999612</v>
      </c>
      <c r="S461" s="29">
        <f t="shared" si="33"/>
        <v>6.6354788450529598E-2</v>
      </c>
      <c r="T461" s="29">
        <f t="shared" si="34"/>
        <v>0.18130755923476294</v>
      </c>
      <c r="U461" s="29">
        <f t="shared" si="35"/>
        <v>0.20979108487677001</v>
      </c>
      <c r="V461" s="29">
        <f t="shared" si="36"/>
        <v>2.4531829466608339E-3</v>
      </c>
    </row>
    <row r="462" spans="18:22" x14ac:dyDescent="0.4">
      <c r="R462" s="28">
        <f t="shared" si="32"/>
        <v>34.95999999999961</v>
      </c>
      <c r="S462" s="29">
        <f t="shared" si="33"/>
        <v>6.6355216199172701E-2</v>
      </c>
      <c r="T462" s="29">
        <f t="shared" si="34"/>
        <v>0.18130756086602706</v>
      </c>
      <c r="U462" s="29">
        <f t="shared" si="35"/>
        <v>0.20987055984713904</v>
      </c>
      <c r="V462" s="29">
        <f t="shared" si="36"/>
        <v>2.4541471976574974E-3</v>
      </c>
    </row>
    <row r="463" spans="18:22" x14ac:dyDescent="0.4">
      <c r="R463" s="28">
        <f t="shared" si="32"/>
        <v>35.039999999999608</v>
      </c>
      <c r="S463" s="29">
        <f t="shared" si="33"/>
        <v>6.6355636231303999E-2</v>
      </c>
      <c r="T463" s="29">
        <f t="shared" si="34"/>
        <v>0.18130756246786348</v>
      </c>
      <c r="U463" s="29">
        <f t="shared" si="35"/>
        <v>0.20994950260874692</v>
      </c>
      <c r="V463" s="29">
        <f t="shared" si="36"/>
        <v>2.4551049914915352E-3</v>
      </c>
    </row>
    <row r="464" spans="18:22" x14ac:dyDescent="0.4">
      <c r="R464" s="28">
        <f t="shared" si="32"/>
        <v>35.119999999999607</v>
      </c>
      <c r="S464" s="29">
        <f t="shared" si="33"/>
        <v>6.6356048686128044E-2</v>
      </c>
      <c r="T464" s="29">
        <f t="shared" si="34"/>
        <v>0.18130756404080303</v>
      </c>
      <c r="U464" s="29">
        <f t="shared" si="35"/>
        <v>0.21002791672555701</v>
      </c>
      <c r="V464" s="29">
        <f t="shared" si="36"/>
        <v>2.4560563714036629E-3</v>
      </c>
    </row>
    <row r="465" spans="18:22" x14ac:dyDescent="0.4">
      <c r="R465" s="28">
        <f t="shared" si="32"/>
        <v>35.199999999999605</v>
      </c>
      <c r="S465" s="29">
        <f t="shared" si="33"/>
        <v>6.6356453700338144E-2</v>
      </c>
      <c r="T465" s="29">
        <f t="shared" si="34"/>
        <v>0.18130756558536701</v>
      </c>
      <c r="U465" s="29">
        <f t="shared" si="35"/>
        <v>0.21010580573766635</v>
      </c>
      <c r="V465" s="29">
        <f t="shared" si="36"/>
        <v>2.4570013803450344E-3</v>
      </c>
    </row>
    <row r="466" spans="18:22" x14ac:dyDescent="0.4">
      <c r="R466" s="28">
        <f t="shared" si="32"/>
        <v>35.279999999999603</v>
      </c>
      <c r="S466" s="29">
        <f t="shared" si="33"/>
        <v>6.6356851408161707E-2</v>
      </c>
      <c r="T466" s="29">
        <f t="shared" si="34"/>
        <v>0.18130756710206733</v>
      </c>
      <c r="U466" s="29">
        <f t="shared" si="35"/>
        <v>0.21018317316146568</v>
      </c>
      <c r="V466" s="29">
        <f t="shared" si="36"/>
        <v>2.4579400609791805E-3</v>
      </c>
    </row>
    <row r="467" spans="18:22" x14ac:dyDescent="0.4">
      <c r="R467" s="28">
        <f t="shared" si="32"/>
        <v>35.359999999999602</v>
      </c>
      <c r="S467" s="29">
        <f t="shared" si="33"/>
        <v>6.6357241941404674E-2</v>
      </c>
      <c r="T467" s="29">
        <f t="shared" si="34"/>
        <v>0.18130756859140665</v>
      </c>
      <c r="U467" s="29">
        <f t="shared" si="35"/>
        <v>0.21026002248979808</v>
      </c>
      <c r="V467" s="29">
        <f t="shared" si="36"/>
        <v>2.4588724556839324E-3</v>
      </c>
    </row>
    <row r="468" spans="18:22" x14ac:dyDescent="0.4">
      <c r="R468" s="28">
        <f t="shared" si="32"/>
        <v>35.4399999999996</v>
      </c>
      <c r="S468" s="29">
        <f t="shared" si="33"/>
        <v>6.6357625429495248E-2</v>
      </c>
      <c r="T468" s="29">
        <f t="shared" si="34"/>
        <v>0.18130757005387851</v>
      </c>
      <c r="U468" s="29">
        <f t="shared" si="35"/>
        <v>0.21033635719211669</v>
      </c>
      <c r="V468" s="29">
        <f t="shared" si="36"/>
        <v>2.459798606553338E-3</v>
      </c>
    </row>
    <row r="469" spans="18:22" x14ac:dyDescent="0.4">
      <c r="R469" s="28">
        <f t="shared" si="32"/>
        <v>35.519999999999598</v>
      </c>
      <c r="S469" s="29">
        <f t="shared" si="33"/>
        <v>6.6358001999526753E-2</v>
      </c>
      <c r="T469" s="29">
        <f t="shared" si="34"/>
        <v>0.18130757148996765</v>
      </c>
      <c r="U469" s="29">
        <f t="shared" si="35"/>
        <v>0.21041218071464132</v>
      </c>
      <c r="V469" s="29">
        <f t="shared" si="36"/>
        <v>2.4607185553995607E-3</v>
      </c>
    </row>
    <row r="470" spans="18:22" x14ac:dyDescent="0.4">
      <c r="R470" s="28">
        <f t="shared" si="32"/>
        <v>35.599999999999596</v>
      </c>
      <c r="S470" s="29">
        <f t="shared" si="33"/>
        <v>6.6358371776299788E-2</v>
      </c>
      <c r="T470" s="29">
        <f t="shared" si="34"/>
        <v>0.18130757290014998</v>
      </c>
      <c r="U470" s="29">
        <f t="shared" si="35"/>
        <v>0.21048749648051407</v>
      </c>
      <c r="V470" s="29">
        <f t="shared" si="36"/>
        <v>2.4616323437547678E-3</v>
      </c>
    </row>
    <row r="471" spans="18:22" x14ac:dyDescent="0.4">
      <c r="R471" s="28">
        <f t="shared" si="32"/>
        <v>35.679999999999595</v>
      </c>
      <c r="S471" s="29">
        <f t="shared" si="33"/>
        <v>6.6358734882363574E-2</v>
      </c>
      <c r="T471" s="29">
        <f t="shared" si="34"/>
        <v>0.18130757428489286</v>
      </c>
      <c r="U471" s="29">
        <f t="shared" si="35"/>
        <v>0.21056230788995386</v>
      </c>
      <c r="V471" s="29">
        <f t="shared" si="36"/>
        <v>2.4625400128730044E-3</v>
      </c>
    </row>
    <row r="472" spans="18:22" x14ac:dyDescent="0.4">
      <c r="R472" s="28">
        <f t="shared" si="32"/>
        <v>35.759999999999593</v>
      </c>
      <c r="S472" s="29">
        <f t="shared" si="33"/>
        <v>6.6359091438056544E-2</v>
      </c>
      <c r="T472" s="29">
        <f t="shared" si="34"/>
        <v>0.18130757564465524</v>
      </c>
      <c r="U472" s="29">
        <f t="shared" si="35"/>
        <v>0.21063661832040989</v>
      </c>
      <c r="V472" s="29">
        <f t="shared" si="36"/>
        <v>2.4634416037320572E-3</v>
      </c>
    </row>
    <row r="473" spans="18:22" x14ac:dyDescent="0.4">
      <c r="R473" s="28">
        <f t="shared" si="32"/>
        <v>35.839999999999591</v>
      </c>
      <c r="S473" s="29">
        <f t="shared" si="33"/>
        <v>6.6359441561546273E-2</v>
      </c>
      <c r="T473" s="29">
        <f t="shared" si="34"/>
        <v>0.18130757697988772</v>
      </c>
      <c r="U473" s="29">
        <f t="shared" si="35"/>
        <v>0.2107104311267142</v>
      </c>
      <c r="V473" s="29">
        <f t="shared" si="36"/>
        <v>2.4643371570353036E-3</v>
      </c>
    </row>
    <row r="474" spans="18:22" x14ac:dyDescent="0.4">
      <c r="R474" s="28">
        <f t="shared" ref="R474:R537" si="37">R473+$S$22</f>
        <v>35.91999999999959</v>
      </c>
      <c r="S474" s="29">
        <f t="shared" ref="S474:S537" si="38">IF(S$13,S473*S$18+(S$14+S$15*IF(S$17,$D$71,0))*S$19,NA())</f>
        <v>6.6359785368868593E-2</v>
      </c>
      <c r="T474" s="29">
        <f t="shared" ref="T474:T537" si="39">IF(T$13,T473*T$18+(T$14+T$15*IF(T$17,$D$71,(S473+S474)/2))*T$19,NA())</f>
        <v>0.18130757829103286</v>
      </c>
      <c r="U474" s="29">
        <f t="shared" ref="U474:U537" si="40">IF(U$13,U473*U$18+(U$14+U$15*IF(U$17,$D$71,(T473+T474)/2))*U$19,NA())</f>
        <v>0.210783749641233</v>
      </c>
      <c r="V474" s="29">
        <f t="shared" ref="V474:V537" si="41">IF(V$13,V473*V$18+(V$14+V$15*IF(V$17,$D$71,(U473+U474)/2))*V$19,NA())</f>
        <v>2.465226713213549E-3</v>
      </c>
    </row>
    <row r="475" spans="18:22" x14ac:dyDescent="0.4">
      <c r="R475" s="28">
        <f t="shared" si="37"/>
        <v>35.999999999999588</v>
      </c>
      <c r="S475" s="29">
        <f t="shared" si="38"/>
        <v>6.6360122973966068E-2</v>
      </c>
      <c r="T475" s="29">
        <f t="shared" si="39"/>
        <v>0.18130757957852517</v>
      </c>
      <c r="U475" s="29">
        <f t="shared" si="40"/>
        <v>0.21085657717401729</v>
      </c>
      <c r="V475" s="29">
        <f t="shared" si="41"/>
        <v>2.4661103124268527E-3</v>
      </c>
    </row>
    <row r="476" spans="18:22" x14ac:dyDescent="0.4">
      <c r="R476" s="28">
        <f t="shared" si="37"/>
        <v>36.079999999999586</v>
      </c>
      <c r="S476" s="29">
        <f t="shared" si="38"/>
        <v>6.6360454488725767E-2</v>
      </c>
      <c r="T476" s="29">
        <f t="shared" si="39"/>
        <v>0.1813075808427913</v>
      </c>
      <c r="U476" s="29">
        <f t="shared" si="40"/>
        <v>0.21092891701295213</v>
      </c>
      <c r="V476" s="29">
        <f t="shared" si="41"/>
        <v>2.4669879945663411E-3</v>
      </c>
    </row>
    <row r="477" spans="18:22" x14ac:dyDescent="0.4">
      <c r="R477" s="28">
        <f t="shared" si="37"/>
        <v>36.159999999999584</v>
      </c>
      <c r="S477" s="29">
        <f t="shared" si="38"/>
        <v>6.6360780023016347E-2</v>
      </c>
      <c r="T477" s="29">
        <f t="shared" si="39"/>
        <v>0.18130758208425032</v>
      </c>
      <c r="U477" s="29">
        <f t="shared" si="40"/>
        <v>0.21100077242390514</v>
      </c>
      <c r="V477" s="29">
        <f t="shared" si="41"/>
        <v>2.4678597992560079E-3</v>
      </c>
    </row>
    <row r="478" spans="18:22" x14ac:dyDescent="0.4">
      <c r="R478" s="28">
        <f t="shared" si="37"/>
        <v>36.239999999999583</v>
      </c>
      <c r="S478" s="29">
        <f t="shared" si="38"/>
        <v>6.6361099684724423E-2</v>
      </c>
      <c r="T478" s="29">
        <f t="shared" si="39"/>
        <v>0.18130758330331362</v>
      </c>
      <c r="U478" s="29">
        <f t="shared" si="40"/>
        <v>0.21107214665087395</v>
      </c>
      <c r="V478" s="29">
        <f t="shared" si="41"/>
        <v>2.4687257658545033E-3</v>
      </c>
    </row>
    <row r="479" spans="18:22" x14ac:dyDescent="0.4">
      <c r="R479" s="28">
        <f t="shared" si="37"/>
        <v>36.319999999999581</v>
      </c>
      <c r="S479" s="29">
        <f t="shared" si="38"/>
        <v>6.6361413579790376E-2</v>
      </c>
      <c r="T479" s="29">
        <f t="shared" si="39"/>
        <v>0.18130758450038523</v>
      </c>
      <c r="U479" s="29">
        <f t="shared" si="40"/>
        <v>0.21114304291613267</v>
      </c>
      <c r="V479" s="29">
        <f t="shared" si="41"/>
        <v>2.469585933456911E-3</v>
      </c>
    </row>
    <row r="480" spans="18:22" x14ac:dyDescent="0.4">
      <c r="R480" s="28">
        <f t="shared" si="37"/>
        <v>36.399999999999579</v>
      </c>
      <c r="S480" s="29">
        <f t="shared" si="38"/>
        <v>6.6361721812243438E-2</v>
      </c>
      <c r="T480" s="29">
        <f t="shared" si="39"/>
        <v>0.18130758567586189</v>
      </c>
      <c r="U480" s="29">
        <f t="shared" si="40"/>
        <v>0.21121346442037725</v>
      </c>
      <c r="V480" s="29">
        <f t="shared" si="41"/>
        <v>2.4704403408965141E-3</v>
      </c>
    </row>
    <row r="481" spans="18:22" x14ac:dyDescent="0.4">
      <c r="R481" s="28">
        <f t="shared" si="37"/>
        <v>36.479999999999578</v>
      </c>
      <c r="S481" s="29">
        <f t="shared" si="38"/>
        <v>6.6362024484236171E-2</v>
      </c>
      <c r="T481" s="29">
        <f t="shared" si="39"/>
        <v>0.18130758683013312</v>
      </c>
      <c r="U481" s="29">
        <f t="shared" si="40"/>
        <v>0.2112834143428701</v>
      </c>
      <c r="V481" s="29">
        <f t="shared" si="41"/>
        <v>2.4712890267465453E-3</v>
      </c>
    </row>
    <row r="482" spans="18:22" x14ac:dyDescent="0.4">
      <c r="R482" s="28">
        <f t="shared" si="37"/>
        <v>36.559999999999576</v>
      </c>
      <c r="S482" s="29">
        <f t="shared" si="38"/>
        <v>6.6362321696078322E-2</v>
      </c>
      <c r="T482" s="29">
        <f t="shared" si="39"/>
        <v>0.18130758796358151</v>
      </c>
      <c r="U482" s="29">
        <f t="shared" si="40"/>
        <v>0.21135289584158362</v>
      </c>
      <c r="V482" s="29">
        <f t="shared" si="41"/>
        <v>2.4721320293219313E-3</v>
      </c>
    </row>
    <row r="483" spans="18:22" x14ac:dyDescent="0.4">
      <c r="R483" s="28">
        <f t="shared" si="37"/>
        <v>36.639999999999574</v>
      </c>
      <c r="S483" s="29">
        <f t="shared" si="38"/>
        <v>6.6362613546270058E-2</v>
      </c>
      <c r="T483" s="29">
        <f t="shared" si="39"/>
        <v>0.18130758907658268</v>
      </c>
      <c r="U483" s="29">
        <f t="shared" si="40"/>
        <v>0.21142191205334263</v>
      </c>
      <c r="V483" s="29">
        <f t="shared" si="41"/>
        <v>2.4729693866810216E-3</v>
      </c>
    </row>
    <row r="484" spans="18:22" x14ac:dyDescent="0.4">
      <c r="R484" s="28">
        <f t="shared" si="37"/>
        <v>36.719999999999573</v>
      </c>
      <c r="S484" s="29">
        <f t="shared" si="38"/>
        <v>6.6362900131534647E-2</v>
      </c>
      <c r="T484" s="29">
        <f t="shared" si="39"/>
        <v>0.18130759016950551</v>
      </c>
      <c r="U484" s="29">
        <f t="shared" si="40"/>
        <v>0.21149046609396618</v>
      </c>
      <c r="V484" s="29">
        <f t="shared" si="41"/>
        <v>2.4738011366273061E-3</v>
      </c>
    </row>
    <row r="485" spans="18:22" x14ac:dyDescent="0.4">
      <c r="R485" s="28">
        <f t="shared" si="37"/>
        <v>36.799999999999571</v>
      </c>
      <c r="S485" s="29">
        <f t="shared" si="38"/>
        <v>6.6363181546850447E-2</v>
      </c>
      <c r="T485" s="29">
        <f t="shared" si="39"/>
        <v>0.18130759124271217</v>
      </c>
      <c r="U485" s="29">
        <f t="shared" si="40"/>
        <v>0.21155856105840809</v>
      </c>
      <c r="V485" s="29">
        <f t="shared" si="41"/>
        <v>2.4746273167111227E-3</v>
      </c>
    </row>
    <row r="486" spans="18:22" x14ac:dyDescent="0.4">
      <c r="R486" s="28">
        <f t="shared" si="37"/>
        <v>36.879999999999569</v>
      </c>
      <c r="S486" s="29">
        <f t="shared" si="38"/>
        <v>6.6363457885482452E-2</v>
      </c>
      <c r="T486" s="29">
        <f t="shared" si="39"/>
        <v>0.18130759229655841</v>
      </c>
      <c r="U486" s="29">
        <f t="shared" si="40"/>
        <v>0.21162620002089666</v>
      </c>
      <c r="V486" s="29">
        <f t="shared" si="41"/>
        <v>2.4754479642313519E-3</v>
      </c>
    </row>
    <row r="487" spans="18:22" x14ac:dyDescent="0.4">
      <c r="R487" s="28">
        <f t="shared" si="37"/>
        <v>36.959999999999567</v>
      </c>
      <c r="S487" s="29">
        <f t="shared" si="38"/>
        <v>6.6363729239013167E-2</v>
      </c>
      <c r="T487" s="29">
        <f t="shared" si="39"/>
        <v>0.18130759333139343</v>
      </c>
      <c r="U487" s="29">
        <f t="shared" si="40"/>
        <v>0.21169338603507354</v>
      </c>
      <c r="V487" s="29">
        <f t="shared" si="41"/>
        <v>2.4762631162371005E-3</v>
      </c>
    </row>
    <row r="488" spans="18:22" x14ac:dyDescent="0.4">
      <c r="R488" s="28">
        <f t="shared" si="37"/>
        <v>37.039999999999566</v>
      </c>
      <c r="S488" s="29">
        <f t="shared" si="38"/>
        <v>6.6363995697372946E-2</v>
      </c>
      <c r="T488" s="29">
        <f t="shared" si="39"/>
        <v>0.18130759434756019</v>
      </c>
      <c r="U488" s="29">
        <f t="shared" si="40"/>
        <v>0.21176012213413151</v>
      </c>
      <c r="V488" s="29">
        <f t="shared" si="41"/>
        <v>2.4770728095293744E-3</v>
      </c>
    </row>
    <row r="489" spans="18:22" x14ac:dyDescent="0.4">
      <c r="R489" s="28">
        <f t="shared" si="37"/>
        <v>37.119999999999564</v>
      </c>
      <c r="S489" s="29">
        <f t="shared" si="38"/>
        <v>6.6364257348869846E-2</v>
      </c>
      <c r="T489" s="29">
        <f t="shared" si="39"/>
        <v>0.18130759534539548</v>
      </c>
      <c r="U489" s="29">
        <f t="shared" si="40"/>
        <v>0.21182641133095148</v>
      </c>
      <c r="V489" s="29">
        <f t="shared" si="41"/>
        <v>2.4778770806627407E-3</v>
      </c>
    </row>
    <row r="490" spans="18:22" x14ac:dyDescent="0.4">
      <c r="R490" s="28">
        <f t="shared" si="37"/>
        <v>37.199999999999562</v>
      </c>
      <c r="S490" s="29">
        <f t="shared" si="38"/>
        <v>6.6364514280218834E-2</v>
      </c>
      <c r="T490" s="29">
        <f t="shared" si="39"/>
        <v>0.18130759632523</v>
      </c>
      <c r="U490" s="29">
        <f t="shared" si="40"/>
        <v>0.21189225661823849</v>
      </c>
      <c r="V490" s="29">
        <f t="shared" si="41"/>
        <v>2.478675965946977E-3</v>
      </c>
    </row>
    <row r="491" spans="18:22" x14ac:dyDescent="0.4">
      <c r="R491" s="28">
        <f t="shared" si="37"/>
        <v>37.279999999999561</v>
      </c>
      <c r="S491" s="29">
        <f t="shared" si="38"/>
        <v>6.6364766576570575E-2</v>
      </c>
      <c r="T491" s="29">
        <f t="shared" si="39"/>
        <v>0.18130759728738849</v>
      </c>
      <c r="U491" s="29">
        <f t="shared" si="40"/>
        <v>0.21195766096865681</v>
      </c>
      <c r="V491" s="29">
        <f t="shared" si="41"/>
        <v>2.4794695014487118E-3</v>
      </c>
    </row>
    <row r="492" spans="18:22" x14ac:dyDescent="0.4">
      <c r="R492" s="28">
        <f t="shared" si="37"/>
        <v>37.359999999999559</v>
      </c>
      <c r="S492" s="29">
        <f t="shared" si="38"/>
        <v>6.6365014321539614E-2</v>
      </c>
      <c r="T492" s="29">
        <f t="shared" si="39"/>
        <v>0.18130759823218981</v>
      </c>
      <c r="U492" s="29">
        <f t="shared" si="40"/>
        <v>0.21202262733496413</v>
      </c>
      <c r="V492" s="29">
        <f t="shared" si="41"/>
        <v>2.4802577229930509E-3</v>
      </c>
    </row>
    <row r="493" spans="18:22" x14ac:dyDescent="0.4">
      <c r="R493" s="28">
        <f t="shared" si="37"/>
        <v>37.439999999999557</v>
      </c>
      <c r="S493" s="29">
        <f t="shared" si="38"/>
        <v>6.6365257597232108E-2</v>
      </c>
      <c r="T493" s="29">
        <f t="shared" si="39"/>
        <v>0.18130759915994704</v>
      </c>
      <c r="U493" s="29">
        <f t="shared" si="40"/>
        <v>0.21208715865014485</v>
      </c>
      <c r="V493" s="29">
        <f t="shared" si="41"/>
        <v>2.4810406661651967E-3</v>
      </c>
    </row>
    <row r="494" spans="18:22" x14ac:dyDescent="0.4">
      <c r="R494" s="28">
        <f t="shared" si="37"/>
        <v>37.519999999999555</v>
      </c>
      <c r="S494" s="29">
        <f t="shared" si="38"/>
        <v>6.6365496484273034E-2</v>
      </c>
      <c r="T494" s="29">
        <f t="shared" si="39"/>
        <v>0.18130760007096772</v>
      </c>
      <c r="U494" s="29">
        <f t="shared" si="40"/>
        <v>0.21215125782754257</v>
      </c>
      <c r="V494" s="29">
        <f t="shared" si="41"/>
        <v>2.4818183663120538E-3</v>
      </c>
    </row>
    <row r="495" spans="18:22" x14ac:dyDescent="0.4">
      <c r="R495" s="28">
        <f t="shared" si="37"/>
        <v>37.599999999999554</v>
      </c>
      <c r="S495" s="29">
        <f t="shared" si="38"/>
        <v>6.6365731061832911E-2</v>
      </c>
      <c r="T495" s="29">
        <f t="shared" si="39"/>
        <v>0.18130760096555373</v>
      </c>
      <c r="U495" s="29">
        <f t="shared" si="40"/>
        <v>0.21221492776099152</v>
      </c>
      <c r="V495" s="29">
        <f t="shared" si="41"/>
        <v>2.4825908585438244E-3</v>
      </c>
    </row>
    <row r="496" spans="18:22" x14ac:dyDescent="0.4">
      <c r="R496" s="28">
        <f t="shared" si="37"/>
        <v>37.679999999999552</v>
      </c>
      <c r="S496" s="29">
        <f t="shared" si="38"/>
        <v>6.6365961407654037E-2</v>
      </c>
      <c r="T496" s="29">
        <f t="shared" si="39"/>
        <v>0.18130760184400158</v>
      </c>
      <c r="U496" s="29">
        <f t="shared" si="40"/>
        <v>0.21227817132494728</v>
      </c>
      <c r="V496" s="29">
        <f t="shared" si="41"/>
        <v>2.4833581777355938E-3</v>
      </c>
    </row>
    <row r="497" spans="18:22" x14ac:dyDescent="0.4">
      <c r="R497" s="28">
        <f t="shared" si="37"/>
        <v>37.75999999999955</v>
      </c>
      <c r="S497" s="29">
        <f t="shared" si="38"/>
        <v>6.6366187598076248E-2</v>
      </c>
      <c r="T497" s="29">
        <f t="shared" si="39"/>
        <v>0.18130760270660237</v>
      </c>
      <c r="U497" s="29">
        <f t="shared" si="40"/>
        <v>0.21234099137461651</v>
      </c>
      <c r="V497" s="29">
        <f t="shared" si="41"/>
        <v>2.4841203585289056E-3</v>
      </c>
    </row>
    <row r="498" spans="18:22" x14ac:dyDescent="0.4">
      <c r="R498" s="28">
        <f t="shared" si="37"/>
        <v>37.839999999999549</v>
      </c>
      <c r="S498" s="29">
        <f t="shared" si="38"/>
        <v>6.6366409708062235E-2</v>
      </c>
      <c r="T498" s="29">
        <f t="shared" si="39"/>
        <v>0.181307603553642</v>
      </c>
      <c r="U498" s="29">
        <f t="shared" si="40"/>
        <v>0.21240339074608586</v>
      </c>
      <c r="V498" s="29">
        <f t="shared" si="41"/>
        <v>2.484877435333324E-3</v>
      </c>
    </row>
    <row r="499" spans="18:22" x14ac:dyDescent="0.4">
      <c r="R499" s="28">
        <f t="shared" si="37"/>
        <v>37.919999999999547</v>
      </c>
      <c r="S499" s="29">
        <f t="shared" si="38"/>
        <v>6.6366627811222351E-2</v>
      </c>
      <c r="T499" s="29">
        <f t="shared" si="39"/>
        <v>0.18130760438540117</v>
      </c>
      <c r="U499" s="29">
        <f t="shared" si="40"/>
        <v>0.21246537225644999</v>
      </c>
      <c r="V499" s="29">
        <f t="shared" si="41"/>
        <v>2.4856294423279894E-3</v>
      </c>
    </row>
    <row r="500" spans="18:22" x14ac:dyDescent="0.4">
      <c r="R500" s="28">
        <f t="shared" si="37"/>
        <v>37.999999999999545</v>
      </c>
      <c r="S500" s="29">
        <f t="shared" si="38"/>
        <v>6.6366841979839053E-2</v>
      </c>
      <c r="T500" s="29">
        <f t="shared" si="39"/>
        <v>0.18130760520215553</v>
      </c>
      <c r="U500" s="29">
        <f t="shared" si="40"/>
        <v>0.21252693870393877</v>
      </c>
      <c r="V500" s="29">
        <f t="shared" si="41"/>
        <v>2.4863764134631585E-3</v>
      </c>
    </row>
    <row r="501" spans="18:22" x14ac:dyDescent="0.4">
      <c r="R501" s="28">
        <f t="shared" si="37"/>
        <v>38.079999999999544</v>
      </c>
      <c r="S501" s="29">
        <f t="shared" si="38"/>
        <v>6.6367052284890815E-2</v>
      </c>
      <c r="T501" s="29">
        <f t="shared" si="39"/>
        <v>0.18130760600417578</v>
      </c>
      <c r="U501" s="29">
        <f t="shared" si="40"/>
        <v>0.21258809286804362</v>
      </c>
      <c r="V501" s="29">
        <f t="shared" si="41"/>
        <v>2.4871183824617398E-3</v>
      </c>
    </row>
    <row r="502" spans="18:22" x14ac:dyDescent="0.4">
      <c r="R502" s="28">
        <f t="shared" si="37"/>
        <v>38.159999999999542</v>
      </c>
      <c r="S502" s="29">
        <f t="shared" si="38"/>
        <v>6.636725879607569E-2</v>
      </c>
      <c r="T502" s="29">
        <f t="shared" si="39"/>
        <v>0.18130760679172775</v>
      </c>
      <c r="U502" s="29">
        <f t="shared" si="40"/>
        <v>0.21264883750964295</v>
      </c>
      <c r="V502" s="29">
        <f t="shared" si="41"/>
        <v>2.4878553828208143E-3</v>
      </c>
    </row>
    <row r="503" spans="18:22" x14ac:dyDescent="0.4">
      <c r="R503" s="28">
        <f t="shared" si="37"/>
        <v>38.23999999999954</v>
      </c>
      <c r="S503" s="29">
        <f t="shared" si="38"/>
        <v>6.6367461581834375E-2</v>
      </c>
      <c r="T503" s="29">
        <f t="shared" si="39"/>
        <v>0.18130760756507242</v>
      </c>
      <c r="U503" s="29">
        <f t="shared" si="40"/>
        <v>0.21270917537112685</v>
      </c>
      <c r="V503" s="29">
        <f t="shared" si="41"/>
        <v>2.488587447813149E-3</v>
      </c>
    </row>
    <row r="504" spans="18:22" x14ac:dyDescent="0.4">
      <c r="R504" s="28">
        <f t="shared" si="37"/>
        <v>38.319999999999538</v>
      </c>
      <c r="S504" s="29">
        <f t="shared" si="38"/>
        <v>6.636766070937293E-2</v>
      </c>
      <c r="T504" s="29">
        <f t="shared" si="39"/>
        <v>0.18130760832446607</v>
      </c>
      <c r="U504" s="29">
        <f t="shared" si="40"/>
        <v>0.21276910917652089</v>
      </c>
      <c r="V504" s="29">
        <f t="shared" si="41"/>
        <v>2.4893146104886981E-3</v>
      </c>
    </row>
    <row r="505" spans="18:22" x14ac:dyDescent="0.4">
      <c r="R505" s="28">
        <f t="shared" si="37"/>
        <v>38.399999999999537</v>
      </c>
      <c r="S505" s="29">
        <f t="shared" si="38"/>
        <v>6.6367856244685011E-2</v>
      </c>
      <c r="T505" s="29">
        <f t="shared" si="39"/>
        <v>0.18130760907016039</v>
      </c>
      <c r="U505" s="29">
        <f t="shared" si="40"/>
        <v>0.21282864163160906</v>
      </c>
      <c r="V505" s="29">
        <f t="shared" si="41"/>
        <v>2.4900369036760959E-3</v>
      </c>
    </row>
    <row r="506" spans="18:22" x14ac:dyDescent="0.4">
      <c r="R506" s="28">
        <f t="shared" si="37"/>
        <v>38.479999999999535</v>
      </c>
      <c r="S506" s="29">
        <f t="shared" si="38"/>
        <v>6.6368048252573766E-2</v>
      </c>
      <c r="T506" s="29">
        <f t="shared" si="39"/>
        <v>0.18130760980240254</v>
      </c>
      <c r="U506" s="29">
        <f t="shared" si="40"/>
        <v>0.2128877754240559</v>
      </c>
      <c r="V506" s="29">
        <f t="shared" si="41"/>
        <v>2.4907543599841371E-3</v>
      </c>
    </row>
    <row r="507" spans="18:22" x14ac:dyDescent="0.4">
      <c r="R507" s="28">
        <f t="shared" si="37"/>
        <v>38.559999999999533</v>
      </c>
      <c r="S507" s="29">
        <f t="shared" si="38"/>
        <v>6.6368236796673294E-2</v>
      </c>
      <c r="T507" s="29">
        <f t="shared" si="39"/>
        <v>0.18130761052143515</v>
      </c>
      <c r="U507" s="29">
        <f t="shared" si="40"/>
        <v>0.21294651322352801</v>
      </c>
      <c r="V507" s="29">
        <f t="shared" si="41"/>
        <v>2.4914670118032513E-3</v>
      </c>
    </row>
    <row r="508" spans="18:22" x14ac:dyDescent="0.4">
      <c r="R508" s="28">
        <f t="shared" si="37"/>
        <v>38.639999999999532</v>
      </c>
      <c r="S508" s="29">
        <f t="shared" si="38"/>
        <v>6.6368421939469763E-2</v>
      </c>
      <c r="T508" s="29">
        <f t="shared" si="39"/>
        <v>0.18130761122749656</v>
      </c>
      <c r="U508" s="29">
        <f t="shared" si="40"/>
        <v>0.21300485768181432</v>
      </c>
      <c r="V508" s="29">
        <f t="shared" si="41"/>
        <v>2.4921748913069642E-3</v>
      </c>
    </row>
    <row r="509" spans="18:22" x14ac:dyDescent="0.4">
      <c r="R509" s="28">
        <f t="shared" si="37"/>
        <v>38.71999999999953</v>
      </c>
      <c r="S509" s="29">
        <f t="shared" si="38"/>
        <v>6.6368603742322091E-2</v>
      </c>
      <c r="T509" s="29">
        <f t="shared" si="39"/>
        <v>0.1813076119208207</v>
      </c>
      <c r="U509" s="29">
        <f t="shared" si="40"/>
        <v>0.21306281143294603</v>
      </c>
      <c r="V509" s="29">
        <f t="shared" si="41"/>
        <v>2.4928780304533495E-3</v>
      </c>
    </row>
    <row r="510" spans="18:22" x14ac:dyDescent="0.4">
      <c r="R510" s="28">
        <f t="shared" si="37"/>
        <v>38.799999999999528</v>
      </c>
      <c r="S510" s="29">
        <f t="shared" si="38"/>
        <v>6.636878226548229E-2</v>
      </c>
      <c r="T510" s="29">
        <f t="shared" si="39"/>
        <v>0.18130761260163741</v>
      </c>
      <c r="U510" s="29">
        <f t="shared" si="40"/>
        <v>0.21312037709331538</v>
      </c>
      <c r="V510" s="29">
        <f t="shared" si="41"/>
        <v>2.493576460986472E-3</v>
      </c>
    </row>
    <row r="511" spans="18:22" x14ac:dyDescent="0.4">
      <c r="R511" s="28">
        <f t="shared" si="37"/>
        <v>38.879999999999526</v>
      </c>
      <c r="S511" s="29">
        <f t="shared" si="38"/>
        <v>6.636895756811545E-2</v>
      </c>
      <c r="T511" s="29">
        <f t="shared" si="39"/>
        <v>0.18130761327017231</v>
      </c>
      <c r="U511" s="29">
        <f t="shared" si="40"/>
        <v>0.21317755726179385</v>
      </c>
      <c r="V511" s="29">
        <f t="shared" si="41"/>
        <v>2.4942702144378224E-3</v>
      </c>
    </row>
    <row r="512" spans="18:22" x14ac:dyDescent="0.4">
      <c r="R512" s="28">
        <f t="shared" si="37"/>
        <v>38.959999999999525</v>
      </c>
      <c r="S512" s="29">
        <f t="shared" si="38"/>
        <v>6.6369129708319319E-2</v>
      </c>
      <c r="T512" s="29">
        <f t="shared" si="39"/>
        <v>0.18130761392664693</v>
      </c>
      <c r="U512" s="29">
        <f t="shared" si="40"/>
        <v>0.21323435451984943</v>
      </c>
      <c r="V512" s="29">
        <f t="shared" si="41"/>
        <v>2.4949593221277383E-3</v>
      </c>
    </row>
    <row r="513" spans="18:22" x14ac:dyDescent="0.4">
      <c r="R513" s="28">
        <f t="shared" si="37"/>
        <v>39.039999999999523</v>
      </c>
      <c r="S513" s="29">
        <f t="shared" si="38"/>
        <v>6.6369298743143582E-2</v>
      </c>
      <c r="T513" s="29">
        <f t="shared" si="39"/>
        <v>0.18130761457127889</v>
      </c>
      <c r="U513" s="29">
        <f t="shared" si="40"/>
        <v>0.21329077143166322</v>
      </c>
      <c r="V513" s="29">
        <f t="shared" si="41"/>
        <v>2.4956438151668187E-3</v>
      </c>
    </row>
    <row r="514" spans="18:22" x14ac:dyDescent="0.4">
      <c r="R514" s="28">
        <f t="shared" si="37"/>
        <v>39.119999999999521</v>
      </c>
      <c r="S514" s="29">
        <f t="shared" si="38"/>
        <v>6.6369464728608746E-2</v>
      </c>
      <c r="T514" s="29">
        <f t="shared" si="39"/>
        <v>0.18130761520428179</v>
      </c>
      <c r="U514" s="29">
        <f t="shared" si="40"/>
        <v>0.21334681054424517</v>
      </c>
      <c r="V514" s="29">
        <f t="shared" si="41"/>
        <v>2.4963237244573309E-3</v>
      </c>
    </row>
    <row r="515" spans="18:22" x14ac:dyDescent="0.4">
      <c r="R515" s="28">
        <f t="shared" si="37"/>
        <v>39.19999999999952</v>
      </c>
      <c r="S515" s="29">
        <f t="shared" si="38"/>
        <v>6.6369627719724725E-2</v>
      </c>
      <c r="T515" s="29">
        <f t="shared" si="39"/>
        <v>0.18130761582586544</v>
      </c>
      <c r="U515" s="29">
        <f t="shared" si="40"/>
        <v>0.21340247438754903</v>
      </c>
      <c r="V515" s="29">
        <f t="shared" si="41"/>
        <v>2.4969990806946018E-3</v>
      </c>
    </row>
    <row r="516" spans="18:22" x14ac:dyDescent="0.4">
      <c r="R516" s="28">
        <f t="shared" si="37"/>
        <v>39.279999999999518</v>
      </c>
      <c r="S516" s="29">
        <f t="shared" si="38"/>
        <v>6.6369787770509073E-2</v>
      </c>
      <c r="T516" s="29">
        <f t="shared" si="39"/>
        <v>0.1813076164362358</v>
      </c>
      <c r="U516" s="29">
        <f t="shared" si="40"/>
        <v>0.21345776547458659</v>
      </c>
      <c r="V516" s="29">
        <f t="shared" si="41"/>
        <v>2.4976699143684075E-3</v>
      </c>
    </row>
    <row r="517" spans="18:22" x14ac:dyDescent="0.4">
      <c r="R517" s="28">
        <f t="shared" si="37"/>
        <v>39.359999999999516</v>
      </c>
      <c r="S517" s="29">
        <f t="shared" si="38"/>
        <v>6.6369944934004846E-2</v>
      </c>
      <c r="T517" s="29">
        <f t="shared" si="39"/>
        <v>0.1813076170355952</v>
      </c>
      <c r="U517" s="29">
        <f t="shared" si="40"/>
        <v>0.21351268630154122</v>
      </c>
      <c r="V517" s="29">
        <f t="shared" si="41"/>
        <v>2.4983362557643466E-3</v>
      </c>
    </row>
    <row r="518" spans="18:22" x14ac:dyDescent="0.4">
      <c r="R518" s="28">
        <f t="shared" si="37"/>
        <v>39.439999999999515</v>
      </c>
      <c r="S518" s="29">
        <f t="shared" si="38"/>
        <v>6.6370099262298241E-2</v>
      </c>
      <c r="T518" s="29">
        <f t="shared" si="39"/>
        <v>0.18130761762414224</v>
      </c>
      <c r="U518" s="29">
        <f t="shared" si="40"/>
        <v>0.21356723934788038</v>
      </c>
      <c r="V518" s="29">
        <f t="shared" si="41"/>
        <v>2.4989981349652093E-3</v>
      </c>
    </row>
    <row r="519" spans="18:22" x14ac:dyDescent="0.4">
      <c r="R519" s="28">
        <f t="shared" si="37"/>
        <v>39.519999999999513</v>
      </c>
      <c r="S519" s="29">
        <f t="shared" si="38"/>
        <v>6.637025080653583E-2</v>
      </c>
      <c r="T519" s="29">
        <f t="shared" si="39"/>
        <v>0.18130761820207203</v>
      </c>
      <c r="U519" s="29">
        <f t="shared" si="40"/>
        <v>0.21362142707646775</v>
      </c>
      <c r="V519" s="29">
        <f t="shared" si="41"/>
        <v>2.4996555818523349E-3</v>
      </c>
    </row>
    <row r="520" spans="18:22" x14ac:dyDescent="0.4">
      <c r="R520" s="28">
        <f t="shared" si="37"/>
        <v>39.599999999999511</v>
      </c>
      <c r="S520" s="29">
        <f t="shared" si="38"/>
        <v>6.6370399616941494E-2</v>
      </c>
      <c r="T520" s="29">
        <f t="shared" si="39"/>
        <v>0.18130761876957605</v>
      </c>
      <c r="U520" s="29">
        <f t="shared" si="40"/>
        <v>0.21367525193367426</v>
      </c>
      <c r="V520" s="29">
        <f t="shared" si="41"/>
        <v>2.5003086261069611E-3</v>
      </c>
    </row>
    <row r="521" spans="18:22" x14ac:dyDescent="0.4">
      <c r="R521" s="28">
        <f t="shared" si="37"/>
        <v>39.679999999999509</v>
      </c>
      <c r="S521" s="29">
        <f t="shared" si="38"/>
        <v>6.6370545742833076E-2</v>
      </c>
      <c r="T521" s="29">
        <f t="shared" si="39"/>
        <v>0.18130761932684239</v>
      </c>
      <c r="U521" s="29">
        <f t="shared" si="40"/>
        <v>0.21372871634948865</v>
      </c>
      <c r="V521" s="29">
        <f t="shared" si="41"/>
        <v>2.5009572972115634E-3</v>
      </c>
    </row>
    <row r="522" spans="18:22" x14ac:dyDescent="0.4">
      <c r="R522" s="28">
        <f t="shared" si="37"/>
        <v>39.759999999999508</v>
      </c>
      <c r="S522" s="29">
        <f t="shared" si="38"/>
        <v>6.6370689232638766E-2</v>
      </c>
      <c r="T522" s="29">
        <f t="shared" si="39"/>
        <v>0.18130761987405575</v>
      </c>
      <c r="U522" s="29">
        <f t="shared" si="40"/>
        <v>0.21378182273762708</v>
      </c>
      <c r="V522" s="29">
        <f t="shared" si="41"/>
        <v>2.5016016244511874E-3</v>
      </c>
    </row>
    <row r="523" spans="18:22" x14ac:dyDescent="0.4">
      <c r="R523" s="28">
        <f t="shared" si="37"/>
        <v>39.839999999999506</v>
      </c>
      <c r="S523" s="29">
        <f t="shared" si="38"/>
        <v>6.6370830133913095E-2</v>
      </c>
      <c r="T523" s="29">
        <f t="shared" si="39"/>
        <v>0.18130762041139745</v>
      </c>
      <c r="U523" s="29">
        <f t="shared" si="40"/>
        <v>0.21383457349564219</v>
      </c>
      <c r="V523" s="29">
        <f t="shared" si="41"/>
        <v>2.5022416369147697E-3</v>
      </c>
    </row>
    <row r="524" spans="18:22" x14ac:dyDescent="0.4">
      <c r="R524" s="28">
        <f t="shared" si="37"/>
        <v>39.919999999999504</v>
      </c>
      <c r="S524" s="29">
        <f t="shared" si="38"/>
        <v>6.6370968493352708E-2</v>
      </c>
      <c r="T524" s="29">
        <f t="shared" si="39"/>
        <v>0.18130762093904559</v>
      </c>
      <c r="U524" s="29">
        <f t="shared" si="40"/>
        <v>0.21388697100503129</v>
      </c>
      <c r="V524" s="29">
        <f t="shared" si="41"/>
        <v>2.502877363496451E-3</v>
      </c>
    </row>
    <row r="525" spans="18:22" x14ac:dyDescent="0.4">
      <c r="R525" s="28">
        <f t="shared" si="37"/>
        <v>39.999999999999503</v>
      </c>
      <c r="S525" s="29">
        <f t="shared" si="38"/>
        <v>6.6371104356811886E-2</v>
      </c>
      <c r="T525" s="29">
        <f t="shared" si="39"/>
        <v>0.18130762145717508</v>
      </c>
      <c r="U525" s="29">
        <f t="shared" si="40"/>
        <v>0.21393901763134385</v>
      </c>
      <c r="V525" s="29">
        <f t="shared" si="41"/>
        <v>2.5035088328968814E-3</v>
      </c>
    </row>
    <row r="526" spans="18:22" x14ac:dyDescent="0.4">
      <c r="R526" s="28">
        <f t="shared" si="37"/>
        <v>40.079999999999501</v>
      </c>
      <c r="S526" s="29">
        <f t="shared" si="38"/>
        <v>6.6371237769317679E-2</v>
      </c>
      <c r="T526" s="29">
        <f t="shared" si="39"/>
        <v>0.18130762196595759</v>
      </c>
      <c r="U526" s="29">
        <f t="shared" si="40"/>
        <v>0.21399071572428835</v>
      </c>
      <c r="V526" s="29">
        <f t="shared" si="41"/>
        <v>2.5041360736245159E-3</v>
      </c>
    </row>
    <row r="527" spans="18:22" x14ac:dyDescent="0.4">
      <c r="R527" s="28">
        <f t="shared" si="37"/>
        <v>40.159999999999499</v>
      </c>
      <c r="S527" s="29">
        <f t="shared" si="38"/>
        <v>6.6371368775084857E-2</v>
      </c>
      <c r="T527" s="29">
        <f t="shared" si="39"/>
        <v>0.18130762246556179</v>
      </c>
      <c r="U527" s="29">
        <f t="shared" si="40"/>
        <v>0.21404206761783831</v>
      </c>
      <c r="V527" s="29">
        <f t="shared" si="41"/>
        <v>2.504759113996901E-3</v>
      </c>
    </row>
    <row r="528" spans="18:22" x14ac:dyDescent="0.4">
      <c r="R528" s="28">
        <f t="shared" si="37"/>
        <v>40.239999999999498</v>
      </c>
      <c r="S528" s="29">
        <f t="shared" si="38"/>
        <v>6.6371497417530567E-2</v>
      </c>
      <c r="T528" s="29">
        <f t="shared" si="39"/>
        <v>0.18130762295615316</v>
      </c>
      <c r="U528" s="29">
        <f t="shared" si="40"/>
        <v>0.21409307563033772</v>
      </c>
      <c r="V528" s="29">
        <f t="shared" si="41"/>
        <v>2.5053779821419533E-3</v>
      </c>
    </row>
    <row r="529" spans="18:22" x14ac:dyDescent="0.4">
      <c r="R529" s="28">
        <f t="shared" si="37"/>
        <v>40.319999999999496</v>
      </c>
      <c r="S529" s="29">
        <f t="shared" si="38"/>
        <v>6.6371623739288732E-2</v>
      </c>
      <c r="T529" s="29">
        <f t="shared" si="39"/>
        <v>0.18130762343789439</v>
      </c>
      <c r="U529" s="29">
        <f t="shared" si="40"/>
        <v>0.21414374206460565</v>
      </c>
      <c r="V529" s="29">
        <f t="shared" si="41"/>
        <v>2.5059927059992303E-3</v>
      </c>
    </row>
    <row r="530" spans="18:22" x14ac:dyDescent="0.4">
      <c r="R530" s="28">
        <f t="shared" si="37"/>
        <v>40.399999999999494</v>
      </c>
      <c r="S530" s="29">
        <f t="shared" si="38"/>
        <v>6.6371747782224155E-2</v>
      </c>
      <c r="T530" s="29">
        <f t="shared" si="39"/>
        <v>0.18130762391094507</v>
      </c>
      <c r="U530" s="29">
        <f t="shared" si="40"/>
        <v>0.21419406920804024</v>
      </c>
      <c r="V530" s="29">
        <f t="shared" si="41"/>
        <v>2.5066033133211907E-3</v>
      </c>
    </row>
    <row r="531" spans="18:22" x14ac:dyDescent="0.4">
      <c r="R531" s="28">
        <f t="shared" si="37"/>
        <v>40.479999999999492</v>
      </c>
      <c r="S531" s="29">
        <f t="shared" si="38"/>
        <v>6.6371869587446397E-2</v>
      </c>
      <c r="T531" s="29">
        <f t="shared" si="39"/>
        <v>0.181307624375462</v>
      </c>
      <c r="U531" s="29">
        <f t="shared" si="40"/>
        <v>0.21424405933272192</v>
      </c>
      <c r="V531" s="29">
        <f t="shared" si="41"/>
        <v>2.5072098316744462E-3</v>
      </c>
    </row>
    <row r="532" spans="18:22" x14ac:dyDescent="0.4">
      <c r="R532" s="28">
        <f t="shared" si="37"/>
        <v>40.559999999999491</v>
      </c>
      <c r="S532" s="29">
        <f t="shared" si="38"/>
        <v>6.6371989195323416E-2</v>
      </c>
      <c r="T532" s="29">
        <f t="shared" si="39"/>
        <v>0.18130762483159912</v>
      </c>
      <c r="U532" s="29">
        <f t="shared" si="40"/>
        <v>0.21429371469551606</v>
      </c>
      <c r="V532" s="29">
        <f t="shared" si="41"/>
        <v>2.5078122884410084E-3</v>
      </c>
    </row>
    <row r="533" spans="18:22" x14ac:dyDescent="0.4">
      <c r="R533" s="28">
        <f t="shared" si="37"/>
        <v>40.639999999999489</v>
      </c>
      <c r="S533" s="29">
        <f t="shared" si="38"/>
        <v>6.6372106645494949E-2</v>
      </c>
      <c r="T533" s="29">
        <f t="shared" si="39"/>
        <v>0.18130762527950761</v>
      </c>
      <c r="U533" s="29">
        <f t="shared" si="40"/>
        <v>0.21434303753817482</v>
      </c>
      <c r="V533" s="29">
        <f t="shared" si="41"/>
        <v>2.5084107108195247E-3</v>
      </c>
    </row>
    <row r="534" spans="18:22" x14ac:dyDescent="0.4">
      <c r="R534" s="28">
        <f t="shared" si="37"/>
        <v>40.719999999999487</v>
      </c>
      <c r="S534" s="29">
        <f t="shared" si="38"/>
        <v>6.6372221976885637E-2</v>
      </c>
      <c r="T534" s="29">
        <f t="shared" si="39"/>
        <v>0.1813076257193359</v>
      </c>
      <c r="U534" s="29">
        <f t="shared" si="40"/>
        <v>0.21439203008743837</v>
      </c>
      <c r="V534" s="29">
        <f t="shared" si="41"/>
        <v>2.5090051258265045E-3</v>
      </c>
    </row>
    <row r="535" spans="18:22" x14ac:dyDescent="0.4">
      <c r="R535" s="28">
        <f t="shared" si="37"/>
        <v>40.799999999999486</v>
      </c>
      <c r="S535" s="29">
        <f t="shared" si="38"/>
        <v>6.6372335227717918E-2</v>
      </c>
      <c r="T535" s="29">
        <f t="shared" si="39"/>
        <v>0.18130762615122978</v>
      </c>
      <c r="U535" s="29">
        <f t="shared" si="40"/>
        <v>0.21444069455513537</v>
      </c>
      <c r="V535" s="29">
        <f t="shared" si="41"/>
        <v>2.5095955602975391E-3</v>
      </c>
    </row>
    <row r="536" spans="18:22" x14ac:dyDescent="0.4">
      <c r="R536" s="28">
        <f t="shared" si="37"/>
        <v>40.879999999999484</v>
      </c>
      <c r="S536" s="29">
        <f t="shared" si="38"/>
        <v>6.6372446435524701E-2</v>
      </c>
      <c r="T536" s="29">
        <f t="shared" si="39"/>
        <v>0.18130762657533236</v>
      </c>
      <c r="U536" s="29">
        <f t="shared" si="40"/>
        <v>0.21448903313828285</v>
      </c>
      <c r="V536" s="29">
        <f t="shared" si="41"/>
        <v>2.5101820408885158E-3</v>
      </c>
    </row>
    <row r="537" spans="18:22" x14ac:dyDescent="0.4">
      <c r="R537" s="28">
        <f t="shared" si="37"/>
        <v>40.959999999999482</v>
      </c>
      <c r="S537" s="29">
        <f t="shared" si="38"/>
        <v>6.6372555637161809E-2</v>
      </c>
      <c r="T537" s="29">
        <f t="shared" si="39"/>
        <v>0.18130762699178421</v>
      </c>
      <c r="U537" s="29">
        <f t="shared" si="40"/>
        <v>0.21453704801918547</v>
      </c>
      <c r="V537" s="29">
        <f t="shared" si="41"/>
        <v>2.5107645940768185E-3</v>
      </c>
    </row>
    <row r="538" spans="18:22" x14ac:dyDescent="0.4">
      <c r="R538" s="28">
        <f t="shared" ref="R538:R601" si="42">R537+$S$22</f>
        <v>41.03999999999948</v>
      </c>
      <c r="S538" s="29">
        <f t="shared" ref="S538:S601" si="43">IF(S$13,S537*S$18+(S$14+S$15*IF(S$17,$D$71,0))*S$19,NA())</f>
        <v>6.6372662868820209E-2</v>
      </c>
      <c r="T538" s="29">
        <f t="shared" ref="T538:T601" si="44">IF(T$13,T537*T$18+(T$14+T$15*IF(T$17,$D$71,(S537+S538)/2))*T$19,NA())</f>
        <v>0.18130762740072334</v>
      </c>
      <c r="U538" s="29">
        <f t="shared" ref="U538:U601" si="45">IF(U$13,U537*U$18+(U$14+U$15*IF(U$17,$D$71,(T537+T538)/2))*U$19,NA())</f>
        <v>0.2145847413655339</v>
      </c>
      <c r="V538" s="29">
        <f t="shared" ref="V538:V601" si="46">IF(V$13,V537*V$18+(V$14+V$15*IF(V$17,$D$71,(U537+U538)/2))*V$19,NA())</f>
        <v>2.5113432461625236E-3</v>
      </c>
    </row>
    <row r="539" spans="18:22" x14ac:dyDescent="0.4">
      <c r="R539" s="28">
        <f t="shared" si="42"/>
        <v>41.119999999999479</v>
      </c>
      <c r="S539" s="29">
        <f t="shared" si="43"/>
        <v>6.6372768166037974E-2</v>
      </c>
      <c r="T539" s="29">
        <f t="shared" si="44"/>
        <v>0.18130762780228526</v>
      </c>
      <c r="U539" s="29">
        <f t="shared" si="45"/>
        <v>0.21463211533050283</v>
      </c>
      <c r="V539" s="29">
        <f t="shared" si="46"/>
        <v>2.5119180232695886E-3</v>
      </c>
    </row>
    <row r="540" spans="18:22" x14ac:dyDescent="0.4">
      <c r="R540" s="28">
        <f t="shared" si="42"/>
        <v>41.199999999999477</v>
      </c>
      <c r="S540" s="29">
        <f t="shared" si="43"/>
        <v>6.6372871563712077E-2</v>
      </c>
      <c r="T540" s="29">
        <f t="shared" si="44"/>
        <v>0.18130762819660309</v>
      </c>
      <c r="U540" s="29">
        <f t="shared" si="45"/>
        <v>0.21467917205284806</v>
      </c>
      <c r="V540" s="29">
        <f t="shared" si="46"/>
        <v>2.5124889513470296E-3</v>
      </c>
    </row>
    <row r="541" spans="18:22" x14ac:dyDescent="0.4">
      <c r="R541" s="28">
        <f t="shared" si="42"/>
        <v>41.279999999999475</v>
      </c>
      <c r="S541" s="29">
        <f t="shared" si="43"/>
        <v>6.6372973096109955E-2</v>
      </c>
      <c r="T541" s="29">
        <f t="shared" si="44"/>
        <v>0.1813076285838075</v>
      </c>
      <c r="U541" s="29">
        <f t="shared" si="45"/>
        <v>0.21472591365700314</v>
      </c>
      <c r="V541" s="29">
        <f t="shared" si="46"/>
        <v>2.5130560561700951E-3</v>
      </c>
    </row>
    <row r="542" spans="18:22" x14ac:dyDescent="0.4">
      <c r="R542" s="28">
        <f t="shared" si="42"/>
        <v>41.359999999999474</v>
      </c>
      <c r="S542" s="29">
        <f t="shared" si="43"/>
        <v>6.6373072796880872E-2</v>
      </c>
      <c r="T542" s="29">
        <f t="shared" si="44"/>
        <v>0.1813076289640268</v>
      </c>
      <c r="U542" s="29">
        <f t="shared" si="45"/>
        <v>0.21477234225317524</v>
      </c>
      <c r="V542" s="29">
        <f t="shared" si="46"/>
        <v>2.5136193633414276E-3</v>
      </c>
    </row>
    <row r="543" spans="18:22" x14ac:dyDescent="0.4">
      <c r="R543" s="28">
        <f t="shared" si="42"/>
        <v>41.439999999999472</v>
      </c>
      <c r="S543" s="29">
        <f t="shared" si="43"/>
        <v>6.6373170699067077E-2</v>
      </c>
      <c r="T543" s="29">
        <f t="shared" si="44"/>
        <v>0.18130762933738701</v>
      </c>
      <c r="U543" s="29">
        <f t="shared" si="45"/>
        <v>0.21481845993744039</v>
      </c>
      <c r="V543" s="29">
        <f t="shared" si="46"/>
        <v>2.5141788982922203E-3</v>
      </c>
    </row>
    <row r="544" spans="18:22" x14ac:dyDescent="0.4">
      <c r="R544" s="28">
        <f t="shared" si="42"/>
        <v>41.51999999999947</v>
      </c>
      <c r="S544" s="29">
        <f t="shared" si="43"/>
        <v>6.6373266835114714E-2</v>
      </c>
      <c r="T544" s="29">
        <f t="shared" si="44"/>
        <v>0.18130762970401185</v>
      </c>
      <c r="U544" s="29">
        <f t="shared" si="45"/>
        <v>0.21486426879183818</v>
      </c>
      <c r="V544" s="29">
        <f t="shared" si="46"/>
        <v>2.5147346862833654E-3</v>
      </c>
    </row>
    <row r="545" spans="18:22" x14ac:dyDescent="0.4">
      <c r="R545" s="28">
        <f t="shared" si="42"/>
        <v>41.599999999999469</v>
      </c>
      <c r="S545" s="29">
        <f t="shared" si="43"/>
        <v>6.6373361236884615E-2</v>
      </c>
      <c r="T545" s="29">
        <f t="shared" si="44"/>
        <v>0.18130763006402284</v>
      </c>
      <c r="U545" s="29">
        <f t="shared" si="45"/>
        <v>0.2149097708844657</v>
      </c>
      <c r="V545" s="29">
        <f t="shared" si="46"/>
        <v>2.5152867524065935E-3</v>
      </c>
    </row>
    <row r="546" spans="18:22" x14ac:dyDescent="0.4">
      <c r="R546" s="28">
        <f t="shared" si="42"/>
        <v>41.679999999999467</v>
      </c>
      <c r="S546" s="29">
        <f t="shared" si="43"/>
        <v>6.6373453935662852E-2</v>
      </c>
      <c r="T546" s="29">
        <f t="shared" si="44"/>
        <v>0.18130763041753933</v>
      </c>
      <c r="U546" s="29">
        <f t="shared" si="45"/>
        <v>0.21495496826957092</v>
      </c>
      <c r="V546" s="29">
        <f t="shared" si="46"/>
        <v>2.5158351215856085E-3</v>
      </c>
    </row>
    <row r="547" spans="18:22" x14ac:dyDescent="0.4">
      <c r="R547" s="28">
        <f t="shared" si="42"/>
        <v>41.759999999999465</v>
      </c>
      <c r="S547" s="29">
        <f t="shared" si="43"/>
        <v>6.6373544962171113E-2</v>
      </c>
      <c r="T547" s="29">
        <f t="shared" si="44"/>
        <v>0.18130763076467843</v>
      </c>
      <c r="U547" s="29">
        <f t="shared" si="45"/>
        <v>0.21499986298764542</v>
      </c>
      <c r="V547" s="29">
        <f t="shared" si="46"/>
        <v>2.5163798185772104E-3</v>
      </c>
    </row>
    <row r="548" spans="18:22" x14ac:dyDescent="0.4">
      <c r="R548" s="28">
        <f t="shared" si="42"/>
        <v>41.839999999999463</v>
      </c>
      <c r="S548" s="29">
        <f t="shared" si="43"/>
        <v>6.6373634346576851E-2</v>
      </c>
      <c r="T548" s="29">
        <f t="shared" si="44"/>
        <v>0.1813076311055552</v>
      </c>
      <c r="U548" s="29">
        <f t="shared" si="45"/>
        <v>0.21504445706551656</v>
      </c>
      <c r="V548" s="29">
        <f t="shared" si="46"/>
        <v>2.5169208679724142E-3</v>
      </c>
    </row>
    <row r="549" spans="18:22" x14ac:dyDescent="0.4">
      <c r="R549" s="28">
        <f t="shared" si="42"/>
        <v>41.919999999999462</v>
      </c>
      <c r="S549" s="29">
        <f t="shared" si="43"/>
        <v>6.6373722118503314E-2</v>
      </c>
      <c r="T549" s="29">
        <f t="shared" si="44"/>
        <v>0.18130763144028261</v>
      </c>
      <c r="U549" s="29">
        <f t="shared" si="45"/>
        <v>0.21508875251643891</v>
      </c>
      <c r="V549" s="29">
        <f t="shared" si="46"/>
        <v>2.5174582941975606E-3</v>
      </c>
    </row>
    <row r="550" spans="18:22" x14ac:dyDescent="0.4">
      <c r="R550" s="28">
        <f t="shared" si="42"/>
        <v>41.99999999999946</v>
      </c>
      <c r="S550" s="29">
        <f t="shared" si="43"/>
        <v>6.6373808307039359E-2</v>
      </c>
      <c r="T550" s="29">
        <f t="shared" si="44"/>
        <v>0.18130763176897161</v>
      </c>
      <c r="U550" s="29">
        <f t="shared" si="45"/>
        <v>0.21513275134018522</v>
      </c>
      <c r="V550" s="29">
        <f t="shared" si="46"/>
        <v>2.5179921215154177E-3</v>
      </c>
    </row>
    <row r="551" spans="18:22" x14ac:dyDescent="0.4">
      <c r="R551" s="28">
        <f t="shared" si="42"/>
        <v>42.079999999999458</v>
      </c>
      <c r="S551" s="29">
        <f t="shared" si="43"/>
        <v>6.6373892940749066E-2</v>
      </c>
      <c r="T551" s="29">
        <f t="shared" si="44"/>
        <v>0.18130763209173112</v>
      </c>
      <c r="U551" s="29">
        <f t="shared" si="45"/>
        <v>0.21517645552313663</v>
      </c>
      <c r="V551" s="29">
        <f t="shared" si="46"/>
        <v>2.5185223740262761E-3</v>
      </c>
    </row>
    <row r="552" spans="18:22" x14ac:dyDescent="0.4">
      <c r="R552" s="28">
        <f t="shared" si="42"/>
        <v>42.159999999999457</v>
      </c>
      <c r="S552" s="29">
        <f t="shared" si="43"/>
        <v>6.6373976047681235E-2</v>
      </c>
      <c r="T552" s="29">
        <f t="shared" si="44"/>
        <v>0.1813076324086681</v>
      </c>
      <c r="U552" s="29">
        <f t="shared" si="45"/>
        <v>0.21521986703837237</v>
      </c>
      <c r="V552" s="29">
        <f t="shared" si="46"/>
        <v>2.5190490756690385E-3</v>
      </c>
    </row>
    <row r="553" spans="18:22" x14ac:dyDescent="0.4">
      <c r="R553" s="28">
        <f t="shared" si="42"/>
        <v>42.239999999999455</v>
      </c>
      <c r="S553" s="29">
        <f t="shared" si="43"/>
        <v>6.6374057655378668E-2</v>
      </c>
      <c r="T553" s="29">
        <f t="shared" si="44"/>
        <v>0.18130763271988756</v>
      </c>
      <c r="U553" s="29">
        <f t="shared" si="45"/>
        <v>0.21526298784575887</v>
      </c>
      <c r="V553" s="29">
        <f t="shared" si="46"/>
        <v>2.5195722502222989E-3</v>
      </c>
    </row>
    <row r="554" spans="18:22" x14ac:dyDescent="0.4">
      <c r="R554" s="28">
        <f t="shared" si="42"/>
        <v>42.319999999999453</v>
      </c>
      <c r="S554" s="29">
        <f t="shared" si="43"/>
        <v>6.63741377908873E-2</v>
      </c>
      <c r="T554" s="29">
        <f t="shared" si="44"/>
        <v>0.18130763302549269</v>
      </c>
      <c r="U554" s="29">
        <f t="shared" si="45"/>
        <v>0.21530581989203817</v>
      </c>
      <c r="V554" s="29">
        <f t="shared" si="46"/>
        <v>2.5200919213054177E-3</v>
      </c>
    </row>
    <row r="555" spans="18:22" x14ac:dyDescent="0.4">
      <c r="R555" s="28">
        <f t="shared" si="42"/>
        <v>42.399999999999451</v>
      </c>
      <c r="S555" s="29">
        <f t="shared" si="43"/>
        <v>6.6374216480765177E-2</v>
      </c>
      <c r="T555" s="29">
        <f t="shared" si="44"/>
        <v>0.18130763332558478</v>
      </c>
      <c r="U555" s="29">
        <f t="shared" si="45"/>
        <v>0.2153483651109159</v>
      </c>
      <c r="V555" s="29">
        <f t="shared" si="46"/>
        <v>2.5206081123795854E-3</v>
      </c>
    </row>
    <row r="556" spans="18:22" x14ac:dyDescent="0.4">
      <c r="R556" s="28">
        <f t="shared" si="42"/>
        <v>42.47999999999945</v>
      </c>
      <c r="S556" s="29">
        <f t="shared" si="43"/>
        <v>6.6374293751091218E-2</v>
      </c>
      <c r="T556" s="29">
        <f t="shared" si="44"/>
        <v>0.18130763362026323</v>
      </c>
      <c r="U556" s="29">
        <f t="shared" si="45"/>
        <v>0.21539062542314852</v>
      </c>
      <c r="V556" s="29">
        <f t="shared" si="46"/>
        <v>2.5211208467488849E-3</v>
      </c>
    </row>
    <row r="557" spans="18:22" x14ac:dyDescent="0.4">
      <c r="R557" s="28">
        <f t="shared" si="42"/>
        <v>42.559999999999448</v>
      </c>
      <c r="S557" s="29">
        <f t="shared" si="43"/>
        <v>6.6374369627473895E-2</v>
      </c>
      <c r="T557" s="29">
        <f t="shared" si="44"/>
        <v>0.18130763390962573</v>
      </c>
      <c r="U557" s="29">
        <f t="shared" si="45"/>
        <v>0.21543260273663001</v>
      </c>
      <c r="V557" s="29">
        <f t="shared" si="46"/>
        <v>2.5216301475613416E-3</v>
      </c>
    </row>
    <row r="558" spans="18:22" x14ac:dyDescent="0.4">
      <c r="R558" s="28">
        <f t="shared" si="42"/>
        <v>42.639999999999446</v>
      </c>
      <c r="S558" s="29">
        <f t="shared" si="43"/>
        <v>6.6374444135059704E-2</v>
      </c>
      <c r="T558" s="29">
        <f t="shared" si="44"/>
        <v>0.18130763419376819</v>
      </c>
      <c r="U558" s="29">
        <f t="shared" si="45"/>
        <v>0.21547429894647807</v>
      </c>
      <c r="V558" s="29">
        <f t="shared" si="46"/>
        <v>2.5221360378099686E-3</v>
      </c>
    </row>
    <row r="559" spans="18:22" x14ac:dyDescent="0.4">
      <c r="R559" s="28">
        <f t="shared" si="42"/>
        <v>42.719999999999445</v>
      </c>
      <c r="S559" s="29">
        <f t="shared" si="43"/>
        <v>6.6374517298541505E-2</v>
      </c>
      <c r="T559" s="29">
        <f t="shared" si="44"/>
        <v>0.18130763447278475</v>
      </c>
      <c r="U559" s="29">
        <f t="shared" si="45"/>
        <v>0.21551571593511964</v>
      </c>
      <c r="V559" s="29">
        <f t="shared" si="46"/>
        <v>2.5226385403338057E-3</v>
      </c>
    </row>
    <row r="560" spans="18:22" x14ac:dyDescent="0.4">
      <c r="R560" s="28">
        <f t="shared" si="42"/>
        <v>42.799999999999443</v>
      </c>
      <c r="S560" s="29">
        <f t="shared" si="43"/>
        <v>6.6374589142166707E-2</v>
      </c>
      <c r="T560" s="29">
        <f t="shared" si="44"/>
        <v>0.18130763474676792</v>
      </c>
      <c r="U560" s="29">
        <f t="shared" si="45"/>
        <v>0.21555685557237589</v>
      </c>
      <c r="V560" s="29">
        <f t="shared" si="46"/>
        <v>2.5231376778189494E-3</v>
      </c>
    </row>
    <row r="561" spans="18:22" x14ac:dyDescent="0.4">
      <c r="R561" s="28">
        <f t="shared" si="42"/>
        <v>42.879999999999441</v>
      </c>
      <c r="S561" s="29">
        <f t="shared" si="43"/>
        <v>6.6374659689745291E-2</v>
      </c>
      <c r="T561" s="29">
        <f t="shared" si="44"/>
        <v>0.18130763501580846</v>
      </c>
      <c r="U561" s="29">
        <f t="shared" si="45"/>
        <v>0.21559771971554664</v>
      </c>
      <c r="V561" s="29">
        <f t="shared" si="46"/>
        <v>2.5236334727995781E-3</v>
      </c>
    </row>
    <row r="562" spans="18:22" x14ac:dyDescent="0.4">
      <c r="R562" s="28">
        <f t="shared" si="42"/>
        <v>42.95999999999944</v>
      </c>
      <c r="S562" s="29">
        <f t="shared" si="43"/>
        <v>6.6374728964657709E-2</v>
      </c>
      <c r="T562" s="29">
        <f t="shared" si="44"/>
        <v>0.18130763527999558</v>
      </c>
      <c r="U562" s="29">
        <f t="shared" si="45"/>
        <v>0.21563831020949417</v>
      </c>
      <c r="V562" s="29">
        <f t="shared" si="46"/>
        <v>2.5241259476589686E-3</v>
      </c>
    </row>
    <row r="563" spans="18:22" x14ac:dyDescent="0.4">
      <c r="R563" s="28">
        <f t="shared" si="42"/>
        <v>43.039999999999438</v>
      </c>
      <c r="S563" s="29">
        <f t="shared" si="43"/>
        <v>6.637479698986265E-2</v>
      </c>
      <c r="T563" s="29">
        <f t="shared" si="44"/>
        <v>0.18130763553941678</v>
      </c>
      <c r="U563" s="29">
        <f t="shared" si="45"/>
        <v>0.21567862888672659</v>
      </c>
      <c r="V563" s="29">
        <f t="shared" si="46"/>
        <v>2.5246151246305065E-3</v>
      </c>
    </row>
    <row r="564" spans="18:22" x14ac:dyDescent="0.4">
      <c r="R564" s="28">
        <f t="shared" si="42"/>
        <v>43.119999999999436</v>
      </c>
      <c r="S564" s="29">
        <f t="shared" si="43"/>
        <v>6.6374863787904623E-2</v>
      </c>
      <c r="T564" s="29">
        <f t="shared" si="44"/>
        <v>0.1813076357941581</v>
      </c>
      <c r="U564" s="29">
        <f t="shared" si="45"/>
        <v>0.21571867756748048</v>
      </c>
      <c r="V564" s="29">
        <f t="shared" si="46"/>
        <v>2.5251010257986914E-3</v>
      </c>
    </row>
    <row r="565" spans="18:22" x14ac:dyDescent="0.4">
      <c r="R565" s="28">
        <f t="shared" si="42"/>
        <v>43.199999999999434</v>
      </c>
      <c r="S565" s="29">
        <f t="shared" si="43"/>
        <v>6.6374929380921432E-2</v>
      </c>
      <c r="T565" s="29">
        <f t="shared" si="44"/>
        <v>0.18130763604430392</v>
      </c>
      <c r="U565" s="29">
        <f t="shared" si="45"/>
        <v>0.21575845805980312</v>
      </c>
      <c r="V565" s="29">
        <f t="shared" si="46"/>
        <v>2.5255836731001317E-3</v>
      </c>
    </row>
    <row r="566" spans="18:22" x14ac:dyDescent="0.4">
      <c r="R566" s="28">
        <f t="shared" si="42"/>
        <v>43.279999999999433</v>
      </c>
      <c r="S566" s="29">
        <f t="shared" si="43"/>
        <v>6.6374993790651524E-2</v>
      </c>
      <c r="T566" s="29">
        <f t="shared" si="44"/>
        <v>0.18130763628993715</v>
      </c>
      <c r="U566" s="29">
        <f t="shared" si="45"/>
        <v>0.21579797215963414</v>
      </c>
      <c r="V566" s="29">
        <f t="shared" si="46"/>
        <v>2.5260630883245372E-3</v>
      </c>
    </row>
    <row r="567" spans="18:22" x14ac:dyDescent="0.4">
      <c r="R567" s="28">
        <f t="shared" si="42"/>
        <v>43.359999999999431</v>
      </c>
      <c r="S567" s="29">
        <f t="shared" si="43"/>
        <v>6.6375057038441182E-2</v>
      </c>
      <c r="T567" s="29">
        <f t="shared" si="44"/>
        <v>0.18130763653113918</v>
      </c>
      <c r="U567" s="29">
        <f t="shared" si="45"/>
        <v>0.21583722165088656</v>
      </c>
      <c r="V567" s="29">
        <f t="shared" si="46"/>
        <v>2.5265392931157014E-3</v>
      </c>
    </row>
    <row r="568" spans="18:22" x14ac:dyDescent="0.4">
      <c r="R568" s="28">
        <f t="shared" si="42"/>
        <v>43.439999999999429</v>
      </c>
      <c r="S568" s="29">
        <f t="shared" si="43"/>
        <v>6.6375119145251613E-2</v>
      </c>
      <c r="T568" s="29">
        <f t="shared" si="44"/>
        <v>0.18130763676798997</v>
      </c>
      <c r="U568" s="29">
        <f t="shared" si="45"/>
        <v>0.21587620830552728</v>
      </c>
      <c r="V568" s="29">
        <f t="shared" si="46"/>
        <v>2.5270123089724786E-3</v>
      </c>
    </row>
    <row r="569" spans="18:22" x14ac:dyDescent="0.4">
      <c r="R569" s="28">
        <f t="shared" si="42"/>
        <v>43.519999999999428</v>
      </c>
      <c r="S569" s="29">
        <f t="shared" si="43"/>
        <v>6.6375180131665892E-2</v>
      </c>
      <c r="T569" s="29">
        <f t="shared" si="44"/>
        <v>0.18130763700056801</v>
      </c>
      <c r="U569" s="29">
        <f t="shared" si="45"/>
        <v>0.21591493388365715</v>
      </c>
      <c r="V569" s="29">
        <f t="shared" si="46"/>
        <v>2.5274821572497551E-3</v>
      </c>
    </row>
    <row r="570" spans="18:22" x14ac:dyDescent="0.4">
      <c r="R570" s="28">
        <f t="shared" si="42"/>
        <v>43.599999999999426</v>
      </c>
      <c r="S570" s="29">
        <f t="shared" si="43"/>
        <v>6.637524001789577E-2</v>
      </c>
      <c r="T570" s="29">
        <f t="shared" si="44"/>
        <v>0.18130763722895041</v>
      </c>
      <c r="U570" s="29">
        <f t="shared" si="45"/>
        <v>0.21595340013359046</v>
      </c>
      <c r="V570" s="29">
        <f t="shared" si="46"/>
        <v>2.5279488591594137E-3</v>
      </c>
    </row>
    <row r="571" spans="18:22" x14ac:dyDescent="0.4">
      <c r="R571" s="28">
        <f t="shared" si="42"/>
        <v>43.679999999999424</v>
      </c>
      <c r="S571" s="29">
        <f t="shared" si="43"/>
        <v>6.6375298823788384E-2</v>
      </c>
      <c r="T571" s="29">
        <f t="shared" si="44"/>
        <v>0.18130763745321282</v>
      </c>
      <c r="U571" s="29">
        <f t="shared" si="45"/>
        <v>0.21599160879193377</v>
      </c>
      <c r="V571" s="29">
        <f t="shared" si="46"/>
        <v>2.5284124357712896E-3</v>
      </c>
    </row>
    <row r="572" spans="18:22" x14ac:dyDescent="0.4">
      <c r="R572" s="28">
        <f t="shared" si="42"/>
        <v>43.759999999999422</v>
      </c>
      <c r="S572" s="29">
        <f t="shared" si="43"/>
        <v>6.6375356568832825E-2</v>
      </c>
      <c r="T572" s="29">
        <f t="shared" si="44"/>
        <v>0.18130763767342958</v>
      </c>
      <c r="U572" s="29">
        <f t="shared" si="45"/>
        <v>0.21602956158366438</v>
      </c>
      <c r="V572" s="29">
        <f t="shared" si="46"/>
        <v>2.5288729080141237E-3</v>
      </c>
    </row>
    <row r="573" spans="18:22" x14ac:dyDescent="0.4">
      <c r="R573" s="28">
        <f t="shared" si="42"/>
        <v>43.839999999999421</v>
      </c>
      <c r="S573" s="29">
        <f t="shared" si="43"/>
        <v>6.6375413272166617E-2</v>
      </c>
      <c r="T573" s="29">
        <f t="shared" si="44"/>
        <v>0.18130763788967366</v>
      </c>
      <c r="U573" s="29">
        <f t="shared" si="45"/>
        <v>0.21606726022220812</v>
      </c>
      <c r="V573" s="29">
        <f t="shared" si="46"/>
        <v>2.5293302966765061E-3</v>
      </c>
    </row>
    <row r="574" spans="18:22" x14ac:dyDescent="0.4">
      <c r="R574" s="28">
        <f t="shared" si="42"/>
        <v>43.919999999999419</v>
      </c>
      <c r="S574" s="29">
        <f t="shared" si="43"/>
        <v>6.6375468952582034E-2</v>
      </c>
      <c r="T574" s="29">
        <f t="shared" si="44"/>
        <v>0.18130763810201675</v>
      </c>
      <c r="U574" s="29">
        <f t="shared" si="45"/>
        <v>0.2161047064095169</v>
      </c>
      <c r="V574" s="29">
        <f t="shared" si="46"/>
        <v>2.5297846224078147E-3</v>
      </c>
    </row>
    <row r="575" spans="18:22" x14ac:dyDescent="0.4">
      <c r="R575" s="28">
        <f t="shared" si="42"/>
        <v>43.999999999999417</v>
      </c>
      <c r="S575" s="29">
        <f t="shared" si="43"/>
        <v>6.6375523628532357E-2</v>
      </c>
      <c r="T575" s="29">
        <f t="shared" si="44"/>
        <v>0.18130763831052921</v>
      </c>
      <c r="U575" s="29">
        <f t="shared" si="45"/>
        <v>0.21614190183614532</v>
      </c>
      <c r="V575" s="29">
        <f t="shared" si="46"/>
        <v>2.5302359057191477E-3</v>
      </c>
    </row>
    <row r="576" spans="18:22" x14ac:dyDescent="0.4">
      <c r="R576" s="28">
        <f t="shared" si="42"/>
        <v>44.079999999999416</v>
      </c>
      <c r="S576" s="29">
        <f t="shared" si="43"/>
        <v>6.6375577318137965E-2</v>
      </c>
      <c r="T576" s="29">
        <f t="shared" si="44"/>
        <v>0.18130763851528015</v>
      </c>
      <c r="U576" s="29">
        <f t="shared" si="45"/>
        <v>0.21617884818132713</v>
      </c>
      <c r="V576" s="29">
        <f t="shared" si="46"/>
        <v>2.5306841669842503E-3</v>
      </c>
    </row>
    <row r="577" spans="18:22" x14ac:dyDescent="0.4">
      <c r="R577" s="28">
        <f t="shared" si="42"/>
        <v>44.159999999999414</v>
      </c>
      <c r="S577" s="29">
        <f t="shared" si="43"/>
        <v>6.6375630039192335E-2</v>
      </c>
      <c r="T577" s="29">
        <f t="shared" si="44"/>
        <v>0.1813076387163374</v>
      </c>
      <c r="U577" s="29">
        <f t="shared" si="45"/>
        <v>0.21621554711305097</v>
      </c>
      <c r="V577" s="29">
        <f t="shared" si="46"/>
        <v>2.5311294264404333E-3</v>
      </c>
    </row>
    <row r="578" spans="18:22" x14ac:dyDescent="0.4">
      <c r="R578" s="28">
        <f t="shared" si="42"/>
        <v>44.239999999999412</v>
      </c>
      <c r="S578" s="29">
        <f t="shared" si="43"/>
        <v>6.6375681809167975E-2</v>
      </c>
      <c r="T578" s="29">
        <f t="shared" si="44"/>
        <v>0.18130763891376761</v>
      </c>
      <c r="U578" s="29">
        <f t="shared" si="45"/>
        <v>0.21625200028813574</v>
      </c>
      <c r="V578" s="29">
        <f t="shared" si="46"/>
        <v>2.5315717041894882E-3</v>
      </c>
    </row>
    <row r="579" spans="18:22" x14ac:dyDescent="0.4">
      <c r="R579" s="28">
        <f t="shared" si="42"/>
        <v>44.319999999999411</v>
      </c>
      <c r="S579" s="29">
        <f t="shared" si="43"/>
        <v>6.6375732645222174E-2</v>
      </c>
      <c r="T579" s="29">
        <f t="shared" si="44"/>
        <v>0.18130763910763623</v>
      </c>
      <c r="U579" s="29">
        <f t="shared" si="45"/>
        <v>0.21628820935230533</v>
      </c>
      <c r="V579" s="29">
        <f t="shared" si="46"/>
        <v>2.5320110201985926E-3</v>
      </c>
    </row>
    <row r="580" spans="18:22" x14ac:dyDescent="0.4">
      <c r="R580" s="28">
        <f t="shared" si="42"/>
        <v>44.399999999999409</v>
      </c>
      <c r="S580" s="29">
        <f t="shared" si="43"/>
        <v>6.637578256420272E-2</v>
      </c>
      <c r="T580" s="29">
        <f t="shared" si="44"/>
        <v>0.18130763929800747</v>
      </c>
      <c r="U580" s="29">
        <f t="shared" si="45"/>
        <v>0.21632417594026299</v>
      </c>
      <c r="V580" s="29">
        <f t="shared" si="46"/>
        <v>2.5324473943012129E-3</v>
      </c>
    </row>
    <row r="581" spans="18:22" x14ac:dyDescent="0.4">
      <c r="R581" s="28">
        <f t="shared" si="42"/>
        <v>44.479999999999407</v>
      </c>
      <c r="S581" s="29">
        <f t="shared" si="43"/>
        <v>6.6375831582653463E-2</v>
      </c>
      <c r="T581" s="29">
        <f t="shared" si="44"/>
        <v>0.18130763948494444</v>
      </c>
      <c r="U581" s="29">
        <f t="shared" si="45"/>
        <v>0.21635990167576505</v>
      </c>
      <c r="V581" s="29">
        <f t="shared" si="46"/>
        <v>2.5328808461980005E-3</v>
      </c>
    </row>
    <row r="582" spans="18:22" x14ac:dyDescent="0.4">
      <c r="R582" s="28">
        <f t="shared" si="42"/>
        <v>44.559999999999405</v>
      </c>
      <c r="S582" s="29">
        <f t="shared" si="43"/>
        <v>6.6375879716819797E-2</v>
      </c>
      <c r="T582" s="29">
        <f t="shared" si="44"/>
        <v>0.1813076396685091</v>
      </c>
      <c r="U582" s="29">
        <f t="shared" si="45"/>
        <v>0.21639538817169426</v>
      </c>
      <c r="V582" s="29">
        <f t="shared" si="46"/>
        <v>2.5333113954576795E-3</v>
      </c>
    </row>
    <row r="583" spans="18:22" x14ac:dyDescent="0.4">
      <c r="R583" s="28">
        <f t="shared" si="42"/>
        <v>44.639999999999404</v>
      </c>
      <c r="S583" s="29">
        <f t="shared" si="43"/>
        <v>6.6375926982654071E-2</v>
      </c>
      <c r="T583" s="29">
        <f t="shared" si="44"/>
        <v>0.1813076398487623</v>
      </c>
      <c r="U583" s="29">
        <f t="shared" si="45"/>
        <v>0.21643063703013266</v>
      </c>
      <c r="V583" s="29">
        <f t="shared" si="46"/>
        <v>2.5337390615179311E-3</v>
      </c>
    </row>
    <row r="584" spans="18:22" x14ac:dyDescent="0.4">
      <c r="R584" s="28">
        <f t="shared" si="42"/>
        <v>44.719999999999402</v>
      </c>
      <c r="S584" s="29">
        <f t="shared" si="43"/>
        <v>6.6375973395820839E-2</v>
      </c>
      <c r="T584" s="29">
        <f t="shared" si="44"/>
        <v>0.18130764002576377</v>
      </c>
      <c r="U584" s="29">
        <f t="shared" si="45"/>
        <v>0.21646564984243383</v>
      </c>
      <c r="V584" s="29">
        <f t="shared" si="46"/>
        <v>2.5341638636862712E-3</v>
      </c>
    </row>
    <row r="585" spans="18:22" x14ac:dyDescent="0.4">
      <c r="R585" s="28">
        <f t="shared" si="42"/>
        <v>44.7999999999994</v>
      </c>
      <c r="S585" s="29">
        <f t="shared" si="43"/>
        <v>6.6376018971702075E-2</v>
      </c>
      <c r="T585" s="29">
        <f t="shared" si="44"/>
        <v>0.18130764019957216</v>
      </c>
      <c r="U585" s="29">
        <f t="shared" si="45"/>
        <v>0.21650042818929477</v>
      </c>
      <c r="V585" s="29">
        <f t="shared" si="46"/>
        <v>2.534585821140922E-3</v>
      </c>
    </row>
    <row r="586" spans="18:22" x14ac:dyDescent="0.4">
      <c r="R586" s="28">
        <f t="shared" si="42"/>
        <v>44.879999999999399</v>
      </c>
      <c r="S586" s="29">
        <f t="shared" si="43"/>
        <v>6.6376063725402265E-2</v>
      </c>
      <c r="T586" s="29">
        <f t="shared" si="44"/>
        <v>0.18130764037024508</v>
      </c>
      <c r="U586" s="29">
        <f t="shared" si="45"/>
        <v>0.21653497364082724</v>
      </c>
      <c r="V586" s="29">
        <f t="shared" si="46"/>
        <v>2.5350049529316776E-3</v>
      </c>
    </row>
    <row r="587" spans="18:22" x14ac:dyDescent="0.4">
      <c r="R587" s="28">
        <f t="shared" si="42"/>
        <v>44.959999999999397</v>
      </c>
      <c r="S587" s="29">
        <f t="shared" si="43"/>
        <v>6.637610767175342E-2</v>
      </c>
      <c r="T587" s="29">
        <f t="shared" si="44"/>
        <v>0.18130764053783907</v>
      </c>
      <c r="U587" s="29">
        <f t="shared" si="45"/>
        <v>0.2165692877566287</v>
      </c>
      <c r="V587" s="29">
        <f t="shared" si="46"/>
        <v>2.5354212779807638E-3</v>
      </c>
    </row>
    <row r="588" spans="18:22" x14ac:dyDescent="0.4">
      <c r="R588" s="28">
        <f t="shared" si="42"/>
        <v>45.039999999999395</v>
      </c>
      <c r="S588" s="29">
        <f t="shared" si="43"/>
        <v>6.6376150825319974E-2</v>
      </c>
      <c r="T588" s="29">
        <f t="shared" si="44"/>
        <v>0.18130764070240971</v>
      </c>
      <c r="U588" s="29">
        <f t="shared" si="45"/>
        <v>0.21660337208585267</v>
      </c>
      <c r="V588" s="29">
        <f t="shared" si="46"/>
        <v>2.5358348150836931E-3</v>
      </c>
    </row>
    <row r="589" spans="18:22" x14ac:dyDescent="0.4">
      <c r="R589" s="28">
        <f t="shared" si="42"/>
        <v>45.119999999999393</v>
      </c>
      <c r="S589" s="29">
        <f t="shared" si="43"/>
        <v>6.6376193200403624E-2</v>
      </c>
      <c r="T589" s="29">
        <f t="shared" si="44"/>
        <v>0.18130764086401152</v>
      </c>
      <c r="U589" s="29">
        <f t="shared" si="45"/>
        <v>0.21663722816727862</v>
      </c>
      <c r="V589" s="29">
        <f t="shared" si="46"/>
        <v>2.5362455829101124E-3</v>
      </c>
    </row>
    <row r="590" spans="18:22" x14ac:dyDescent="0.4">
      <c r="R590" s="28">
        <f t="shared" si="42"/>
        <v>45.199999999999392</v>
      </c>
      <c r="S590" s="29">
        <f t="shared" si="43"/>
        <v>6.6376234811048068E-2</v>
      </c>
      <c r="T590" s="29">
        <f t="shared" si="44"/>
        <v>0.18130764102269806</v>
      </c>
      <c r="U590" s="29">
        <f t="shared" si="45"/>
        <v>0.21667085752938156</v>
      </c>
      <c r="V590" s="29">
        <f t="shared" si="46"/>
        <v>2.5366536000046469E-3</v>
      </c>
    </row>
    <row r="591" spans="18:22" x14ac:dyDescent="0.4">
      <c r="R591" s="28">
        <f t="shared" si="42"/>
        <v>45.27999999999939</v>
      </c>
      <c r="S591" s="29">
        <f t="shared" si="43"/>
        <v>6.6376275671043664E-2</v>
      </c>
      <c r="T591" s="29">
        <f t="shared" si="44"/>
        <v>0.18130764117852191</v>
      </c>
      <c r="U591" s="29">
        <f t="shared" si="45"/>
        <v>0.21670426169040097</v>
      </c>
      <c r="V591" s="29">
        <f t="shared" si="46"/>
        <v>2.5370588847877362E-3</v>
      </c>
    </row>
    <row r="592" spans="18:22" x14ac:dyDescent="0.4">
      <c r="R592" s="28">
        <f t="shared" si="42"/>
        <v>45.359999999999388</v>
      </c>
      <c r="S592" s="29">
        <f t="shared" si="43"/>
        <v>6.6376315793931981E-2</v>
      </c>
      <c r="T592" s="29">
        <f t="shared" si="44"/>
        <v>0.18130764133153474</v>
      </c>
      <c r="U592" s="29">
        <f t="shared" si="45"/>
        <v>0.21673744215840934</v>
      </c>
      <c r="V592" s="29">
        <f t="shared" si="46"/>
        <v>2.5374614555564662E-3</v>
      </c>
    </row>
    <row r="593" spans="18:22" x14ac:dyDescent="0.4">
      <c r="R593" s="28">
        <f t="shared" si="42"/>
        <v>45.439999999999387</v>
      </c>
      <c r="S593" s="29">
        <f t="shared" si="43"/>
        <v>6.63763551930103E-2</v>
      </c>
      <c r="T593" s="29">
        <f t="shared" si="44"/>
        <v>0.18130764148178724</v>
      </c>
      <c r="U593" s="29">
        <f t="shared" si="45"/>
        <v>0.21677040043138027</v>
      </c>
      <c r="V593" s="29">
        <f t="shared" si="46"/>
        <v>2.5378613304853958E-3</v>
      </c>
    </row>
    <row r="594" spans="18:22" x14ac:dyDescent="0.4">
      <c r="R594" s="28">
        <f t="shared" si="42"/>
        <v>45.519999999999385</v>
      </c>
      <c r="S594" s="29">
        <f t="shared" si="43"/>
        <v>6.6376393881336038E-2</v>
      </c>
      <c r="T594" s="29">
        <f t="shared" si="44"/>
        <v>0.18130764162932922</v>
      </c>
      <c r="U594" s="29">
        <f t="shared" si="45"/>
        <v>0.21680313799725609</v>
      </c>
      <c r="V594" s="29">
        <f t="shared" si="46"/>
        <v>2.5382585276273774E-3</v>
      </c>
    </row>
    <row r="595" spans="18:22" x14ac:dyDescent="0.4">
      <c r="R595" s="28">
        <f t="shared" si="42"/>
        <v>45.599999999999383</v>
      </c>
      <c r="S595" s="29">
        <f t="shared" si="43"/>
        <v>6.6376431871731048E-2</v>
      </c>
      <c r="T595" s="29">
        <f t="shared" si="44"/>
        <v>0.18130764177420955</v>
      </c>
      <c r="U595" s="29">
        <f t="shared" si="45"/>
        <v>0.21683565633401508</v>
      </c>
      <c r="V595" s="29">
        <f t="shared" si="46"/>
        <v>2.5386530649143704E-3</v>
      </c>
    </row>
    <row r="596" spans="18:22" x14ac:dyDescent="0.4">
      <c r="R596" s="28">
        <f t="shared" si="42"/>
        <v>45.679999999999382</v>
      </c>
      <c r="S596" s="29">
        <f t="shared" si="43"/>
        <v>6.6376469176785885E-2</v>
      </c>
      <c r="T596" s="29">
        <f t="shared" si="44"/>
        <v>0.18130764191647628</v>
      </c>
      <c r="U596" s="29">
        <f t="shared" si="45"/>
        <v>0.21686795690973815</v>
      </c>
      <c r="V596" s="29">
        <f t="shared" si="46"/>
        <v>2.5390449601582527E-3</v>
      </c>
    </row>
    <row r="597" spans="18:22" x14ac:dyDescent="0.4">
      <c r="R597" s="28">
        <f t="shared" si="42"/>
        <v>45.75999999999938</v>
      </c>
      <c r="S597" s="29">
        <f t="shared" si="43"/>
        <v>6.6376505808863964E-2</v>
      </c>
      <c r="T597" s="29">
        <f t="shared" si="44"/>
        <v>0.18130764205617653</v>
      </c>
      <c r="U597" s="29">
        <f t="shared" si="45"/>
        <v>0.21690004118267506</v>
      </c>
      <c r="V597" s="29">
        <f t="shared" si="46"/>
        <v>2.5394342310516237E-3</v>
      </c>
    </row>
    <row r="598" spans="18:22" x14ac:dyDescent="0.4">
      <c r="R598" s="28">
        <f t="shared" si="42"/>
        <v>45.839999999999378</v>
      </c>
      <c r="S598" s="29">
        <f t="shared" si="43"/>
        <v>6.6376541780105658E-2</v>
      </c>
      <c r="T598" s="29">
        <f t="shared" si="44"/>
        <v>0.18130764219335663</v>
      </c>
      <c r="U598" s="29">
        <f t="shared" si="45"/>
        <v>0.2169319106013104</v>
      </c>
      <c r="V598" s="29">
        <f t="shared" si="46"/>
        <v>2.5398208951686032E-3</v>
      </c>
    </row>
    <row r="599" spans="18:22" x14ac:dyDescent="0.4">
      <c r="R599" s="28">
        <f t="shared" si="42"/>
        <v>45.919999999999376</v>
      </c>
      <c r="S599" s="29">
        <f t="shared" si="43"/>
        <v>6.637657710243236E-2</v>
      </c>
      <c r="T599" s="29">
        <f t="shared" si="44"/>
        <v>0.18130764232806201</v>
      </c>
      <c r="U599" s="29">
        <f t="shared" si="45"/>
        <v>0.21696356660442886</v>
      </c>
      <c r="V599" s="29">
        <f t="shared" si="46"/>
        <v>2.5402049699656251E-3</v>
      </c>
    </row>
    <row r="600" spans="18:22" x14ac:dyDescent="0.4">
      <c r="R600" s="28">
        <f t="shared" si="42"/>
        <v>45.999999999999375</v>
      </c>
      <c r="S600" s="29">
        <f t="shared" si="43"/>
        <v>6.6376611787550374E-2</v>
      </c>
      <c r="T600" s="29">
        <f t="shared" si="44"/>
        <v>0.18130764246033734</v>
      </c>
      <c r="U600" s="29">
        <f t="shared" si="45"/>
        <v>0.21699501062118021</v>
      </c>
      <c r="V600" s="29">
        <f t="shared" si="46"/>
        <v>2.5405864727822249E-3</v>
      </c>
    </row>
    <row r="601" spans="18:22" x14ac:dyDescent="0.4">
      <c r="R601" s="28">
        <f t="shared" si="42"/>
        <v>46.079999999999373</v>
      </c>
      <c r="S601" s="29">
        <f t="shared" si="43"/>
        <v>6.6376645846954838E-2</v>
      </c>
      <c r="T601" s="29">
        <f t="shared" si="44"/>
        <v>0.18130764259022644</v>
      </c>
      <c r="U601" s="29">
        <f t="shared" si="45"/>
        <v>0.2170262440711439</v>
      </c>
      <c r="V601" s="29">
        <f t="shared" si="46"/>
        <v>2.5409654208418237E-3</v>
      </c>
    </row>
    <row r="602" spans="18:22" x14ac:dyDescent="0.4">
      <c r="R602" s="28">
        <f t="shared" ref="R602:R665" si="47">R601+$S$22</f>
        <v>46.159999999999371</v>
      </c>
      <c r="S602" s="29">
        <f t="shared" ref="S602:S665" si="48">IF(S$13,S601*S$18+(S$14+S$15*IF(S$17,$D$71,0))*S$19,NA())</f>
        <v>6.6376679291933513E-2</v>
      </c>
      <c r="T602" s="29">
        <f t="shared" ref="T602:T665" si="49">IF(T$13,T601*T$18+(T$14+T$15*IF(T$17,$D$71,(S601+S602)/2))*T$19,NA())</f>
        <v>0.18130764271777236</v>
      </c>
      <c r="U602" s="29">
        <f t="shared" ref="U602:U665" si="50">IF(U$13,U601*U$18+(U$14+U$15*IF(U$17,$D$71,(T601+T602)/2))*U$19,NA())</f>
        <v>0.21705726836439304</v>
      </c>
      <c r="V602" s="29">
        <f t="shared" ref="V602:V665" si="51">IF(V$13,V601*V$18+(V$14+V$15*IF(V$17,$D$71,(U601+U602)/2))*V$19,NA())</f>
        <v>2.5413418312525042E-3</v>
      </c>
    </row>
    <row r="603" spans="18:22" x14ac:dyDescent="0.4">
      <c r="R603" s="28">
        <f t="shared" si="47"/>
        <v>46.23999999999937</v>
      </c>
      <c r="S603" s="29">
        <f t="shared" si="48"/>
        <v>6.6376712133570534E-2</v>
      </c>
      <c r="T603" s="29">
        <f t="shared" si="49"/>
        <v>0.18130764284301737</v>
      </c>
      <c r="U603" s="29">
        <f t="shared" si="50"/>
        <v>0.21708808490155809</v>
      </c>
      <c r="V603" s="29">
        <f t="shared" si="51"/>
        <v>2.5417157210077847E-3</v>
      </c>
    </row>
    <row r="604" spans="18:22" x14ac:dyDescent="0.4">
      <c r="R604" s="28">
        <f t="shared" si="47"/>
        <v>46.319999999999368</v>
      </c>
      <c r="S604" s="29">
        <f t="shared" si="48"/>
        <v>6.6376744382750083E-2</v>
      </c>
      <c r="T604" s="29">
        <f t="shared" si="49"/>
        <v>0.18130764296600299</v>
      </c>
      <c r="U604" s="29">
        <f t="shared" si="50"/>
        <v>0.21711869507389014</v>
      </c>
      <c r="V604" s="29">
        <f t="shared" si="51"/>
        <v>2.5420871069873848E-3</v>
      </c>
    </row>
    <row r="605" spans="18:22" x14ac:dyDescent="0.4">
      <c r="R605" s="28">
        <f t="shared" si="47"/>
        <v>46.399999999999366</v>
      </c>
      <c r="S605" s="29">
        <f t="shared" si="48"/>
        <v>6.637677605016E-2</v>
      </c>
      <c r="T605" s="29">
        <f t="shared" si="49"/>
        <v>0.18130764308676994</v>
      </c>
      <c r="U605" s="29">
        <f t="shared" si="50"/>
        <v>0.21714910026332374</v>
      </c>
      <c r="V605" s="29">
        <f t="shared" si="51"/>
        <v>2.5424560059579882E-3</v>
      </c>
    </row>
    <row r="606" spans="18:22" x14ac:dyDescent="0.4">
      <c r="R606" s="28">
        <f t="shared" si="47"/>
        <v>46.479999999999364</v>
      </c>
      <c r="S606" s="29">
        <f t="shared" si="48"/>
        <v>6.6376807146295291E-2</v>
      </c>
      <c r="T606" s="29">
        <f t="shared" si="49"/>
        <v>0.1813076432053583</v>
      </c>
      <c r="U606" s="29">
        <f t="shared" si="50"/>
        <v>0.21717930184253911</v>
      </c>
      <c r="V606" s="29">
        <f t="shared" si="51"/>
        <v>2.5428224345739998E-3</v>
      </c>
    </row>
    <row r="607" spans="18:22" x14ac:dyDescent="0.4">
      <c r="R607" s="28">
        <f t="shared" si="47"/>
        <v>46.559999999999363</v>
      </c>
      <c r="S607" s="29">
        <f t="shared" si="48"/>
        <v>6.6376837681461659E-2</v>
      </c>
      <c r="T607" s="29">
        <f t="shared" si="49"/>
        <v>0.18130764332180732</v>
      </c>
      <c r="U607" s="29">
        <f t="shared" si="50"/>
        <v>0.21720930117502435</v>
      </c>
      <c r="V607" s="29">
        <f t="shared" si="51"/>
        <v>2.5431864093782967E-3</v>
      </c>
    </row>
    <row r="608" spans="18:22" x14ac:dyDescent="0.4">
      <c r="R608" s="28">
        <f t="shared" si="47"/>
        <v>46.639999999999361</v>
      </c>
      <c r="S608" s="29">
        <f t="shared" si="48"/>
        <v>6.6376867665778896E-2</v>
      </c>
      <c r="T608" s="29">
        <f t="shared" si="49"/>
        <v>0.18130764343615563</v>
      </c>
      <c r="U608" s="29">
        <f t="shared" si="50"/>
        <v>0.21723909961513682</v>
      </c>
      <c r="V608" s="29">
        <f t="shared" si="51"/>
        <v>2.5435479468029769E-3</v>
      </c>
    </row>
    <row r="609" spans="18:22" x14ac:dyDescent="0.4">
      <c r="R609" s="28">
        <f t="shared" si="47"/>
        <v>46.719999999999359</v>
      </c>
      <c r="S609" s="29">
        <f t="shared" si="48"/>
        <v>6.6376897109184207E-2</v>
      </c>
      <c r="T609" s="29">
        <f t="shared" si="49"/>
        <v>0.18130764354844114</v>
      </c>
      <c r="U609" s="29">
        <f t="shared" si="50"/>
        <v>0.21726869850816441</v>
      </c>
      <c r="V609" s="29">
        <f t="shared" si="51"/>
        <v>2.5439070631700991E-3</v>
      </c>
    </row>
    <row r="610" spans="18:22" x14ac:dyDescent="0.4">
      <c r="R610" s="28">
        <f t="shared" si="47"/>
        <v>46.799999999999358</v>
      </c>
      <c r="S610" s="29">
        <f t="shared" si="48"/>
        <v>6.6376926021435564E-2</v>
      </c>
      <c r="T610" s="29">
        <f t="shared" si="49"/>
        <v>0.18130764365870103</v>
      </c>
      <c r="U610" s="29">
        <f t="shared" si="50"/>
        <v>0.21729809919038617</v>
      </c>
      <c r="V610" s="29">
        <f t="shared" si="51"/>
        <v>2.5442637746924206E-3</v>
      </c>
    </row>
    <row r="611" spans="18:22" x14ac:dyDescent="0.4">
      <c r="R611" s="28">
        <f t="shared" si="47"/>
        <v>46.879999999999356</v>
      </c>
      <c r="S611" s="29">
        <f t="shared" si="48"/>
        <v>6.63769544121149E-2</v>
      </c>
      <c r="T611" s="29">
        <f t="shared" si="49"/>
        <v>0.18130764376697184</v>
      </c>
      <c r="U611" s="29">
        <f t="shared" si="50"/>
        <v>0.21732730298913266</v>
      </c>
      <c r="V611" s="29">
        <f t="shared" si="51"/>
        <v>2.5446180974741288E-3</v>
      </c>
    </row>
    <row r="612" spans="18:22" x14ac:dyDescent="0.4">
      <c r="R612" s="28">
        <f t="shared" si="47"/>
        <v>46.959999999999354</v>
      </c>
      <c r="S612" s="29">
        <f t="shared" si="48"/>
        <v>6.637698229063127E-2</v>
      </c>
      <c r="T612" s="29">
        <f t="shared" si="49"/>
        <v>0.18130764387328946</v>
      </c>
      <c r="U612" s="29">
        <f t="shared" si="50"/>
        <v>0.21735631122284596</v>
      </c>
      <c r="V612" s="29">
        <f t="shared" si="51"/>
        <v>2.544970047511569E-3</v>
      </c>
    </row>
    <row r="613" spans="18:22" x14ac:dyDescent="0.4">
      <c r="R613" s="28">
        <f t="shared" si="47"/>
        <v>47.039999999999353</v>
      </c>
      <c r="S613" s="29">
        <f t="shared" si="48"/>
        <v>6.6377009666224007E-2</v>
      </c>
      <c r="T613" s="29">
        <f t="shared" si="49"/>
        <v>0.18130764397768914</v>
      </c>
      <c r="U613" s="29">
        <f t="shared" si="50"/>
        <v>0.21738512520113909</v>
      </c>
      <c r="V613" s="29">
        <f t="shared" si="51"/>
        <v>2.5453196406939661E-3</v>
      </c>
    </row>
    <row r="614" spans="18:22" x14ac:dyDescent="0.4">
      <c r="R614" s="28">
        <f t="shared" si="47"/>
        <v>47.119999999999351</v>
      </c>
      <c r="S614" s="29">
        <f t="shared" si="48"/>
        <v>6.637703654796577E-2</v>
      </c>
      <c r="T614" s="29">
        <f t="shared" si="49"/>
        <v>0.18130764408020547</v>
      </c>
      <c r="U614" s="29">
        <f t="shared" si="50"/>
        <v>0.21741374622485515</v>
      </c>
      <c r="V614" s="29">
        <f t="shared" si="51"/>
        <v>2.5456668928041408E-3</v>
      </c>
    </row>
    <row r="615" spans="18:22" x14ac:dyDescent="0.4">
      <c r="R615" s="28">
        <f t="shared" si="47"/>
        <v>47.199999999999349</v>
      </c>
      <c r="S615" s="29">
        <f t="shared" si="48"/>
        <v>6.6377062944765544E-2</v>
      </c>
      <c r="T615" s="29">
        <f t="shared" si="49"/>
        <v>0.18130764418087242</v>
      </c>
      <c r="U615" s="29">
        <f t="shared" si="50"/>
        <v>0.21744217558612614</v>
      </c>
      <c r="V615" s="29">
        <f t="shared" si="51"/>
        <v>2.5460118195192246E-3</v>
      </c>
    </row>
    <row r="616" spans="18:22" x14ac:dyDescent="0.4">
      <c r="R616" s="28">
        <f t="shared" si="47"/>
        <v>47.279999999999347</v>
      </c>
      <c r="S616" s="29">
        <f t="shared" si="48"/>
        <v>6.6377088865371595E-2</v>
      </c>
      <c r="T616" s="29">
        <f t="shared" si="49"/>
        <v>0.18130764427972335</v>
      </c>
      <c r="U616" s="29">
        <f t="shared" si="50"/>
        <v>0.21747041456843111</v>
      </c>
      <c r="V616" s="29">
        <f t="shared" si="51"/>
        <v>2.5463544364113652E-3</v>
      </c>
    </row>
    <row r="617" spans="18:22" x14ac:dyDescent="0.4">
      <c r="R617" s="28">
        <f t="shared" si="47"/>
        <v>47.359999999999346</v>
      </c>
      <c r="S617" s="29">
        <f t="shared" si="48"/>
        <v>6.6377114318374383E-2</v>
      </c>
      <c r="T617" s="29">
        <f t="shared" si="49"/>
        <v>0.18130764437679103</v>
      </c>
      <c r="U617" s="29">
        <f t="shared" si="50"/>
        <v>0.21749846444665433</v>
      </c>
      <c r="V617" s="29">
        <f t="shared" si="51"/>
        <v>2.5466947589484314E-3</v>
      </c>
    </row>
    <row r="618" spans="18:22" x14ac:dyDescent="0.4">
      <c r="R618" s="28">
        <f t="shared" si="47"/>
        <v>47.439999999999344</v>
      </c>
      <c r="S618" s="29">
        <f t="shared" si="48"/>
        <v>6.6377139312209385E-2</v>
      </c>
      <c r="T618" s="29">
        <f t="shared" si="49"/>
        <v>0.18130764447210762</v>
      </c>
      <c r="U618" s="29">
        <f t="shared" si="50"/>
        <v>0.21752632648714271</v>
      </c>
      <c r="V618" s="29">
        <f t="shared" si="51"/>
        <v>2.5470328024947099E-3</v>
      </c>
    </row>
    <row r="619" spans="18:22" x14ac:dyDescent="0.4">
      <c r="R619" s="28">
        <f t="shared" si="47"/>
        <v>47.519999999999342</v>
      </c>
      <c r="S619" s="29">
        <f t="shared" si="48"/>
        <v>6.6377163855159918E-2</v>
      </c>
      <c r="T619" s="29">
        <f t="shared" si="49"/>
        <v>0.18130764456570472</v>
      </c>
      <c r="U619" s="29">
        <f t="shared" si="50"/>
        <v>0.21755400194776295</v>
      </c>
      <c r="V619" s="29">
        <f t="shared" si="51"/>
        <v>2.5473685823115999E-3</v>
      </c>
    </row>
    <row r="620" spans="18:22" x14ac:dyDescent="0.4">
      <c r="R620" s="28">
        <f t="shared" si="47"/>
        <v>47.599999999999341</v>
      </c>
      <c r="S620" s="29">
        <f t="shared" si="48"/>
        <v>6.6377187955359851E-2</v>
      </c>
      <c r="T620" s="29">
        <f t="shared" si="49"/>
        <v>0.18130764465761334</v>
      </c>
      <c r="U620" s="29">
        <f t="shared" si="50"/>
        <v>0.2175814920779584</v>
      </c>
      <c r="V620" s="29">
        <f t="shared" si="51"/>
        <v>2.5477021135583014E-3</v>
      </c>
    </row>
    <row r="621" spans="18:22" x14ac:dyDescent="0.4">
      <c r="R621" s="28">
        <f t="shared" si="47"/>
        <v>47.679999999999339</v>
      </c>
      <c r="S621" s="29">
        <f t="shared" si="48"/>
        <v>6.6377211620796336E-2</v>
      </c>
      <c r="T621" s="29">
        <f t="shared" si="49"/>
        <v>0.18130764474786396</v>
      </c>
      <c r="U621" s="29">
        <f t="shared" si="50"/>
        <v>0.21760879811880549</v>
      </c>
      <c r="V621" s="29">
        <f t="shared" si="51"/>
        <v>2.5480334112925008E-3</v>
      </c>
    </row>
    <row r="622" spans="18:22" x14ac:dyDescent="0.4">
      <c r="R622" s="28">
        <f t="shared" si="47"/>
        <v>47.759999999999337</v>
      </c>
      <c r="S622" s="29">
        <f t="shared" si="48"/>
        <v>6.637723485931242E-2</v>
      </c>
      <c r="T622" s="29">
        <f t="shared" si="49"/>
        <v>0.18130764483648645</v>
      </c>
      <c r="U622" s="29">
        <f t="shared" si="50"/>
        <v>0.21763592130306958</v>
      </c>
      <c r="V622" s="29">
        <f t="shared" si="51"/>
        <v>2.5483624904710485E-3</v>
      </c>
    </row>
    <row r="623" spans="18:22" x14ac:dyDescent="0.4">
      <c r="R623" s="28">
        <f t="shared" si="47"/>
        <v>47.839999999999336</v>
      </c>
      <c r="S623" s="29">
        <f t="shared" si="48"/>
        <v>6.6377257678609677E-2</v>
      </c>
      <c r="T623" s="29">
        <f t="shared" si="49"/>
        <v>0.18130764492351023</v>
      </c>
      <c r="U623" s="29">
        <f t="shared" si="50"/>
        <v>0.2176628628552609</v>
      </c>
      <c r="V623" s="29">
        <f t="shared" si="51"/>
        <v>2.5486893659506368E-3</v>
      </c>
    </row>
    <row r="624" spans="18:22" x14ac:dyDescent="0.4">
      <c r="R624" s="28">
        <f t="shared" si="47"/>
        <v>47.919999999999334</v>
      </c>
      <c r="S624" s="29">
        <f t="shared" si="48"/>
        <v>6.6377280086250739E-2</v>
      </c>
      <c r="T624" s="29">
        <f t="shared" si="49"/>
        <v>0.18130764500896412</v>
      </c>
      <c r="U624" s="29">
        <f t="shared" si="50"/>
        <v>0.21768962399168959</v>
      </c>
      <c r="V624" s="29">
        <f t="shared" si="51"/>
        <v>2.5490140524884689E-3</v>
      </c>
    </row>
    <row r="625" spans="18:22" x14ac:dyDescent="0.4">
      <c r="R625" s="28">
        <f t="shared" si="47"/>
        <v>47.999999999999332</v>
      </c>
      <c r="S625" s="29">
        <f t="shared" si="48"/>
        <v>6.6377302089661819E-2</v>
      </c>
      <c r="T625" s="29">
        <f t="shared" si="49"/>
        <v>0.18130764509287642</v>
      </c>
      <c r="U625" s="29">
        <f t="shared" si="50"/>
        <v>0.21771620592052071</v>
      </c>
      <c r="V625" s="29">
        <f t="shared" si="51"/>
        <v>2.5493365647429253E-3</v>
      </c>
    </row>
    <row r="626" spans="18:22" x14ac:dyDescent="0.4">
      <c r="R626" s="28">
        <f t="shared" si="47"/>
        <v>48.07999999999933</v>
      </c>
      <c r="S626" s="29">
        <f t="shared" si="48"/>
        <v>6.6377323696135165E-2</v>
      </c>
      <c r="T626" s="29">
        <f t="shared" si="49"/>
        <v>0.18130764517527498</v>
      </c>
      <c r="U626" s="29">
        <f t="shared" si="50"/>
        <v>0.21774260984182878</v>
      </c>
      <c r="V626" s="29">
        <f t="shared" si="51"/>
        <v>2.5496569172742253E-3</v>
      </c>
    </row>
    <row r="627" spans="18:22" x14ac:dyDescent="0.4">
      <c r="R627" s="28">
        <f t="shared" si="47"/>
        <v>48.159999999999329</v>
      </c>
      <c r="S627" s="29">
        <f t="shared" si="48"/>
        <v>6.6377344912831454E-2</v>
      </c>
      <c r="T627" s="29">
        <f t="shared" si="49"/>
        <v>0.18130764525618706</v>
      </c>
      <c r="U627" s="29">
        <f t="shared" si="50"/>
        <v>0.21776883694765195</v>
      </c>
      <c r="V627" s="29">
        <f t="shared" si="51"/>
        <v>2.5499751245450859E-3</v>
      </c>
    </row>
    <row r="628" spans="18:22" x14ac:dyDescent="0.4">
      <c r="R628" s="28">
        <f t="shared" si="47"/>
        <v>48.239999999999327</v>
      </c>
      <c r="S628" s="29">
        <f t="shared" si="48"/>
        <v>6.6377365746782199E-2</v>
      </c>
      <c r="T628" s="29">
        <f t="shared" si="49"/>
        <v>0.18130764533563951</v>
      </c>
      <c r="U628" s="29">
        <f t="shared" si="50"/>
        <v>0.21779488842204583</v>
      </c>
      <c r="V628" s="29">
        <f t="shared" si="51"/>
        <v>2.5502912009213734E-3</v>
      </c>
    </row>
    <row r="629" spans="18:22" x14ac:dyDescent="0.4">
      <c r="R629" s="28">
        <f t="shared" si="47"/>
        <v>48.319999999999325</v>
      </c>
      <c r="S629" s="29">
        <f t="shared" si="48"/>
        <v>6.6377386204892058E-2</v>
      </c>
      <c r="T629" s="29">
        <f t="shared" si="49"/>
        <v>0.18130764541365865</v>
      </c>
      <c r="U629" s="29">
        <f t="shared" si="50"/>
        <v>0.2178207654411369</v>
      </c>
      <c r="V629" s="29">
        <f t="shared" si="51"/>
        <v>2.5506051606727525E-3</v>
      </c>
    </row>
    <row r="630" spans="18:22" x14ac:dyDescent="0.4">
      <c r="R630" s="28">
        <f t="shared" si="47"/>
        <v>48.399999999999324</v>
      </c>
      <c r="S630" s="29">
        <f t="shared" si="48"/>
        <v>6.6377406293941149E-2</v>
      </c>
      <c r="T630" s="29">
        <f t="shared" si="49"/>
        <v>0.18130764549027034</v>
      </c>
      <c r="U630" s="29">
        <f t="shared" si="50"/>
        <v>0.21784646917317568</v>
      </c>
      <c r="V630" s="29">
        <f t="shared" si="51"/>
        <v>2.5509170179733292E-3</v>
      </c>
    </row>
    <row r="631" spans="18:22" x14ac:dyDescent="0.4">
      <c r="R631" s="28">
        <f t="shared" si="47"/>
        <v>48.479999999999322</v>
      </c>
      <c r="S631" s="29">
        <f t="shared" si="48"/>
        <v>6.6377426020587257E-2</v>
      </c>
      <c r="T631" s="29">
        <f t="shared" si="49"/>
        <v>0.18130764556549994</v>
      </c>
      <c r="U631" s="29">
        <f t="shared" si="50"/>
        <v>0.2178720007785894</v>
      </c>
      <c r="V631" s="29">
        <f t="shared" si="51"/>
        <v>2.5512267869022926E-3</v>
      </c>
    </row>
    <row r="632" spans="18:22" x14ac:dyDescent="0.4">
      <c r="R632" s="28">
        <f t="shared" si="47"/>
        <v>48.55999999999932</v>
      </c>
      <c r="S632" s="29">
        <f t="shared" si="48"/>
        <v>6.637744539136807E-2</v>
      </c>
      <c r="T632" s="29">
        <f t="shared" si="49"/>
        <v>0.18130764563937246</v>
      </c>
      <c r="U632" s="29">
        <f t="shared" si="50"/>
        <v>0.21789736141003446</v>
      </c>
      <c r="V632" s="29">
        <f t="shared" si="51"/>
        <v>2.5515344814445499E-3</v>
      </c>
    </row>
    <row r="633" spans="18:22" x14ac:dyDescent="0.4">
      <c r="R633" s="28">
        <f t="shared" si="47"/>
        <v>48.639999999999318</v>
      </c>
      <c r="S633" s="29">
        <f t="shared" si="48"/>
        <v>6.6377464412703327E-2</v>
      </c>
      <c r="T633" s="29">
        <f t="shared" si="49"/>
        <v>0.1813076457119123</v>
      </c>
      <c r="U633" s="29">
        <f t="shared" si="50"/>
        <v>0.21792255221244841</v>
      </c>
      <c r="V633" s="29">
        <f t="shared" si="51"/>
        <v>2.551840115491357E-3</v>
      </c>
    </row>
    <row r="634" spans="18:22" x14ac:dyDescent="0.4">
      <c r="R634" s="28">
        <f t="shared" si="47"/>
        <v>48.719999999999317</v>
      </c>
      <c r="S634" s="29">
        <f t="shared" si="48"/>
        <v>6.6377483090896972E-2</v>
      </c>
      <c r="T634" s="29">
        <f t="shared" si="49"/>
        <v>0.18130764578314354</v>
      </c>
      <c r="U634" s="29">
        <f t="shared" si="50"/>
        <v>0.21794757432310161</v>
      </c>
      <c r="V634" s="29">
        <f t="shared" si="51"/>
        <v>2.5521437028409467E-3</v>
      </c>
    </row>
    <row r="635" spans="18:22" x14ac:dyDescent="0.4">
      <c r="R635" s="28">
        <f t="shared" si="47"/>
        <v>48.799999999999315</v>
      </c>
      <c r="S635" s="29">
        <f t="shared" si="48"/>
        <v>6.6377501432139233E-2</v>
      </c>
      <c r="T635" s="29">
        <f t="shared" si="49"/>
        <v>0.18130764585308978</v>
      </c>
      <c r="U635" s="29">
        <f t="shared" si="50"/>
        <v>0.21797242887164869</v>
      </c>
      <c r="V635" s="29">
        <f t="shared" si="51"/>
        <v>2.5524452571991504E-3</v>
      </c>
    </row>
    <row r="636" spans="18:22" x14ac:dyDescent="0.4">
      <c r="R636" s="28">
        <f t="shared" si="47"/>
        <v>48.879999999999313</v>
      </c>
      <c r="S636" s="29">
        <f t="shared" si="48"/>
        <v>6.6377519442508637E-2</v>
      </c>
      <c r="T636" s="29">
        <f t="shared" si="49"/>
        <v>0.1813076459217742</v>
      </c>
      <c r="U636" s="29">
        <f t="shared" si="50"/>
        <v>0.21799711698017951</v>
      </c>
      <c r="V636" s="29">
        <f t="shared" si="51"/>
        <v>2.5527447921800187E-3</v>
      </c>
    </row>
    <row r="637" spans="18:22" x14ac:dyDescent="0.4">
      <c r="R637" s="28">
        <f t="shared" si="47"/>
        <v>48.959999999999312</v>
      </c>
      <c r="S637" s="29">
        <f t="shared" si="48"/>
        <v>6.6377537127974076E-2</v>
      </c>
      <c r="T637" s="29">
        <f t="shared" si="49"/>
        <v>0.18130764598921956</v>
      </c>
      <c r="U637" s="29">
        <f t="shared" si="50"/>
        <v>0.21802163976326971</v>
      </c>
      <c r="V637" s="29">
        <f t="shared" si="51"/>
        <v>2.5530423213064339E-3</v>
      </c>
    </row>
    <row r="638" spans="18:22" x14ac:dyDescent="0.4">
      <c r="R638" s="28">
        <f t="shared" si="47"/>
        <v>49.03999999999931</v>
      </c>
      <c r="S638" s="29">
        <f t="shared" si="48"/>
        <v>6.6377554494396779E-2</v>
      </c>
      <c r="T638" s="29">
        <f t="shared" si="49"/>
        <v>0.18130764605544825</v>
      </c>
      <c r="U638" s="29">
        <f t="shared" si="50"/>
        <v>0.21804599832803112</v>
      </c>
      <c r="V638" s="29">
        <f t="shared" si="51"/>
        <v>2.5533378580107221E-3</v>
      </c>
    </row>
    <row r="639" spans="18:22" x14ac:dyDescent="0.4">
      <c r="R639" s="28">
        <f t="shared" si="47"/>
        <v>49.119999999999308</v>
      </c>
      <c r="S639" s="29">
        <f t="shared" si="48"/>
        <v>6.637757154753221E-2</v>
      </c>
      <c r="T639" s="29">
        <f t="shared" si="49"/>
        <v>0.18130764612048214</v>
      </c>
      <c r="U639" s="29">
        <f t="shared" si="50"/>
        <v>0.21807019377416179</v>
      </c>
      <c r="V639" s="29">
        <f t="shared" si="51"/>
        <v>2.5536314156352586E-3</v>
      </c>
    </row>
    <row r="640" spans="18:22" x14ac:dyDescent="0.4">
      <c r="R640" s="28">
        <f t="shared" si="47"/>
        <v>49.199999999999307</v>
      </c>
      <c r="S640" s="29">
        <f t="shared" si="48"/>
        <v>6.6377588293032017E-2</v>
      </c>
      <c r="T640" s="29">
        <f t="shared" si="49"/>
        <v>0.18130764618434286</v>
      </c>
      <c r="U640" s="29">
        <f t="shared" si="50"/>
        <v>0.21809422719399549</v>
      </c>
      <c r="V640" s="29">
        <f t="shared" si="51"/>
        <v>2.5539230074330711E-3</v>
      </c>
    </row>
    <row r="641" spans="18:22" x14ac:dyDescent="0.4">
      <c r="R641" s="28">
        <f t="shared" si="47"/>
        <v>49.279999999999305</v>
      </c>
      <c r="S641" s="29">
        <f t="shared" si="48"/>
        <v>6.6377604736445883E-2</v>
      </c>
      <c r="T641" s="29">
        <f t="shared" si="49"/>
        <v>0.18130764624705153</v>
      </c>
      <c r="U641" s="29">
        <f t="shared" si="50"/>
        <v>0.21811809967255119</v>
      </c>
      <c r="V641" s="29">
        <f t="shared" si="51"/>
        <v>2.5542126465684374E-3</v>
      </c>
    </row>
    <row r="642" spans="18:22" x14ac:dyDescent="0.4">
      <c r="R642" s="28">
        <f t="shared" si="47"/>
        <v>49.359999999999303</v>
      </c>
      <c r="S642" s="29">
        <f t="shared" si="48"/>
        <v>6.6377620883223395E-2</v>
      </c>
      <c r="T642" s="29">
        <f t="shared" si="49"/>
        <v>0.18130764630862894</v>
      </c>
      <c r="U642" s="29">
        <f t="shared" si="50"/>
        <v>0.21814181228758195</v>
      </c>
      <c r="V642" s="29">
        <f t="shared" si="51"/>
        <v>2.5545003461174805E-3</v>
      </c>
    </row>
    <row r="643" spans="18:22" x14ac:dyDescent="0.4">
      <c r="R643" s="28">
        <f t="shared" si="47"/>
        <v>49.439999999999301</v>
      </c>
      <c r="S643" s="29">
        <f t="shared" si="48"/>
        <v>6.6377636738715828E-2</v>
      </c>
      <c r="T643" s="29">
        <f t="shared" si="49"/>
        <v>0.18130764636909552</v>
      </c>
      <c r="U643" s="29">
        <f t="shared" si="50"/>
        <v>0.21816536610962359</v>
      </c>
      <c r="V643" s="29">
        <f t="shared" si="51"/>
        <v>2.5547861190687582E-3</v>
      </c>
    </row>
    <row r="644" spans="18:22" x14ac:dyDescent="0.4">
      <c r="R644" s="28">
        <f t="shared" si="47"/>
        <v>49.5199999999993</v>
      </c>
      <c r="S644" s="29">
        <f t="shared" si="48"/>
        <v>6.6377652308177909E-2</v>
      </c>
      <c r="T644" s="29">
        <f t="shared" si="49"/>
        <v>0.1813076464284713</v>
      </c>
      <c r="U644" s="29">
        <f t="shared" si="50"/>
        <v>0.218188762202043</v>
      </c>
      <c r="V644" s="29">
        <f t="shared" si="51"/>
        <v>2.5550699783238487E-3</v>
      </c>
    </row>
    <row r="645" spans="18:22" x14ac:dyDescent="0.4">
      <c r="R645" s="28">
        <f t="shared" si="47"/>
        <v>49.599999999999298</v>
      </c>
      <c r="S645" s="29">
        <f t="shared" si="48"/>
        <v>6.637766759676958E-2</v>
      </c>
      <c r="T645" s="29">
        <f t="shared" si="49"/>
        <v>0.18130764648677594</v>
      </c>
      <c r="U645" s="29">
        <f t="shared" si="50"/>
        <v>0.2182120016210862</v>
      </c>
      <c r="V645" s="29">
        <f t="shared" si="51"/>
        <v>2.5553519366979353E-3</v>
      </c>
    </row>
    <row r="646" spans="18:22" x14ac:dyDescent="0.4">
      <c r="R646" s="28">
        <f t="shared" si="47"/>
        <v>49.679999999999296</v>
      </c>
      <c r="S646" s="29">
        <f t="shared" si="48"/>
        <v>6.6377682609557689E-2</v>
      </c>
      <c r="T646" s="29">
        <f t="shared" si="49"/>
        <v>0.18130764654402876</v>
      </c>
      <c r="U646" s="29">
        <f t="shared" si="50"/>
        <v>0.21823508541592598</v>
      </c>
      <c r="V646" s="29">
        <f t="shared" si="51"/>
        <v>2.5556320069203826E-3</v>
      </c>
    </row>
    <row r="647" spans="18:22" x14ac:dyDescent="0.4">
      <c r="R647" s="28">
        <f t="shared" si="47"/>
        <v>49.759999999999295</v>
      </c>
      <c r="S647" s="29">
        <f t="shared" si="48"/>
        <v>6.6377697351517689E-2</v>
      </c>
      <c r="T647" s="29">
        <f t="shared" si="49"/>
        <v>0.18130764660024878</v>
      </c>
      <c r="U647" s="29">
        <f t="shared" si="50"/>
        <v>0.21825801462870931</v>
      </c>
      <c r="V647" s="29">
        <f t="shared" si="51"/>
        <v>2.5559102016353133E-3</v>
      </c>
    </row>
    <row r="648" spans="18:22" x14ac:dyDescent="0.4">
      <c r="R648" s="28">
        <f t="shared" si="47"/>
        <v>49.839999999999293</v>
      </c>
      <c r="S648" s="29">
        <f t="shared" si="48"/>
        <v>6.6377711827535268E-2</v>
      </c>
      <c r="T648" s="29">
        <f t="shared" si="49"/>
        <v>0.1813076466554546</v>
      </c>
      <c r="U648" s="29">
        <f t="shared" si="50"/>
        <v>0.21828079029460432</v>
      </c>
      <c r="V648" s="29">
        <f t="shared" si="51"/>
        <v>2.5561865334021773E-3</v>
      </c>
    </row>
    <row r="649" spans="18:22" x14ac:dyDescent="0.4">
      <c r="R649" s="28">
        <f t="shared" si="47"/>
        <v>49.919999999999291</v>
      </c>
      <c r="S649" s="29">
        <f t="shared" si="48"/>
        <v>6.6377726042407992E-2</v>
      </c>
      <c r="T649" s="29">
        <f t="shared" si="49"/>
        <v>0.18130764670966448</v>
      </c>
      <c r="U649" s="29">
        <f t="shared" si="50"/>
        <v>0.21830341344184709</v>
      </c>
      <c r="V649" s="29">
        <f t="shared" si="51"/>
        <v>2.5564610146963196E-3</v>
      </c>
    </row>
    <row r="650" spans="18:22" x14ac:dyDescent="0.4">
      <c r="R650" s="28">
        <f t="shared" si="47"/>
        <v>49.999999999999289</v>
      </c>
      <c r="S650" s="29">
        <f t="shared" si="48"/>
        <v>6.6377740000846855E-2</v>
      </c>
      <c r="T650" s="29">
        <f t="shared" si="49"/>
        <v>0.18130764676289646</v>
      </c>
      <c r="U650" s="29">
        <f t="shared" si="50"/>
        <v>0.2183258850917881</v>
      </c>
      <c r="V650" s="29">
        <f t="shared" si="51"/>
        <v>2.5567336579095435E-3</v>
      </c>
    </row>
    <row r="651" spans="18:22" x14ac:dyDescent="0.4">
      <c r="R651" s="28">
        <f t="shared" si="47"/>
        <v>50.079999999999288</v>
      </c>
      <c r="S651" s="29">
        <f t="shared" si="48"/>
        <v>6.6377753707477893E-2</v>
      </c>
      <c r="T651" s="29">
        <f t="shared" si="49"/>
        <v>0.18130764681516812</v>
      </c>
      <c r="U651" s="29">
        <f t="shared" si="50"/>
        <v>0.21834820625893822</v>
      </c>
      <c r="V651" s="29">
        <f t="shared" si="51"/>
        <v>2.5570044753506693E-3</v>
      </c>
    </row>
    <row r="652" spans="18:22" x14ac:dyDescent="0.4">
      <c r="R652" s="28">
        <f t="shared" si="47"/>
        <v>50.159999999999286</v>
      </c>
      <c r="S652" s="29">
        <f t="shared" si="48"/>
        <v>6.6377767166843668E-2</v>
      </c>
      <c r="T652" s="29">
        <f t="shared" si="49"/>
        <v>0.18130764686649684</v>
      </c>
      <c r="U652" s="29">
        <f t="shared" si="50"/>
        <v>0.21837037795101463</v>
      </c>
      <c r="V652" s="29">
        <f t="shared" si="51"/>
        <v>2.5572734792460917E-3</v>
      </c>
    </row>
    <row r="653" spans="18:22" x14ac:dyDescent="0.4">
      <c r="R653" s="28">
        <f t="shared" si="47"/>
        <v>50.239999999999284</v>
      </c>
      <c r="S653" s="29">
        <f t="shared" si="48"/>
        <v>6.6377780383404805E-2</v>
      </c>
      <c r="T653" s="29">
        <f t="shared" si="49"/>
        <v>0.18130764691689957</v>
      </c>
      <c r="U653" s="29">
        <f t="shared" si="50"/>
        <v>0.21839240116898631</v>
      </c>
      <c r="V653" s="29">
        <f t="shared" si="51"/>
        <v>2.5575406817403296E-3</v>
      </c>
    </row>
    <row r="654" spans="18:22" x14ac:dyDescent="0.4">
      <c r="R654" s="28">
        <f t="shared" si="47"/>
        <v>50.319999999999283</v>
      </c>
      <c r="S654" s="29">
        <f t="shared" si="48"/>
        <v>6.6377793361541454E-2</v>
      </c>
      <c r="T654" s="29">
        <f t="shared" si="49"/>
        <v>0.18130764696639307</v>
      </c>
      <c r="U654" s="29">
        <f t="shared" si="50"/>
        <v>0.21841427690711915</v>
      </c>
      <c r="V654" s="29">
        <f t="shared" si="51"/>
        <v>2.5578060948965751E-3</v>
      </c>
    </row>
    <row r="655" spans="18:22" x14ac:dyDescent="0.4">
      <c r="R655" s="28">
        <f t="shared" si="47"/>
        <v>50.399999999999281</v>
      </c>
      <c r="S655" s="29">
        <f t="shared" si="48"/>
        <v>6.6377806105554757E-2</v>
      </c>
      <c r="T655" s="29">
        <f t="shared" si="49"/>
        <v>0.18130764701499369</v>
      </c>
      <c r="U655" s="29">
        <f t="shared" si="50"/>
        <v>0.21843600615302083</v>
      </c>
      <c r="V655" s="29">
        <f t="shared" si="51"/>
        <v>2.5580697306972397E-3</v>
      </c>
    </row>
    <row r="656" spans="18:22" x14ac:dyDescent="0.4">
      <c r="R656" s="28">
        <f t="shared" si="47"/>
        <v>50.479999999999279</v>
      </c>
      <c r="S656" s="29">
        <f t="shared" si="48"/>
        <v>6.6377818619668252E-2</v>
      </c>
      <c r="T656" s="29">
        <f t="shared" si="49"/>
        <v>0.18130764706271757</v>
      </c>
      <c r="U656" s="29">
        <f t="shared" si="50"/>
        <v>0.21845758988768557</v>
      </c>
      <c r="V656" s="29">
        <f t="shared" si="51"/>
        <v>2.5583316010444929E-3</v>
      </c>
    </row>
    <row r="657" spans="18:22" x14ac:dyDescent="0.4">
      <c r="R657" s="28">
        <f t="shared" si="47"/>
        <v>50.559999999999278</v>
      </c>
      <c r="S657" s="29">
        <f t="shared" si="48"/>
        <v>6.6377830908029303E-2</v>
      </c>
      <c r="T657" s="29">
        <f t="shared" si="49"/>
        <v>0.18130764710958053</v>
      </c>
      <c r="U657" s="29">
        <f t="shared" si="50"/>
        <v>0.21847902908553823</v>
      </c>
      <c r="V657" s="29">
        <f t="shared" si="51"/>
        <v>2.5585917177608011E-3</v>
      </c>
    </row>
    <row r="658" spans="18:22" x14ac:dyDescent="0.4">
      <c r="R658" s="28">
        <f t="shared" si="47"/>
        <v>50.639999999999276</v>
      </c>
      <c r="S658" s="29">
        <f t="shared" si="48"/>
        <v>6.6377842974710444E-2</v>
      </c>
      <c r="T658" s="29">
        <f t="shared" si="49"/>
        <v>0.18130764715559808</v>
      </c>
      <c r="U658" s="29">
        <f t="shared" si="50"/>
        <v>0.21850032471447836</v>
      </c>
      <c r="V658" s="29">
        <f t="shared" si="51"/>
        <v>2.5588500925894614E-3</v>
      </c>
    </row>
    <row r="659" spans="18:22" x14ac:dyDescent="0.4">
      <c r="R659" s="28">
        <f t="shared" si="47"/>
        <v>50.719999999999274</v>
      </c>
      <c r="S659" s="29">
        <f t="shared" si="48"/>
        <v>6.6377854823710725E-2</v>
      </c>
      <c r="T659" s="29">
        <f t="shared" si="49"/>
        <v>0.18130764720078549</v>
      </c>
      <c r="U659" s="29">
        <f t="shared" si="50"/>
        <v>0.21852147773592398</v>
      </c>
      <c r="V659" s="29">
        <f t="shared" si="51"/>
        <v>2.5591067371951298E-3</v>
      </c>
    </row>
    <row r="660" spans="18:22" x14ac:dyDescent="0.4">
      <c r="R660" s="28">
        <f t="shared" si="47"/>
        <v>50.799999999999272</v>
      </c>
      <c r="S660" s="29">
        <f t="shared" si="48"/>
        <v>6.6377866458957088E-2</v>
      </c>
      <c r="T660" s="29">
        <f t="shared" si="49"/>
        <v>0.18130764724515772</v>
      </c>
      <c r="U660" s="29">
        <f t="shared" si="50"/>
        <v>0.21854248910485485</v>
      </c>
      <c r="V660" s="29">
        <f t="shared" si="51"/>
        <v>2.5593616631643507E-3</v>
      </c>
    </row>
    <row r="661" spans="18:22" x14ac:dyDescent="0.4">
      <c r="R661" s="28">
        <f t="shared" si="47"/>
        <v>50.879999999999271</v>
      </c>
      <c r="S661" s="29">
        <f t="shared" si="48"/>
        <v>6.6377877884305617E-2</v>
      </c>
      <c r="T661" s="29">
        <f t="shared" si="49"/>
        <v>0.18130764728872947</v>
      </c>
      <c r="U661" s="29">
        <f t="shared" si="50"/>
        <v>0.21856335976985572</v>
      </c>
      <c r="V661" s="29">
        <f t="shared" si="51"/>
        <v>2.5596148820060771E-3</v>
      </c>
    </row>
    <row r="662" spans="18:22" x14ac:dyDescent="0.4">
      <c r="R662" s="28">
        <f t="shared" si="47"/>
        <v>50.959999999999269</v>
      </c>
      <c r="S662" s="29">
        <f t="shared" si="48"/>
        <v>6.6377889103542823E-2</v>
      </c>
      <c r="T662" s="29">
        <f t="shared" si="49"/>
        <v>0.18130764733151519</v>
      </c>
      <c r="U662" s="29">
        <f t="shared" si="50"/>
        <v>0.21858409067315901</v>
      </c>
      <c r="V662" s="29">
        <f t="shared" si="51"/>
        <v>2.5598664051521931E-3</v>
      </c>
    </row>
    <row r="663" spans="18:22" x14ac:dyDescent="0.4">
      <c r="R663" s="28">
        <f t="shared" si="47"/>
        <v>51.039999999999267</v>
      </c>
      <c r="S663" s="29">
        <f t="shared" si="48"/>
        <v>6.6377900120386926E-2</v>
      </c>
      <c r="T663" s="29">
        <f t="shared" si="49"/>
        <v>0.18130764737352906</v>
      </c>
      <c r="U663" s="29">
        <f t="shared" si="50"/>
        <v>0.21860468275068751</v>
      </c>
      <c r="V663" s="29">
        <f t="shared" si="51"/>
        <v>2.5601162439580277E-3</v>
      </c>
    </row>
    <row r="664" spans="18:22" x14ac:dyDescent="0.4">
      <c r="R664" s="28">
        <f t="shared" si="47"/>
        <v>51.119999999999266</v>
      </c>
      <c r="S664" s="29">
        <f t="shared" si="48"/>
        <v>6.6377910938489063E-2</v>
      </c>
      <c r="T664" s="29">
        <f t="shared" si="49"/>
        <v>0.181307647414785</v>
      </c>
      <c r="U664" s="29">
        <f t="shared" si="50"/>
        <v>0.21862513693209648</v>
      </c>
      <c r="V664" s="29">
        <f t="shared" si="51"/>
        <v>2.5603644097028679E-3</v>
      </c>
    </row>
    <row r="665" spans="18:22" x14ac:dyDescent="0.4">
      <c r="R665" s="28">
        <f t="shared" si="47"/>
        <v>51.199999999999264</v>
      </c>
      <c r="S665" s="29">
        <f t="shared" si="48"/>
        <v>6.6377921561434489E-2</v>
      </c>
      <c r="T665" s="29">
        <f t="shared" si="49"/>
        <v>0.18130764745529671</v>
      </c>
      <c r="U665" s="29">
        <f t="shared" si="50"/>
        <v>0.21864545414081574</v>
      </c>
      <c r="V665" s="29">
        <f t="shared" si="51"/>
        <v>2.5606109135904694E-3</v>
      </c>
    </row>
    <row r="666" spans="18:22" x14ac:dyDescent="0.4">
      <c r="R666" s="28">
        <f t="shared" ref="R666:R729" si="52">R665+$S$22</f>
        <v>51.279999999999262</v>
      </c>
      <c r="S666" s="29">
        <f t="shared" ref="S666:S729" si="53">IF(S$13,S665*S$18+(S$14+S$15*IF(S$17,$D$71,0))*S$19,NA())</f>
        <v>6.6377931992743819E-2</v>
      </c>
      <c r="T666" s="29">
        <f t="shared" ref="T666:T729" si="54">IF(T$13,T665*T$18+(T$14+T$15*IF(T$17,$D$71,(S665+S666)/2))*T$19,NA())</f>
        <v>0.18130764749507761</v>
      </c>
      <c r="U666" s="29">
        <f t="shared" ref="U666:U729" si="55">IF(U$13,U665*U$18+(U$14+U$15*IF(U$17,$D$71,(T665+T666)/2))*U$19,NA())</f>
        <v>0.21866563529409125</v>
      </c>
      <c r="V666" s="29">
        <f t="shared" ref="V666:V729" si="56">IF(V$13,V665*V$18+(V$14+V$15*IF(V$17,$D$71,(U665+U666)/2))*V$19,NA())</f>
        <v>2.5608557667495604E-3</v>
      </c>
    </row>
    <row r="667" spans="18:22" x14ac:dyDescent="0.4">
      <c r="R667" s="28">
        <f t="shared" si="52"/>
        <v>51.35999999999926</v>
      </c>
      <c r="S667" s="29">
        <f t="shared" si="53"/>
        <v>6.6377942235874121E-2</v>
      </c>
      <c r="T667" s="29">
        <f t="shared" si="54"/>
        <v>0.18130764753414086</v>
      </c>
      <c r="U667" s="29">
        <f t="shared" si="55"/>
        <v>0.2186856813030266</v>
      </c>
      <c r="V667" s="29">
        <f t="shared" si="56"/>
        <v>2.5610989802343454E-3</v>
      </c>
    </row>
    <row r="668" spans="18:22" x14ac:dyDescent="0.4">
      <c r="R668" s="28">
        <f t="shared" si="52"/>
        <v>51.439999999999259</v>
      </c>
      <c r="S668" s="29">
        <f t="shared" si="53"/>
        <v>6.6377952294220124E-2</v>
      </c>
      <c r="T668" s="29">
        <f t="shared" si="54"/>
        <v>0.1813076475724994</v>
      </c>
      <c r="U668" s="29">
        <f t="shared" si="55"/>
        <v>0.21870559307262413</v>
      </c>
      <c r="V668" s="29">
        <f t="shared" si="56"/>
        <v>2.5613405650250034E-3</v>
      </c>
    </row>
    <row r="669" spans="18:22" x14ac:dyDescent="0.4">
      <c r="R669" s="28">
        <f t="shared" si="52"/>
        <v>51.519999999999257</v>
      </c>
      <c r="S669" s="29">
        <f t="shared" si="53"/>
        <v>6.6377962171115301E-2</v>
      </c>
      <c r="T669" s="29">
        <f t="shared" si="54"/>
        <v>0.18130764761016596</v>
      </c>
      <c r="U669" s="29">
        <f t="shared" si="55"/>
        <v>0.21872537150182578</v>
      </c>
      <c r="V669" s="29">
        <f t="shared" si="56"/>
        <v>2.561580532028184E-3</v>
      </c>
    </row>
    <row r="670" spans="18:22" x14ac:dyDescent="0.4">
      <c r="R670" s="28">
        <f t="shared" si="52"/>
        <v>51.599999999999255</v>
      </c>
      <c r="S670" s="29">
        <f t="shared" si="53"/>
        <v>6.6377971869832991E-2</v>
      </c>
      <c r="T670" s="29">
        <f t="shared" si="54"/>
        <v>0.18130764764715304</v>
      </c>
      <c r="U670" s="29">
        <f t="shared" si="55"/>
        <v>0.21874501748355368</v>
      </c>
      <c r="V670" s="29">
        <f t="shared" si="56"/>
        <v>2.5618188920775E-3</v>
      </c>
    </row>
    <row r="671" spans="18:22" x14ac:dyDescent="0.4">
      <c r="R671" s="28">
        <f t="shared" si="52"/>
        <v>51.679999999999254</v>
      </c>
      <c r="S671" s="29">
        <f t="shared" si="53"/>
        <v>6.6377981393587485E-2</v>
      </c>
      <c r="T671" s="29">
        <f t="shared" si="54"/>
        <v>0.18130764768347288</v>
      </c>
      <c r="U671" s="29">
        <f t="shared" si="55"/>
        <v>0.21876453190475045</v>
      </c>
      <c r="V671" s="29">
        <f t="shared" si="56"/>
        <v>2.5620556559340156E-3</v>
      </c>
    </row>
    <row r="672" spans="18:22" x14ac:dyDescent="0.4">
      <c r="R672" s="28">
        <f t="shared" si="52"/>
        <v>51.759999999999252</v>
      </c>
      <c r="S672" s="29">
        <f t="shared" si="53"/>
        <v>6.637799074553509E-2</v>
      </c>
      <c r="T672" s="29">
        <f t="shared" si="54"/>
        <v>0.18130764771913749</v>
      </c>
      <c r="U672" s="29">
        <f t="shared" si="55"/>
        <v>0.21878391564641922</v>
      </c>
      <c r="V672" s="29">
        <f t="shared" si="56"/>
        <v>2.5622908342867344E-3</v>
      </c>
    </row>
    <row r="673" spans="18:22" x14ac:dyDescent="0.4">
      <c r="R673" s="28">
        <f t="shared" si="52"/>
        <v>51.83999999999925</v>
      </c>
      <c r="S673" s="29">
        <f t="shared" si="53"/>
        <v>6.6377999928775161E-2</v>
      </c>
      <c r="T673" s="29">
        <f t="shared" si="54"/>
        <v>0.18130764775415872</v>
      </c>
      <c r="U673" s="29">
        <f t="shared" si="55"/>
        <v>0.21880316958366341</v>
      </c>
      <c r="V673" s="29">
        <f t="shared" si="56"/>
        <v>2.5625244377530791E-3</v>
      </c>
    </row>
    <row r="674" spans="18:22" x14ac:dyDescent="0.4">
      <c r="R674" s="28">
        <f t="shared" si="52"/>
        <v>51.919999999999249</v>
      </c>
      <c r="S674" s="29">
        <f t="shared" si="53"/>
        <v>6.6378008946351166E-2</v>
      </c>
      <c r="T674" s="29">
        <f t="shared" si="54"/>
        <v>0.18130764778854822</v>
      </c>
      <c r="U674" s="29">
        <f t="shared" si="55"/>
        <v>0.21882229458572636</v>
      </c>
      <c r="V674" s="29">
        <f t="shared" si="56"/>
        <v>2.5627564768793726E-3</v>
      </c>
    </row>
    <row r="675" spans="18:22" x14ac:dyDescent="0.4">
      <c r="R675" s="28">
        <f t="shared" si="52"/>
        <v>51.999999999999247</v>
      </c>
      <c r="S675" s="29">
        <f t="shared" si="53"/>
        <v>6.637801780125166E-2</v>
      </c>
      <c r="T675" s="29">
        <f t="shared" si="54"/>
        <v>0.18130764782231731</v>
      </c>
      <c r="U675" s="29">
        <f t="shared" si="55"/>
        <v>0.21884129151603035</v>
      </c>
      <c r="V675" s="29">
        <f t="shared" si="56"/>
        <v>2.5629869621413138E-3</v>
      </c>
    </row>
    <row r="676" spans="18:22" x14ac:dyDescent="0.4">
      <c r="R676" s="28">
        <f t="shared" si="52"/>
        <v>52.079999999999245</v>
      </c>
      <c r="S676" s="29">
        <f t="shared" si="53"/>
        <v>6.6378026496411266E-2</v>
      </c>
      <c r="T676" s="29">
        <f t="shared" si="54"/>
        <v>0.18130764785547721</v>
      </c>
      <c r="U676" s="29">
        <f t="shared" si="55"/>
        <v>0.2188601612322158</v>
      </c>
      <c r="V676" s="29">
        <f t="shared" si="56"/>
        <v>2.5632159039444503E-3</v>
      </c>
    </row>
    <row r="677" spans="18:22" x14ac:dyDescent="0.4">
      <c r="R677" s="28">
        <f t="shared" si="52"/>
        <v>52.159999999999243</v>
      </c>
      <c r="S677" s="29">
        <f t="shared" si="53"/>
        <v>6.6378035034711694E-2</v>
      </c>
      <c r="T677" s="29">
        <f t="shared" si="54"/>
        <v>0.18130764788803891</v>
      </c>
      <c r="U677" s="29">
        <f t="shared" si="55"/>
        <v>0.21887890458617981</v>
      </c>
      <c r="V677" s="29">
        <f t="shared" si="56"/>
        <v>2.5634433126246483E-3</v>
      </c>
    </row>
    <row r="678" spans="18:22" x14ac:dyDescent="0.4">
      <c r="R678" s="28">
        <f t="shared" si="52"/>
        <v>52.239999999999242</v>
      </c>
      <c r="S678" s="29">
        <f t="shared" si="53"/>
        <v>6.6378043418982652E-2</v>
      </c>
      <c r="T678" s="29">
        <f t="shared" si="54"/>
        <v>0.18130764792001319</v>
      </c>
      <c r="U678" s="29">
        <f t="shared" si="55"/>
        <v>0.21889752242411478</v>
      </c>
      <c r="V678" s="29">
        <f t="shared" si="56"/>
        <v>2.5636691984485599E-3</v>
      </c>
    </row>
    <row r="679" spans="18:22" x14ac:dyDescent="0.4">
      <c r="R679" s="28">
        <f t="shared" si="52"/>
        <v>52.31999999999924</v>
      </c>
      <c r="S679" s="29">
        <f t="shared" si="53"/>
        <v>6.6378051652002806E-2</v>
      </c>
      <c r="T679" s="29">
        <f t="shared" si="54"/>
        <v>0.18130764795141066</v>
      </c>
      <c r="U679" s="29">
        <f t="shared" si="55"/>
        <v>0.21891601558654647</v>
      </c>
      <c r="V679" s="29">
        <f t="shared" si="56"/>
        <v>2.5638935716140849E-3</v>
      </c>
    </row>
    <row r="680" spans="18:22" x14ac:dyDescent="0.4">
      <c r="R680" s="28">
        <f t="shared" si="52"/>
        <v>52.399999999999238</v>
      </c>
      <c r="S680" s="29">
        <f t="shared" si="53"/>
        <v>6.6378059736500697E-2</v>
      </c>
      <c r="T680" s="29">
        <f t="shared" si="54"/>
        <v>0.18130764798224175</v>
      </c>
      <c r="U680" s="29">
        <f t="shared" si="55"/>
        <v>0.218934384908372</v>
      </c>
      <c r="V680" s="29">
        <f t="shared" si="56"/>
        <v>2.5641164422508327E-3</v>
      </c>
    </row>
    <row r="681" spans="18:22" x14ac:dyDescent="0.4">
      <c r="R681" s="28">
        <f t="shared" si="52"/>
        <v>52.479999999999237</v>
      </c>
      <c r="S681" s="29">
        <f t="shared" si="53"/>
        <v>6.6378067675155639E-2</v>
      </c>
      <c r="T681" s="29">
        <f t="shared" si="54"/>
        <v>0.18130764801251664</v>
      </c>
      <c r="U681" s="29">
        <f t="shared" si="55"/>
        <v>0.2189526312188976</v>
      </c>
      <c r="V681" s="29">
        <f t="shared" si="56"/>
        <v>2.5643378204205799E-3</v>
      </c>
    </row>
    <row r="682" spans="18:22" x14ac:dyDescent="0.4">
      <c r="R682" s="28">
        <f t="shared" si="52"/>
        <v>52.559999999999235</v>
      </c>
      <c r="S682" s="29">
        <f t="shared" si="53"/>
        <v>6.6378075470598624E-2</v>
      </c>
      <c r="T682" s="29">
        <f t="shared" si="54"/>
        <v>0.18130764804224536</v>
      </c>
      <c r="U682" s="29">
        <f t="shared" si="55"/>
        <v>0.21897075534187602</v>
      </c>
      <c r="V682" s="29">
        <f t="shared" si="56"/>
        <v>2.5645577161177223E-3</v>
      </c>
    </row>
    <row r="683" spans="18:22" x14ac:dyDescent="0.4">
      <c r="R683" s="28">
        <f t="shared" si="52"/>
        <v>52.639999999999233</v>
      </c>
      <c r="S683" s="29">
        <f t="shared" si="53"/>
        <v>6.6378083125413156E-2</v>
      </c>
      <c r="T683" s="29">
        <f t="shared" si="54"/>
        <v>0.18130764807143782</v>
      </c>
      <c r="U683" s="29">
        <f t="shared" si="55"/>
        <v>0.21898875809554361</v>
      </c>
      <c r="V683" s="29">
        <f t="shared" si="56"/>
        <v>2.5647761392697294E-3</v>
      </c>
    </row>
    <row r="684" spans="18:22" x14ac:dyDescent="0.4">
      <c r="R684" s="28">
        <f t="shared" si="52"/>
        <v>52.719999999999231</v>
      </c>
      <c r="S684" s="29">
        <f t="shared" si="53"/>
        <v>6.6378090642136151E-2</v>
      </c>
      <c r="T684" s="29">
        <f t="shared" si="54"/>
        <v>0.18130764810010364</v>
      </c>
      <c r="U684" s="29">
        <f t="shared" si="55"/>
        <v>0.21900664029265743</v>
      </c>
      <c r="V684" s="29">
        <f t="shared" si="56"/>
        <v>2.5649930997375891E-3</v>
      </c>
    </row>
    <row r="685" spans="18:22" x14ac:dyDescent="0.4">
      <c r="R685" s="28">
        <f t="shared" si="52"/>
        <v>52.79999999999923</v>
      </c>
      <c r="S685" s="29">
        <f t="shared" si="53"/>
        <v>6.6378098023258766E-2</v>
      </c>
      <c r="T685" s="29">
        <f t="shared" si="54"/>
        <v>0.18130764812825231</v>
      </c>
      <c r="U685" s="29">
        <f t="shared" si="55"/>
        <v>0.21902440274053181</v>
      </c>
      <c r="V685" s="29">
        <f t="shared" si="56"/>
        <v>2.5652086073162561E-3</v>
      </c>
    </row>
    <row r="686" spans="18:22" x14ac:dyDescent="0.4">
      <c r="R686" s="28">
        <f t="shared" si="52"/>
        <v>52.879999999999228</v>
      </c>
      <c r="S686" s="29">
        <f t="shared" si="53"/>
        <v>6.63781052712272E-2</v>
      </c>
      <c r="T686" s="29">
        <f t="shared" si="54"/>
        <v>0.1813076481558932</v>
      </c>
      <c r="U686" s="29">
        <f t="shared" si="55"/>
        <v>0.2190420462410749</v>
      </c>
      <c r="V686" s="29">
        <f t="shared" si="56"/>
        <v>2.565422671735092E-3</v>
      </c>
    </row>
    <row r="687" spans="18:22" x14ac:dyDescent="0.4">
      <c r="R687" s="28">
        <f t="shared" si="52"/>
        <v>52.959999999999226</v>
      </c>
      <c r="S687" s="29">
        <f t="shared" si="53"/>
        <v>6.637811238844353E-2</v>
      </c>
      <c r="T687" s="29">
        <f t="shared" si="54"/>
        <v>0.18130764818303544</v>
      </c>
      <c r="U687" s="29">
        <f t="shared" si="55"/>
        <v>0.21905957159082479</v>
      </c>
      <c r="V687" s="29">
        <f t="shared" si="56"/>
        <v>2.5656353026583048E-3</v>
      </c>
    </row>
    <row r="688" spans="18:22" x14ac:dyDescent="0.4">
      <c r="R688" s="28">
        <f t="shared" si="52"/>
        <v>53.039999999999225</v>
      </c>
      <c r="S688" s="29">
        <f t="shared" si="53"/>
        <v>6.6378119377266509E-2</v>
      </c>
      <c r="T688" s="29">
        <f t="shared" si="54"/>
        <v>0.18130764820968803</v>
      </c>
      <c r="U688" s="29">
        <f t="shared" si="55"/>
        <v>0.21907697958098551</v>
      </c>
      <c r="V688" s="29">
        <f t="shared" si="56"/>
        <v>2.5658465096853856E-3</v>
      </c>
    </row>
    <row r="689" spans="18:22" x14ac:dyDescent="0.4">
      <c r="R689" s="28">
        <f t="shared" si="52"/>
        <v>53.119999999999223</v>
      </c>
      <c r="S689" s="29">
        <f t="shared" si="53"/>
        <v>6.6378126240012325E-2</v>
      </c>
      <c r="T689" s="29">
        <f t="shared" si="54"/>
        <v>0.18130764823585982</v>
      </c>
      <c r="U689" s="29">
        <f t="shared" si="55"/>
        <v>0.21909427099746276</v>
      </c>
      <c r="V689" s="29">
        <f t="shared" si="56"/>
        <v>2.566056302351542E-3</v>
      </c>
    </row>
    <row r="690" spans="18:22" x14ac:dyDescent="0.4">
      <c r="R690" s="28">
        <f t="shared" si="52"/>
        <v>53.199999999999221</v>
      </c>
      <c r="S690" s="29">
        <f t="shared" si="53"/>
        <v>6.6378132978955381E-2</v>
      </c>
      <c r="T690" s="29">
        <f t="shared" si="54"/>
        <v>0.18130764826155948</v>
      </c>
      <c r="U690" s="29">
        <f t="shared" si="55"/>
        <v>0.21911144662089937</v>
      </c>
      <c r="V690" s="29">
        <f t="shared" si="56"/>
        <v>2.5662646901281295E-3</v>
      </c>
    </row>
    <row r="691" spans="18:22" x14ac:dyDescent="0.4">
      <c r="R691" s="28">
        <f t="shared" si="52"/>
        <v>53.27999999999922</v>
      </c>
      <c r="S691" s="29">
        <f t="shared" si="53"/>
        <v>6.6378139596329072E-2</v>
      </c>
      <c r="T691" s="29">
        <f t="shared" si="54"/>
        <v>0.18130764828679552</v>
      </c>
      <c r="U691" s="29">
        <f t="shared" si="55"/>
        <v>0.21912850722671054</v>
      </c>
      <c r="V691" s="29">
        <f t="shared" si="56"/>
        <v>2.5664716824230762E-3</v>
      </c>
    </row>
    <row r="692" spans="18:22" x14ac:dyDescent="0.4">
      <c r="R692" s="28">
        <f t="shared" si="52"/>
        <v>53.359999999999218</v>
      </c>
      <c r="S692" s="29">
        <f t="shared" si="53"/>
        <v>6.6378146094326476E-2</v>
      </c>
      <c r="T692" s="29">
        <f t="shared" si="54"/>
        <v>0.18130764831157631</v>
      </c>
      <c r="U692" s="29">
        <f t="shared" si="55"/>
        <v>0.21914545358511886</v>
      </c>
      <c r="V692" s="29">
        <f t="shared" si="56"/>
        <v>2.5666772885813115E-3</v>
      </c>
    </row>
    <row r="693" spans="18:22" x14ac:dyDescent="0.4">
      <c r="R693" s="28">
        <f t="shared" si="52"/>
        <v>53.439999999999216</v>
      </c>
      <c r="S693" s="29">
        <f t="shared" si="53"/>
        <v>6.6378152475101135E-2</v>
      </c>
      <c r="T693" s="29">
        <f t="shared" si="54"/>
        <v>0.18130764833591007</v>
      </c>
      <c r="U693" s="29">
        <f t="shared" si="55"/>
        <v>0.2191622864611891</v>
      </c>
      <c r="V693" s="29">
        <f t="shared" si="56"/>
        <v>2.5668815178851844E-3</v>
      </c>
    </row>
    <row r="694" spans="18:22" x14ac:dyDescent="0.4">
      <c r="R694" s="28">
        <f t="shared" si="52"/>
        <v>53.519999999999214</v>
      </c>
      <c r="S694" s="29">
        <f t="shared" si="53"/>
        <v>6.6378158740767718E-2</v>
      </c>
      <c r="T694" s="29">
        <f t="shared" si="54"/>
        <v>0.18130764835980484</v>
      </c>
      <c r="U694" s="29">
        <f t="shared" si="55"/>
        <v>0.21917900661486267</v>
      </c>
      <c r="V694" s="29">
        <f t="shared" si="56"/>
        <v>2.5670843795548848E-3</v>
      </c>
    </row>
    <row r="695" spans="18:22" x14ac:dyDescent="0.4">
      <c r="R695" s="28">
        <f t="shared" si="52"/>
        <v>53.599999999999213</v>
      </c>
      <c r="S695" s="29">
        <f t="shared" si="53"/>
        <v>6.6378164893402758E-2</v>
      </c>
      <c r="T695" s="29">
        <f t="shared" si="54"/>
        <v>0.18130764838326857</v>
      </c>
      <c r="U695" s="29">
        <f t="shared" si="55"/>
        <v>0.21919561480099206</v>
      </c>
      <c r="V695" s="29">
        <f t="shared" si="56"/>
        <v>2.5672858827488587E-3</v>
      </c>
    </row>
    <row r="696" spans="18:22" x14ac:dyDescent="0.4">
      <c r="R696" s="28">
        <f t="shared" si="52"/>
        <v>53.679999999999211</v>
      </c>
      <c r="S696" s="29">
        <f t="shared" si="53"/>
        <v>6.6378170935045319E-2</v>
      </c>
      <c r="T696" s="29">
        <f t="shared" si="54"/>
        <v>0.18130764840630903</v>
      </c>
      <c r="U696" s="29">
        <f t="shared" si="55"/>
        <v>0.21921211176937477</v>
      </c>
      <c r="V696" s="29">
        <f t="shared" si="56"/>
        <v>2.5674860365642225E-3</v>
      </c>
    </row>
    <row r="697" spans="18:22" x14ac:dyDescent="0.4">
      <c r="R697" s="28">
        <f t="shared" si="52"/>
        <v>53.759999999999209</v>
      </c>
      <c r="S697" s="29">
        <f t="shared" si="53"/>
        <v>6.6378176867697689E-2</v>
      </c>
      <c r="T697" s="29">
        <f t="shared" si="54"/>
        <v>0.18130764842893382</v>
      </c>
      <c r="U697" s="29">
        <f t="shared" si="55"/>
        <v>0.2192284982647873</v>
      </c>
      <c r="V697" s="29">
        <f t="shared" si="56"/>
        <v>2.5676848500371728E-3</v>
      </c>
    </row>
    <row r="698" spans="18:22" x14ac:dyDescent="0.4">
      <c r="R698" s="28">
        <f t="shared" si="52"/>
        <v>53.839999999999208</v>
      </c>
      <c r="S698" s="29">
        <f t="shared" si="53"/>
        <v>6.6378182693326029E-2</v>
      </c>
      <c r="T698" s="29">
        <f t="shared" si="54"/>
        <v>0.18130764845115047</v>
      </c>
      <c r="U698" s="29">
        <f t="shared" si="55"/>
        <v>0.21924477502701867</v>
      </c>
      <c r="V698" s="29">
        <f t="shared" si="56"/>
        <v>2.5678823321433944E-3</v>
      </c>
    </row>
    <row r="699" spans="18:22" x14ac:dyDescent="0.4">
      <c r="R699" s="28">
        <f t="shared" si="52"/>
        <v>53.919999999999206</v>
      </c>
      <c r="S699" s="29">
        <f t="shared" si="53"/>
        <v>6.6378188413861033E-2</v>
      </c>
      <c r="T699" s="29">
        <f t="shared" si="54"/>
        <v>0.18130764847296632</v>
      </c>
      <c r="U699" s="29">
        <f t="shared" si="55"/>
        <v>0.21926094279090386</v>
      </c>
      <c r="V699" s="29">
        <f t="shared" si="56"/>
        <v>2.5680784917984671E-3</v>
      </c>
    </row>
    <row r="700" spans="18:22" x14ac:dyDescent="0.4">
      <c r="R700" s="28">
        <f t="shared" si="52"/>
        <v>53.999999999999204</v>
      </c>
      <c r="S700" s="29">
        <f t="shared" si="53"/>
        <v>6.6378194031198573E-2</v>
      </c>
      <c r="T700" s="29">
        <f t="shared" si="54"/>
        <v>0.1813076484943886</v>
      </c>
      <c r="U700" s="29">
        <f t="shared" si="55"/>
        <v>0.21927700228635705</v>
      </c>
      <c r="V700" s="29">
        <f t="shared" si="56"/>
        <v>2.5682733378582659E-3</v>
      </c>
    </row>
    <row r="701" spans="18:22" x14ac:dyDescent="0.4">
      <c r="R701" s="28">
        <f t="shared" si="52"/>
        <v>54.079999999999202</v>
      </c>
      <c r="S701" s="29">
        <f t="shared" si="53"/>
        <v>6.6378199547200312E-2</v>
      </c>
      <c r="T701" s="29">
        <f t="shared" si="54"/>
        <v>0.18130764851542447</v>
      </c>
      <c r="U701" s="29">
        <f t="shared" si="55"/>
        <v>0.21929295423840442</v>
      </c>
      <c r="V701" s="29">
        <f t="shared" si="56"/>
        <v>2.5684668791193621E-3</v>
      </c>
    </row>
    <row r="702" spans="18:22" x14ac:dyDescent="0.4">
      <c r="R702" s="28">
        <f t="shared" si="52"/>
        <v>54.159999999999201</v>
      </c>
      <c r="S702" s="29">
        <f t="shared" si="53"/>
        <v>6.6378204963694329E-2</v>
      </c>
      <c r="T702" s="29">
        <f t="shared" si="54"/>
        <v>0.18130764853608083</v>
      </c>
      <c r="U702" s="29">
        <f t="shared" si="55"/>
        <v>0.21930879936721698</v>
      </c>
      <c r="V702" s="29">
        <f t="shared" si="56"/>
        <v>2.5686591243194203E-3</v>
      </c>
    </row>
    <row r="703" spans="18:22" x14ac:dyDescent="0.4">
      <c r="R703" s="28">
        <f t="shared" si="52"/>
        <v>54.239999999999199</v>
      </c>
      <c r="S703" s="29">
        <f t="shared" si="53"/>
        <v>6.637821028247573E-2</v>
      </c>
      <c r="T703" s="29">
        <f t="shared" si="54"/>
        <v>0.18130764855636455</v>
      </c>
      <c r="U703" s="29">
        <f t="shared" si="55"/>
        <v>0.21932453838814311</v>
      </c>
      <c r="V703" s="29">
        <f t="shared" si="56"/>
        <v>2.5688500821375933E-3</v>
      </c>
    </row>
    <row r="704" spans="18:22" x14ac:dyDescent="0.4">
      <c r="R704" s="28">
        <f t="shared" si="52"/>
        <v>54.319999999999197</v>
      </c>
      <c r="S704" s="29">
        <f t="shared" si="53"/>
        <v>6.6378215505307231E-2</v>
      </c>
      <c r="T704" s="29">
        <f t="shared" si="54"/>
        <v>0.18130764857628237</v>
      </c>
      <c r="U704" s="29">
        <f t="shared" si="55"/>
        <v>0.21934017201174077</v>
      </c>
      <c r="V704" s="29">
        <f t="shared" si="56"/>
        <v>2.5690397611949126E-3</v>
      </c>
    </row>
    <row r="705" spans="18:22" x14ac:dyDescent="0.4">
      <c r="R705" s="28">
        <f t="shared" si="52"/>
        <v>54.399999999999196</v>
      </c>
      <c r="S705" s="29">
        <f t="shared" si="53"/>
        <v>6.6378220633919752E-2</v>
      </c>
      <c r="T705" s="29">
        <f t="shared" si="54"/>
        <v>0.18130764859584086</v>
      </c>
      <c r="U705" s="29">
        <f t="shared" si="55"/>
        <v>0.21935570094380968</v>
      </c>
      <c r="V705" s="29">
        <f t="shared" si="56"/>
        <v>2.5692281700546793E-3</v>
      </c>
    </row>
    <row r="706" spans="18:22" x14ac:dyDescent="0.4">
      <c r="R706" s="28">
        <f t="shared" si="52"/>
        <v>54.479999999999194</v>
      </c>
      <c r="S706" s="29">
        <f t="shared" si="53"/>
        <v>6.6378225670012989E-2</v>
      </c>
      <c r="T706" s="29">
        <f t="shared" si="54"/>
        <v>0.18130764861504653</v>
      </c>
      <c r="U706" s="29">
        <f t="shared" si="55"/>
        <v>0.21937112588542312</v>
      </c>
      <c r="V706" s="29">
        <f t="shared" si="56"/>
        <v>2.5694153172228489E-3</v>
      </c>
    </row>
    <row r="707" spans="18:22" x14ac:dyDescent="0.4">
      <c r="R707" s="28">
        <f t="shared" si="52"/>
        <v>54.559999999999192</v>
      </c>
      <c r="S707" s="29">
        <f t="shared" si="53"/>
        <v>6.6378230615255968E-2</v>
      </c>
      <c r="T707" s="29">
        <f t="shared" si="54"/>
        <v>0.18130764863390575</v>
      </c>
      <c r="U707" s="29">
        <f t="shared" si="55"/>
        <v>0.21938644753295955</v>
      </c>
      <c r="V707" s="29">
        <f t="shared" si="56"/>
        <v>2.5696012111484177E-3</v>
      </c>
    </row>
    <row r="708" spans="18:22" x14ac:dyDescent="0.4">
      <c r="R708" s="28">
        <f t="shared" si="52"/>
        <v>54.639999999999191</v>
      </c>
      <c r="S708" s="29">
        <f t="shared" si="53"/>
        <v>6.6378235471287628E-2</v>
      </c>
      <c r="T708" s="29">
        <f t="shared" si="54"/>
        <v>0.18130764865242474</v>
      </c>
      <c r="U708" s="29">
        <f t="shared" si="55"/>
        <v>0.21940166657813409</v>
      </c>
      <c r="V708" s="29">
        <f t="shared" si="56"/>
        <v>2.5697858602238008E-3</v>
      </c>
    </row>
    <row r="709" spans="18:22" x14ac:dyDescent="0.4">
      <c r="R709" s="28">
        <f t="shared" si="52"/>
        <v>54.719999999999189</v>
      </c>
      <c r="S709" s="29">
        <f t="shared" si="53"/>
        <v>6.6378240239717307E-2</v>
      </c>
      <c r="T709" s="29">
        <f t="shared" si="54"/>
        <v>0.18130764867060964</v>
      </c>
      <c r="U709" s="29">
        <f t="shared" si="55"/>
        <v>0.21941678370802981</v>
      </c>
      <c r="V709" s="29">
        <f t="shared" si="56"/>
        <v>2.5699692727852138E-3</v>
      </c>
    </row>
    <row r="710" spans="18:22" x14ac:dyDescent="0.4">
      <c r="R710" s="28">
        <f t="shared" si="52"/>
        <v>54.799999999999187</v>
      </c>
      <c r="S710" s="29">
        <f t="shared" si="53"/>
        <v>6.6378244922125337E-2</v>
      </c>
      <c r="T710" s="29">
        <f t="shared" si="54"/>
        <v>0.18130764868846649</v>
      </c>
      <c r="U710" s="29">
        <f t="shared" si="55"/>
        <v>0.21943179960512862</v>
      </c>
      <c r="V710" s="29">
        <f t="shared" si="56"/>
        <v>2.5701514571130494E-3</v>
      </c>
    </row>
    <row r="711" spans="18:22" x14ac:dyDescent="0.4">
      <c r="R711" s="28">
        <f t="shared" si="52"/>
        <v>54.879999999999185</v>
      </c>
      <c r="S711" s="29">
        <f t="shared" si="53"/>
        <v>6.6378249520063534E-2</v>
      </c>
      <c r="T711" s="29">
        <f t="shared" si="54"/>
        <v>0.18130764870600122</v>
      </c>
      <c r="U711" s="29">
        <f t="shared" si="55"/>
        <v>0.21944671494734216</v>
      </c>
      <c r="V711" s="29">
        <f t="shared" si="56"/>
        <v>2.5703324214322492E-3</v>
      </c>
    </row>
    <row r="712" spans="18:22" x14ac:dyDescent="0.4">
      <c r="R712" s="28">
        <f t="shared" si="52"/>
        <v>54.959999999999184</v>
      </c>
      <c r="S712" s="29">
        <f t="shared" si="53"/>
        <v>6.637825403505572E-2</v>
      </c>
      <c r="T712" s="29">
        <f t="shared" si="54"/>
        <v>0.18130764872321961</v>
      </c>
      <c r="U712" s="29">
        <f t="shared" si="55"/>
        <v>0.21946153040804245</v>
      </c>
      <c r="V712" s="29">
        <f t="shared" si="56"/>
        <v>2.570512173912676E-3</v>
      </c>
    </row>
    <row r="713" spans="18:22" x14ac:dyDescent="0.4">
      <c r="R713" s="28">
        <f t="shared" si="52"/>
        <v>55.039999999999182</v>
      </c>
      <c r="S713" s="29">
        <f t="shared" si="53"/>
        <v>6.6378258468598225E-2</v>
      </c>
      <c r="T713" s="29">
        <f t="shared" si="54"/>
        <v>0.18130764874012739</v>
      </c>
      <c r="U713" s="29">
        <f t="shared" si="55"/>
        <v>0.21947624665609217</v>
      </c>
      <c r="V713" s="29">
        <f t="shared" si="56"/>
        <v>2.5706907226694825E-3</v>
      </c>
    </row>
    <row r="714" spans="18:22" x14ac:dyDescent="0.4">
      <c r="R714" s="28">
        <f t="shared" si="52"/>
        <v>55.11999999999918</v>
      </c>
      <c r="S714" s="29">
        <f t="shared" si="53"/>
        <v>6.6378262822160389E-2</v>
      </c>
      <c r="T714" s="29">
        <f t="shared" si="54"/>
        <v>0.18130764875673014</v>
      </c>
      <c r="U714" s="29">
        <f t="shared" si="55"/>
        <v>0.21949086435587495</v>
      </c>
      <c r="V714" s="29">
        <f t="shared" si="56"/>
        <v>2.570868075763478E-3</v>
      </c>
    </row>
    <row r="715" spans="18:22" x14ac:dyDescent="0.4">
      <c r="R715" s="28">
        <f t="shared" si="52"/>
        <v>55.199999999999179</v>
      </c>
      <c r="S715" s="29">
        <f t="shared" si="53"/>
        <v>6.6378267097185042E-2</v>
      </c>
      <c r="T715" s="29">
        <f t="shared" si="54"/>
        <v>0.18130764877303338</v>
      </c>
      <c r="U715" s="29">
        <f t="shared" si="55"/>
        <v>0.21950538416732532</v>
      </c>
      <c r="V715" s="29">
        <f t="shared" si="56"/>
        <v>2.5710442412014921E-3</v>
      </c>
    </row>
    <row r="716" spans="18:22" x14ac:dyDescent="0.4">
      <c r="R716" s="28">
        <f t="shared" si="52"/>
        <v>55.279999999999177</v>
      </c>
      <c r="S716" s="29">
        <f t="shared" si="53"/>
        <v>6.6378271295088984E-2</v>
      </c>
      <c r="T716" s="29">
        <f t="shared" si="54"/>
        <v>0.18130764878904254</v>
      </c>
      <c r="U716" s="29">
        <f t="shared" si="55"/>
        <v>0.21951980674595856</v>
      </c>
      <c r="V716" s="29">
        <f t="shared" si="56"/>
        <v>2.5712192269367364E-3</v>
      </c>
    </row>
    <row r="717" spans="18:22" x14ac:dyDescent="0.4">
      <c r="R717" s="28">
        <f t="shared" si="52"/>
        <v>55.359999999999175</v>
      </c>
      <c r="S717" s="29">
        <f t="shared" si="53"/>
        <v>6.637827541726346E-2</v>
      </c>
      <c r="T717" s="29">
        <f t="shared" si="54"/>
        <v>0.18130764880476288</v>
      </c>
      <c r="U717" s="29">
        <f t="shared" si="55"/>
        <v>0.21953413274290018</v>
      </c>
      <c r="V717" s="29">
        <f t="shared" si="56"/>
        <v>2.5713930408691626E-3</v>
      </c>
    </row>
    <row r="718" spans="18:22" x14ac:dyDescent="0.4">
      <c r="R718" s="28">
        <f t="shared" si="52"/>
        <v>55.439999999999173</v>
      </c>
      <c r="S718" s="29">
        <f t="shared" si="53"/>
        <v>6.6378279465074616E-2</v>
      </c>
      <c r="T718" s="29">
        <f t="shared" si="54"/>
        <v>0.18130764882019965</v>
      </c>
      <c r="U718" s="29">
        <f t="shared" si="55"/>
        <v>0.21954836280491544</v>
      </c>
      <c r="V718" s="29">
        <f t="shared" si="56"/>
        <v>2.5715656908458211E-3</v>
      </c>
    </row>
    <row r="719" spans="18:22" x14ac:dyDescent="0.4">
      <c r="R719" s="28">
        <f t="shared" si="52"/>
        <v>55.519999999999172</v>
      </c>
      <c r="S719" s="29">
        <f t="shared" si="53"/>
        <v>6.6378283439863961E-2</v>
      </c>
      <c r="T719" s="29">
        <f t="shared" si="54"/>
        <v>0.18130764883535791</v>
      </c>
      <c r="U719" s="29">
        <f t="shared" si="55"/>
        <v>0.21956249757443849</v>
      </c>
      <c r="V719" s="29">
        <f t="shared" si="56"/>
        <v>2.5717371846612131E-3</v>
      </c>
    </row>
    <row r="720" spans="18:22" x14ac:dyDescent="0.4">
      <c r="R720" s="28">
        <f t="shared" si="52"/>
        <v>55.59999999999917</v>
      </c>
      <c r="S720" s="29">
        <f t="shared" si="53"/>
        <v>6.6378287342948789E-2</v>
      </c>
      <c r="T720" s="29">
        <f t="shared" si="54"/>
        <v>0.18130764885024273</v>
      </c>
      <c r="U720" s="29">
        <f t="shared" si="55"/>
        <v>0.21957653768960139</v>
      </c>
      <c r="V720" s="29">
        <f t="shared" si="56"/>
        <v>2.5719075300576436E-3</v>
      </c>
    </row>
    <row r="721" spans="18:22" x14ac:dyDescent="0.4">
      <c r="R721" s="28">
        <f t="shared" si="52"/>
        <v>55.679999999999168</v>
      </c>
      <c r="S721" s="29">
        <f t="shared" si="53"/>
        <v>6.6378291175622647E-2</v>
      </c>
      <c r="T721" s="29">
        <f t="shared" si="54"/>
        <v>0.18130764886485901</v>
      </c>
      <c r="U721" s="29">
        <f t="shared" si="55"/>
        <v>0.21959048378426285</v>
      </c>
      <c r="V721" s="29">
        <f t="shared" si="56"/>
        <v>2.5720767347255711E-3</v>
      </c>
    </row>
    <row r="722" spans="18:22" x14ac:dyDescent="0.4">
      <c r="R722" s="28">
        <f t="shared" si="52"/>
        <v>55.759999999999167</v>
      </c>
      <c r="S722" s="29">
        <f t="shared" si="53"/>
        <v>6.637829493915573E-2</v>
      </c>
      <c r="T722" s="29">
        <f t="shared" si="54"/>
        <v>0.18130764887921164</v>
      </c>
      <c r="U722" s="29">
        <f t="shared" si="55"/>
        <v>0.21960433648803701</v>
      </c>
      <c r="V722" s="29">
        <f t="shared" si="56"/>
        <v>2.5722448063039537E-3</v>
      </c>
    </row>
    <row r="723" spans="18:22" x14ac:dyDescent="0.4">
      <c r="R723" s="28">
        <f t="shared" si="52"/>
        <v>55.839999999999165</v>
      </c>
      <c r="S723" s="29">
        <f t="shared" si="53"/>
        <v>6.6378298634795316E-2</v>
      </c>
      <c r="T723" s="29">
        <f t="shared" si="54"/>
        <v>0.18130764889330533</v>
      </c>
      <c r="U723" s="29">
        <f t="shared" si="55"/>
        <v>0.21961809642632166</v>
      </c>
      <c r="V723" s="29">
        <f t="shared" si="56"/>
        <v>2.5724117523805963E-3</v>
      </c>
    </row>
    <row r="724" spans="18:22" x14ac:dyDescent="0.4">
      <c r="R724" s="28">
        <f t="shared" si="52"/>
        <v>55.919999999999163</v>
      </c>
      <c r="S724" s="29">
        <f t="shared" si="53"/>
        <v>6.6378302263766203E-2</v>
      </c>
      <c r="T724" s="29">
        <f t="shared" si="54"/>
        <v>0.18130764890714479</v>
      </c>
      <c r="U724" s="29">
        <f t="shared" si="55"/>
        <v>0.21963176422032663</v>
      </c>
      <c r="V724" s="29">
        <f t="shared" si="56"/>
        <v>2.57257758049249E-3</v>
      </c>
    </row>
    <row r="725" spans="18:22" x14ac:dyDescent="0.4">
      <c r="R725" s="28">
        <f t="shared" si="52"/>
        <v>55.999999999999162</v>
      </c>
      <c r="S725" s="29">
        <f t="shared" si="53"/>
        <v>6.6378305827271084E-2</v>
      </c>
      <c r="T725" s="29">
        <f t="shared" si="54"/>
        <v>0.18130764892073459</v>
      </c>
      <c r="U725" s="29">
        <f t="shared" si="55"/>
        <v>0.21964534048710177</v>
      </c>
      <c r="V725" s="29">
        <f t="shared" si="56"/>
        <v>2.5727422981261547E-3</v>
      </c>
    </row>
    <row r="726" spans="18:22" x14ac:dyDescent="0.4">
      <c r="R726" s="28">
        <f t="shared" si="52"/>
        <v>56.07999999999916</v>
      </c>
      <c r="S726" s="29">
        <f t="shared" si="53"/>
        <v>6.6378309326490942E-2</v>
      </c>
      <c r="T726" s="29">
        <f t="shared" si="54"/>
        <v>0.18130764893407922</v>
      </c>
      <c r="U726" s="29">
        <f t="shared" si="55"/>
        <v>0.21965882583956481</v>
      </c>
      <c r="V726" s="29">
        <f t="shared" si="56"/>
        <v>2.5729059127179762E-3</v>
      </c>
    </row>
    <row r="727" spans="18:22" x14ac:dyDescent="0.4">
      <c r="R727" s="28">
        <f t="shared" si="52"/>
        <v>56.159999999999158</v>
      </c>
      <c r="S727" s="29">
        <f t="shared" si="53"/>
        <v>6.6378312762585476E-2</v>
      </c>
      <c r="T727" s="29">
        <f t="shared" si="54"/>
        <v>0.18130764894718313</v>
      </c>
      <c r="U727" s="29">
        <f t="shared" si="55"/>
        <v>0.21967222088652907</v>
      </c>
      <c r="V727" s="29">
        <f t="shared" si="56"/>
        <v>2.5730684316545424E-3</v>
      </c>
    </row>
    <row r="728" spans="18:22" x14ac:dyDescent="0.4">
      <c r="R728" s="28">
        <f t="shared" si="52"/>
        <v>56.239999999999156</v>
      </c>
      <c r="S728" s="29">
        <f t="shared" si="53"/>
        <v>6.6378316136693469E-2</v>
      </c>
      <c r="T728" s="29">
        <f t="shared" si="54"/>
        <v>0.18130764896005064</v>
      </c>
      <c r="U728" s="29">
        <f t="shared" si="55"/>
        <v>0.21968552623273088</v>
      </c>
      <c r="V728" s="29">
        <f t="shared" si="56"/>
        <v>2.5732298622729759E-3</v>
      </c>
    </row>
    <row r="729" spans="18:22" x14ac:dyDescent="0.4">
      <c r="R729" s="28">
        <f t="shared" si="52"/>
        <v>56.319999999999155</v>
      </c>
      <c r="S729" s="29">
        <f t="shared" si="53"/>
        <v>6.6378319449933124E-2</v>
      </c>
      <c r="T729" s="29">
        <f t="shared" si="54"/>
        <v>0.18130764897268603</v>
      </c>
      <c r="U729" s="29">
        <f t="shared" si="55"/>
        <v>0.21969874247885693</v>
      </c>
      <c r="V729" s="29">
        <f t="shared" si="56"/>
        <v>2.5733902118612669E-3</v>
      </c>
    </row>
    <row r="730" spans="18:22" x14ac:dyDescent="0.4">
      <c r="R730" s="28">
        <f t="shared" ref="R730:R793" si="57">R729+$S$22</f>
        <v>56.399999999999153</v>
      </c>
      <c r="S730" s="29">
        <f t="shared" ref="S730:S793" si="58">IF(S$13,S729*S$18+(S$14+S$15*IF(S$17,$D$71,0))*S$19,NA())</f>
        <v>6.6378322703402506E-2</v>
      </c>
      <c r="T730" s="29">
        <f t="shared" ref="T730:T793" si="59">IF(T$13,T729*T$18+(T$14+T$15*IF(T$17,$D$71,(S729+S730)/2))*T$19,NA())</f>
        <v>0.18130764898509347</v>
      </c>
      <c r="U730" s="29">
        <f t="shared" ref="U730:U793" si="60">IF(U$13,U729*U$18+(U$14+U$15*IF(U$17,$D$71,(T729+T730)/2))*U$19,NA())</f>
        <v>0.21971187022157135</v>
      </c>
      <c r="V730" s="29">
        <f t="shared" ref="V730:V793" si="61">IF(V$13,V729*V$18+(V$14+V$15*IF(V$17,$D$71,(U729+U730)/2))*V$19,NA())</f>
        <v>2.5735494876585998E-3</v>
      </c>
    </row>
    <row r="731" spans="18:22" x14ac:dyDescent="0.4">
      <c r="R731" s="28">
        <f t="shared" si="57"/>
        <v>56.479999999999151</v>
      </c>
      <c r="S731" s="29">
        <f t="shared" si="58"/>
        <v>6.6378325898179866E-2</v>
      </c>
      <c r="T731" s="29">
        <f t="shared" si="59"/>
        <v>0.18130764899727708</v>
      </c>
      <c r="U731" s="29">
        <f t="shared" si="60"/>
        <v>0.21972491005354272</v>
      </c>
      <c r="V731" s="29">
        <f t="shared" si="61"/>
        <v>2.5737076968556818E-3</v>
      </c>
    </row>
    <row r="732" spans="18:22" x14ac:dyDescent="0.4">
      <c r="R732" s="28">
        <f t="shared" si="57"/>
        <v>56.55999999999915</v>
      </c>
      <c r="S732" s="29">
        <f t="shared" si="58"/>
        <v>6.6378329035323994E-2</v>
      </c>
      <c r="T732" s="29">
        <f t="shared" si="59"/>
        <v>0.1813076490092409</v>
      </c>
      <c r="U732" s="29">
        <f t="shared" si="60"/>
        <v>0.21973786256347075</v>
      </c>
      <c r="V732" s="29">
        <f t="shared" si="61"/>
        <v>2.5738648465950678E-3</v>
      </c>
    </row>
    <row r="733" spans="18:22" x14ac:dyDescent="0.4">
      <c r="R733" s="28">
        <f t="shared" si="57"/>
        <v>56.639999999999148</v>
      </c>
      <c r="S733" s="29">
        <f t="shared" si="58"/>
        <v>6.6378332115874586E-2</v>
      </c>
      <c r="T733" s="29">
        <f t="shared" si="59"/>
        <v>0.18130764902098889</v>
      </c>
      <c r="U733" s="29">
        <f t="shared" si="60"/>
        <v>0.21975072833611289</v>
      </c>
      <c r="V733" s="29">
        <f t="shared" si="61"/>
        <v>2.5740209439714815E-3</v>
      </c>
    </row>
    <row r="734" spans="18:22" x14ac:dyDescent="0.4">
      <c r="R734" s="28">
        <f t="shared" si="57"/>
        <v>56.719999999999146</v>
      </c>
      <c r="S734" s="29">
        <f t="shared" si="58"/>
        <v>6.6378335140852576E-2</v>
      </c>
      <c r="T734" s="29">
        <f t="shared" si="59"/>
        <v>0.18130764903252497</v>
      </c>
      <c r="U734" s="29">
        <f t="shared" si="60"/>
        <v>0.21976350795231073</v>
      </c>
      <c r="V734" s="29">
        <f t="shared" si="61"/>
        <v>2.5741759960321358E-3</v>
      </c>
    </row>
    <row r="735" spans="18:22" x14ac:dyDescent="0.4">
      <c r="R735" s="28">
        <f t="shared" si="57"/>
        <v>56.799999999999145</v>
      </c>
      <c r="S735" s="29">
        <f t="shared" si="58"/>
        <v>6.6378338111260482E-2</v>
      </c>
      <c r="T735" s="29">
        <f t="shared" si="59"/>
        <v>0.18130764904385294</v>
      </c>
      <c r="U735" s="29">
        <f t="shared" si="60"/>
        <v>0.21977620198901621</v>
      </c>
      <c r="V735" s="29">
        <f t="shared" si="61"/>
        <v>2.574330009777053E-3</v>
      </c>
    </row>
    <row r="736" spans="18:22" x14ac:dyDescent="0.4">
      <c r="R736" s="28">
        <f t="shared" si="57"/>
        <v>56.879999999999143</v>
      </c>
      <c r="S736" s="29">
        <f t="shared" si="58"/>
        <v>6.6378341028082738E-2</v>
      </c>
      <c r="T736" s="29">
        <f t="shared" si="59"/>
        <v>0.18130764905497654</v>
      </c>
      <c r="U736" s="29">
        <f t="shared" si="60"/>
        <v>0.21978881101931766</v>
      </c>
      <c r="V736" s="29">
        <f t="shared" si="61"/>
        <v>2.5744829921593776E-3</v>
      </c>
    </row>
    <row r="737" spans="18:22" x14ac:dyDescent="0.4">
      <c r="R737" s="28">
        <f t="shared" si="57"/>
        <v>56.959999999999141</v>
      </c>
      <c r="S737" s="29">
        <f t="shared" si="58"/>
        <v>6.6378343892286029E-2</v>
      </c>
      <c r="T737" s="29">
        <f t="shared" si="59"/>
        <v>0.1813076490658995</v>
      </c>
      <c r="U737" s="29">
        <f t="shared" si="60"/>
        <v>0.21980133561246576</v>
      </c>
      <c r="V737" s="29">
        <f t="shared" si="61"/>
        <v>2.5746349500856934E-3</v>
      </c>
    </row>
    <row r="738" spans="18:22" x14ac:dyDescent="0.4">
      <c r="R738" s="28">
        <f t="shared" si="57"/>
        <v>57.039999999999139</v>
      </c>
      <c r="S738" s="29">
        <f t="shared" si="58"/>
        <v>6.6378346704819582E-2</v>
      </c>
      <c r="T738" s="29">
        <f t="shared" si="59"/>
        <v>0.18130764907662539</v>
      </c>
      <c r="U738" s="29">
        <f t="shared" si="60"/>
        <v>0.21981377633389906</v>
      </c>
      <c r="V738" s="29">
        <f t="shared" si="61"/>
        <v>2.5747858904163331E-3</v>
      </c>
    </row>
    <row r="739" spans="18:22" x14ac:dyDescent="0.4">
      <c r="R739" s="28">
        <f t="shared" si="57"/>
        <v>57.119999999999138</v>
      </c>
      <c r="S739" s="29">
        <f t="shared" si="58"/>
        <v>6.6378349466615513E-2</v>
      </c>
      <c r="T739" s="29">
        <f t="shared" si="59"/>
        <v>0.1813076490871578</v>
      </c>
      <c r="U739" s="29">
        <f t="shared" si="60"/>
        <v>0.21982613374526974</v>
      </c>
      <c r="V739" s="29">
        <f t="shared" si="61"/>
        <v>2.5749358199656895E-3</v>
      </c>
    </row>
    <row r="740" spans="18:22" x14ac:dyDescent="0.4">
      <c r="R740" s="28">
        <f t="shared" si="57"/>
        <v>57.199999999999136</v>
      </c>
      <c r="S740" s="29">
        <f t="shared" si="58"/>
        <v>6.6378352178589131E-2</v>
      </c>
      <c r="T740" s="29">
        <f t="shared" si="59"/>
        <v>0.18130764909750019</v>
      </c>
      <c r="U740" s="29">
        <f t="shared" si="60"/>
        <v>0.21983840840446872</v>
      </c>
      <c r="V740" s="29">
        <f t="shared" si="61"/>
        <v>2.5750847455025213E-3</v>
      </c>
    </row>
    <row r="741" spans="18:22" x14ac:dyDescent="0.4">
      <c r="R741" s="28">
        <f t="shared" si="57"/>
        <v>57.279999999999134</v>
      </c>
      <c r="S741" s="29">
        <f t="shared" si="58"/>
        <v>6.6378354841639203E-2</v>
      </c>
      <c r="T741" s="29">
        <f t="shared" si="59"/>
        <v>0.18130764910765601</v>
      </c>
      <c r="U741" s="29">
        <f t="shared" si="60"/>
        <v>0.21985060086565106</v>
      </c>
      <c r="V741" s="29">
        <f t="shared" si="61"/>
        <v>2.5752326737502598E-3</v>
      </c>
    </row>
    <row r="742" spans="18:22" x14ac:dyDescent="0.4">
      <c r="R742" s="28">
        <f t="shared" si="57"/>
        <v>57.359999999999133</v>
      </c>
      <c r="S742" s="29">
        <f t="shared" si="58"/>
        <v>6.6378357456648315E-2</v>
      </c>
      <c r="T742" s="29">
        <f t="shared" si="59"/>
        <v>0.18130764911762862</v>
      </c>
      <c r="U742" s="29">
        <f t="shared" si="60"/>
        <v>0.21986271167926083</v>
      </c>
      <c r="V742" s="29">
        <f t="shared" si="61"/>
        <v>2.5753796113873136E-3</v>
      </c>
    </row>
    <row r="743" spans="18:22" x14ac:dyDescent="0.4">
      <c r="R743" s="28">
        <f t="shared" si="57"/>
        <v>57.439999999999131</v>
      </c>
      <c r="S743" s="29">
        <f t="shared" si="58"/>
        <v>6.6378360024483107E-2</v>
      </c>
      <c r="T743" s="29">
        <f t="shared" si="59"/>
        <v>0.18130764912742131</v>
      </c>
      <c r="U743" s="29">
        <f t="shared" si="60"/>
        <v>0.21987474139205607</v>
      </c>
      <c r="V743" s="29">
        <f t="shared" si="61"/>
        <v>2.5755255650473682E-3</v>
      </c>
    </row>
    <row r="744" spans="18:22" x14ac:dyDescent="0.4">
      <c r="R744" s="28">
        <f t="shared" si="57"/>
        <v>57.519999999999129</v>
      </c>
      <c r="S744" s="29">
        <f t="shared" si="58"/>
        <v>6.6378362545994607E-2</v>
      </c>
      <c r="T744" s="29">
        <f t="shared" si="59"/>
        <v>0.18130764913703737</v>
      </c>
      <c r="U744" s="29">
        <f t="shared" si="60"/>
        <v>0.21988669054713336</v>
      </c>
      <c r="V744" s="29">
        <f t="shared" si="61"/>
        <v>2.5756705413196865E-3</v>
      </c>
    </row>
    <row r="745" spans="18:22" x14ac:dyDescent="0.4">
      <c r="R745" s="28">
        <f t="shared" si="57"/>
        <v>57.599999999999127</v>
      </c>
      <c r="S745" s="29">
        <f t="shared" si="58"/>
        <v>6.6378365022018479E-2</v>
      </c>
      <c r="T745" s="29">
        <f t="shared" si="59"/>
        <v>0.18130764914647993</v>
      </c>
      <c r="U745" s="29">
        <f t="shared" si="60"/>
        <v>0.21989855968395247</v>
      </c>
      <c r="V745" s="29">
        <f t="shared" si="61"/>
        <v>2.5758145467494054E-3</v>
      </c>
    </row>
    <row r="746" spans="18:22" x14ac:dyDescent="0.4">
      <c r="R746" s="28">
        <f t="shared" si="57"/>
        <v>57.679999999999126</v>
      </c>
      <c r="S746" s="29">
        <f t="shared" si="58"/>
        <v>6.6378367453375303E-2</v>
      </c>
      <c r="T746" s="29">
        <f t="shared" si="59"/>
        <v>0.18130764915575215</v>
      </c>
      <c r="U746" s="29">
        <f t="shared" si="60"/>
        <v>0.21991034933836059</v>
      </c>
      <c r="V746" s="29">
        <f t="shared" si="61"/>
        <v>2.5759575878378325E-3</v>
      </c>
    </row>
    <row r="747" spans="18:22" x14ac:dyDescent="0.4">
      <c r="R747" s="28">
        <f t="shared" si="57"/>
        <v>57.759999999999124</v>
      </c>
      <c r="S747" s="29">
        <f t="shared" si="58"/>
        <v>6.6378369840870866E-2</v>
      </c>
      <c r="T747" s="29">
        <f t="shared" si="59"/>
        <v>0.18130764916485712</v>
      </c>
      <c r="U747" s="29">
        <f t="shared" si="60"/>
        <v>0.21992206004261661</v>
      </c>
      <c r="V747" s="29">
        <f t="shared" si="61"/>
        <v>2.5760996710427393E-3</v>
      </c>
    </row>
    <row r="748" spans="18:22" x14ac:dyDescent="0.4">
      <c r="R748" s="28">
        <f t="shared" si="57"/>
        <v>57.839999999999122</v>
      </c>
      <c r="S748" s="29">
        <f t="shared" si="58"/>
        <v>6.6378372185296422E-2</v>
      </c>
      <c r="T748" s="29">
        <f t="shared" si="59"/>
        <v>0.18130764917379782</v>
      </c>
      <c r="U748" s="29">
        <f t="shared" si="60"/>
        <v>0.21993369232541504</v>
      </c>
      <c r="V748" s="29">
        <f t="shared" si="61"/>
        <v>2.5762408027786513E-3</v>
      </c>
    </row>
    <row r="749" spans="18:22" x14ac:dyDescent="0.4">
      <c r="R749" s="28">
        <f t="shared" si="57"/>
        <v>57.919999999999121</v>
      </c>
      <c r="S749" s="29">
        <f t="shared" si="58"/>
        <v>6.6378374487428948E-2</v>
      </c>
      <c r="T749" s="29">
        <f t="shared" si="59"/>
        <v>0.18130764918257725</v>
      </c>
      <c r="U749" s="29">
        <f t="shared" si="60"/>
        <v>0.2199452467119101</v>
      </c>
      <c r="V749" s="29">
        <f t="shared" si="61"/>
        <v>2.576380989417139E-3</v>
      </c>
    </row>
    <row r="750" spans="18:22" x14ac:dyDescent="0.4">
      <c r="R750" s="28">
        <f t="shared" si="57"/>
        <v>57.999999999999119</v>
      </c>
      <c r="S750" s="29">
        <f t="shared" si="58"/>
        <v>6.6378376748031404E-2</v>
      </c>
      <c r="T750" s="29">
        <f t="shared" si="59"/>
        <v>0.18130764919119829</v>
      </c>
      <c r="U750" s="29">
        <f t="shared" si="60"/>
        <v>0.21995672372373914</v>
      </c>
      <c r="V750" s="29">
        <f t="shared" si="61"/>
        <v>2.5765202372871067E-3</v>
      </c>
    </row>
    <row r="751" spans="18:22" x14ac:dyDescent="0.4">
      <c r="R751" s="28">
        <f t="shared" si="57"/>
        <v>58.079999999999117</v>
      </c>
      <c r="S751" s="29">
        <f t="shared" si="58"/>
        <v>6.637837896785298E-2</v>
      </c>
      <c r="T751" s="29">
        <f t="shared" si="59"/>
        <v>0.1813076491996638</v>
      </c>
      <c r="U751" s="29">
        <f t="shared" si="60"/>
        <v>0.21996812387904643</v>
      </c>
      <c r="V751" s="29">
        <f t="shared" si="61"/>
        <v>2.5766585526750757E-3</v>
      </c>
    </row>
    <row r="752" spans="18:22" x14ac:dyDescent="0.4">
      <c r="R752" s="28">
        <f t="shared" si="57"/>
        <v>58.159999999999116</v>
      </c>
      <c r="S752" s="29">
        <f t="shared" si="58"/>
        <v>6.6378381147629353E-2</v>
      </c>
      <c r="T752" s="29">
        <f t="shared" si="59"/>
        <v>0.1813076492079766</v>
      </c>
      <c r="U752" s="29">
        <f t="shared" si="60"/>
        <v>0.21997944769250641</v>
      </c>
      <c r="V752" s="29">
        <f t="shared" si="61"/>
        <v>2.5767959418254681E-3</v>
      </c>
    </row>
    <row r="753" spans="18:22" x14ac:dyDescent="0.4">
      <c r="R753" s="28">
        <f t="shared" si="57"/>
        <v>58.239999999999114</v>
      </c>
      <c r="S753" s="29">
        <f t="shared" si="58"/>
        <v>6.6378383288082932E-2</v>
      </c>
      <c r="T753" s="29">
        <f t="shared" si="59"/>
        <v>0.18130764921613945</v>
      </c>
      <c r="U753" s="29">
        <f t="shared" si="60"/>
        <v>0.21999069567534696</v>
      </c>
      <c r="V753" s="29">
        <f t="shared" si="61"/>
        <v>2.5769324109408921E-3</v>
      </c>
    </row>
    <row r="754" spans="18:22" x14ac:dyDescent="0.4">
      <c r="R754" s="28">
        <f t="shared" si="57"/>
        <v>58.319999999999112</v>
      </c>
      <c r="S754" s="29">
        <f t="shared" si="58"/>
        <v>6.6378385389923106E-2</v>
      </c>
      <c r="T754" s="29">
        <f t="shared" si="59"/>
        <v>0.18130764922415504</v>
      </c>
      <c r="U754" s="29">
        <f t="shared" si="60"/>
        <v>0.2200018683353725</v>
      </c>
      <c r="V754" s="29">
        <f t="shared" si="61"/>
        <v>2.5770679661824185E-3</v>
      </c>
    </row>
    <row r="755" spans="18:22" x14ac:dyDescent="0.4">
      <c r="R755" s="28">
        <f t="shared" si="57"/>
        <v>58.39999999999911</v>
      </c>
      <c r="S755" s="29">
        <f t="shared" si="58"/>
        <v>6.6378387453846444E-2</v>
      </c>
      <c r="T755" s="29">
        <f t="shared" si="59"/>
        <v>0.18130764923202605</v>
      </c>
      <c r="U755" s="29">
        <f t="shared" si="60"/>
        <v>0.22001296617698693</v>
      </c>
      <c r="V755" s="29">
        <f t="shared" si="61"/>
        <v>2.5772026136698604E-3</v>
      </c>
    </row>
    <row r="756" spans="18:22" x14ac:dyDescent="0.4">
      <c r="R756" s="28">
        <f t="shared" si="57"/>
        <v>58.479999999999109</v>
      </c>
      <c r="S756" s="29">
        <f t="shared" si="58"/>
        <v>6.6378389480536953E-2</v>
      </c>
      <c r="T756" s="29">
        <f t="shared" si="59"/>
        <v>0.18130764923975506</v>
      </c>
      <c r="U756" s="29">
        <f t="shared" si="60"/>
        <v>0.22002398970121637</v>
      </c>
      <c r="V756" s="29">
        <f t="shared" si="61"/>
        <v>2.5773363594820487E-3</v>
      </c>
    </row>
    <row r="757" spans="18:22" x14ac:dyDescent="0.4">
      <c r="R757" s="28">
        <f t="shared" si="57"/>
        <v>58.559999999999107</v>
      </c>
      <c r="S757" s="29">
        <f t="shared" si="58"/>
        <v>6.637839147066632E-2</v>
      </c>
      <c r="T757" s="29">
        <f t="shared" si="59"/>
        <v>0.18130764924734463</v>
      </c>
      <c r="U757" s="29">
        <f t="shared" si="60"/>
        <v>0.22003493940573177</v>
      </c>
      <c r="V757" s="29">
        <f t="shared" si="61"/>
        <v>2.5774692096571074E-3</v>
      </c>
    </row>
    <row r="758" spans="18:22" x14ac:dyDescent="0.4">
      <c r="R758" s="28">
        <f t="shared" si="57"/>
        <v>58.639999999999105</v>
      </c>
      <c r="S758" s="29">
        <f t="shared" si="58"/>
        <v>6.63783934248941E-2</v>
      </c>
      <c r="T758" s="29">
        <f t="shared" si="59"/>
        <v>0.18130764925479728</v>
      </c>
      <c r="U758" s="29">
        <f t="shared" si="60"/>
        <v>0.22004581578487142</v>
      </c>
      <c r="V758" s="29">
        <f t="shared" si="61"/>
        <v>2.5776011701927268E-3</v>
      </c>
    </row>
    <row r="759" spans="18:22" x14ac:dyDescent="0.4">
      <c r="R759" s="28">
        <f t="shared" si="57"/>
        <v>58.719999999999104</v>
      </c>
      <c r="S759" s="29">
        <f t="shared" si="58"/>
        <v>6.6378395343867941E-2</v>
      </c>
      <c r="T759" s="29">
        <f t="shared" si="59"/>
        <v>0.18130764926211548</v>
      </c>
      <c r="U759" s="29">
        <f t="shared" si="60"/>
        <v>0.22005661932966322</v>
      </c>
      <c r="V759" s="29">
        <f t="shared" si="61"/>
        <v>2.5777322470464316E-3</v>
      </c>
    </row>
    <row r="760" spans="18:22" x14ac:dyDescent="0.4">
      <c r="R760" s="28">
        <f t="shared" si="57"/>
        <v>58.799999999999102</v>
      </c>
      <c r="S760" s="29">
        <f t="shared" si="58"/>
        <v>6.637839722822382E-2</v>
      </c>
      <c r="T760" s="29">
        <f t="shared" si="59"/>
        <v>0.18130764926930168</v>
      </c>
      <c r="U760" s="29">
        <f t="shared" si="60"/>
        <v>0.2200673505278469</v>
      </c>
      <c r="V760" s="29">
        <f t="shared" si="61"/>
        <v>2.5778624461358524E-3</v>
      </c>
    </row>
    <row r="761" spans="18:22" x14ac:dyDescent="0.4">
      <c r="R761" s="28">
        <f t="shared" si="57"/>
        <v>58.8799999999991</v>
      </c>
      <c r="S761" s="29">
        <f t="shared" si="58"/>
        <v>6.6378399078586253E-2</v>
      </c>
      <c r="T761" s="29">
        <f t="shared" si="59"/>
        <v>0.18130764927635823</v>
      </c>
      <c r="U761" s="29">
        <f t="shared" si="60"/>
        <v>0.220078009863896</v>
      </c>
      <c r="V761" s="29">
        <f t="shared" si="61"/>
        <v>2.5779917733389922E-3</v>
      </c>
    </row>
    <row r="762" spans="18:22" x14ac:dyDescent="0.4">
      <c r="R762" s="28">
        <f t="shared" si="57"/>
        <v>58.959999999999098</v>
      </c>
      <c r="S762" s="29">
        <f t="shared" si="58"/>
        <v>6.6378400895568457E-2</v>
      </c>
      <c r="T762" s="29">
        <f t="shared" si="59"/>
        <v>0.18130764928328746</v>
      </c>
      <c r="U762" s="29">
        <f t="shared" si="60"/>
        <v>0.22008859781903975</v>
      </c>
      <c r="V762" s="29">
        <f t="shared" si="61"/>
        <v>2.5781202344944913E-3</v>
      </c>
    </row>
    <row r="763" spans="18:22" x14ac:dyDescent="0.4">
      <c r="R763" s="28">
        <f t="shared" si="57"/>
        <v>59.039999999999097</v>
      </c>
      <c r="S763" s="29">
        <f t="shared" si="58"/>
        <v>6.6378402679772616E-2</v>
      </c>
      <c r="T763" s="29">
        <f t="shared" si="59"/>
        <v>0.18130764929009172</v>
      </c>
      <c r="U763" s="29">
        <f t="shared" si="60"/>
        <v>0.22009911487128478</v>
      </c>
      <c r="V763" s="29">
        <f t="shared" si="61"/>
        <v>2.5782478354018914E-3</v>
      </c>
    </row>
    <row r="764" spans="18:22" x14ac:dyDescent="0.4">
      <c r="R764" s="28">
        <f t="shared" si="57"/>
        <v>59.119999999999095</v>
      </c>
      <c r="S764" s="29">
        <f t="shared" si="58"/>
        <v>6.637840443179005E-2</v>
      </c>
      <c r="T764" s="29">
        <f t="shared" si="59"/>
        <v>0.18130764929677323</v>
      </c>
      <c r="U764" s="29">
        <f t="shared" si="60"/>
        <v>0.22010956149543673</v>
      </c>
      <c r="V764" s="29">
        <f t="shared" si="61"/>
        <v>2.5783745818218971E-3</v>
      </c>
    </row>
    <row r="765" spans="18:22" x14ac:dyDescent="0.4">
      <c r="R765" s="28">
        <f t="shared" si="57"/>
        <v>59.199999999999093</v>
      </c>
      <c r="S765" s="29">
        <f t="shared" si="58"/>
        <v>6.6378406152201391E-2</v>
      </c>
      <c r="T765" s="29">
        <f t="shared" si="59"/>
        <v>0.18130764930333421</v>
      </c>
      <c r="U765" s="29">
        <f t="shared" si="60"/>
        <v>0.22011993816312167</v>
      </c>
      <c r="V765" s="29">
        <f t="shared" si="61"/>
        <v>2.5785004794766355E-3</v>
      </c>
    </row>
    <row r="766" spans="18:22" x14ac:dyDescent="0.4">
      <c r="R766" s="28">
        <f t="shared" si="57"/>
        <v>59.279999999999092</v>
      </c>
      <c r="S766" s="29">
        <f t="shared" si="58"/>
        <v>6.6378407841576809E-2</v>
      </c>
      <c r="T766" s="29">
        <f t="shared" si="59"/>
        <v>0.18130764930977683</v>
      </c>
      <c r="U766" s="29">
        <f t="shared" si="60"/>
        <v>0.22013024534280742</v>
      </c>
      <c r="V766" s="29">
        <f t="shared" si="61"/>
        <v>2.578625534049916E-3</v>
      </c>
    </row>
    <row r="767" spans="18:22" x14ac:dyDescent="0.4">
      <c r="R767" s="28">
        <f t="shared" si="57"/>
        <v>59.35999999999909</v>
      </c>
      <c r="S767" s="29">
        <f t="shared" si="58"/>
        <v>6.6378409500476174E-2</v>
      </c>
      <c r="T767" s="29">
        <f t="shared" si="59"/>
        <v>0.18130764931610321</v>
      </c>
      <c r="U767" s="29">
        <f t="shared" si="60"/>
        <v>0.22014048349982468</v>
      </c>
      <c r="V767" s="29">
        <f t="shared" si="61"/>
        <v>2.5787497511874859E-3</v>
      </c>
    </row>
    <row r="768" spans="18:22" x14ac:dyDescent="0.4">
      <c r="R768" s="28">
        <f t="shared" si="57"/>
        <v>59.439999999999088</v>
      </c>
      <c r="S768" s="29">
        <f t="shared" si="58"/>
        <v>6.6378411129449283E-2</v>
      </c>
      <c r="T768" s="29">
        <f t="shared" si="59"/>
        <v>0.1813076493223155</v>
      </c>
      <c r="U768" s="29">
        <f t="shared" si="60"/>
        <v>0.22015065309638801</v>
      </c>
      <c r="V768" s="29">
        <f t="shared" si="61"/>
        <v>2.578873136497285E-3</v>
      </c>
    </row>
    <row r="769" spans="18:22" x14ac:dyDescent="0.4">
      <c r="R769" s="28">
        <f t="shared" si="57"/>
        <v>59.519999999999087</v>
      </c>
      <c r="S769" s="29">
        <f t="shared" si="58"/>
        <v>6.6378412729035996E-2</v>
      </c>
      <c r="T769" s="29">
        <f t="shared" si="59"/>
        <v>0.18130764932841567</v>
      </c>
      <c r="U769" s="29">
        <f t="shared" si="60"/>
        <v>0.22016075459161674</v>
      </c>
      <c r="V769" s="29">
        <f t="shared" si="61"/>
        <v>2.5789956955497E-3</v>
      </c>
    </row>
    <row r="770" spans="18:22" x14ac:dyDescent="0.4">
      <c r="R770" s="28">
        <f t="shared" si="57"/>
        <v>59.599999999999085</v>
      </c>
      <c r="S770" s="29">
        <f t="shared" si="58"/>
        <v>6.6378414299766444E-2</v>
      </c>
      <c r="T770" s="29">
        <f t="shared" si="59"/>
        <v>0.18130764933440582</v>
      </c>
      <c r="U770" s="29">
        <f t="shared" si="60"/>
        <v>0.22017078844155566</v>
      </c>
      <c r="V770" s="29">
        <f t="shared" si="61"/>
        <v>2.5791174338778136E-3</v>
      </c>
    </row>
    <row r="771" spans="18:22" x14ac:dyDescent="0.4">
      <c r="R771" s="28">
        <f t="shared" si="57"/>
        <v>59.679999999999083</v>
      </c>
      <c r="S771" s="29">
        <f t="shared" si="58"/>
        <v>6.6378415842161184E-2</v>
      </c>
      <c r="T771" s="29">
        <f t="shared" si="59"/>
        <v>0.18130764934028792</v>
      </c>
      <c r="U771" s="29">
        <f t="shared" si="60"/>
        <v>0.22018075509919563</v>
      </c>
      <c r="V771" s="29">
        <f t="shared" si="61"/>
        <v>2.5792383569776573E-3</v>
      </c>
    </row>
    <row r="772" spans="18:22" x14ac:dyDescent="0.4">
      <c r="R772" s="28">
        <f t="shared" si="57"/>
        <v>59.759999999999081</v>
      </c>
      <c r="S772" s="29">
        <f t="shared" si="58"/>
        <v>6.637841735673139E-2</v>
      </c>
      <c r="T772" s="29">
        <f t="shared" si="59"/>
        <v>0.18130764934606391</v>
      </c>
      <c r="U772" s="29">
        <f t="shared" si="60"/>
        <v>0.22019065501449406</v>
      </c>
      <c r="V772" s="29">
        <f t="shared" si="61"/>
        <v>2.5793584703084575E-3</v>
      </c>
    </row>
    <row r="773" spans="18:22" x14ac:dyDescent="0.4">
      <c r="R773" s="28">
        <f t="shared" si="57"/>
        <v>59.83999999999908</v>
      </c>
      <c r="S773" s="29">
        <f t="shared" si="58"/>
        <v>6.6378418843979006E-2</v>
      </c>
      <c r="T773" s="29">
        <f t="shared" si="59"/>
        <v>0.18130764935173568</v>
      </c>
      <c r="U773" s="29">
        <f t="shared" si="60"/>
        <v>0.22020048863439515</v>
      </c>
      <c r="V773" s="29">
        <f t="shared" si="61"/>
        <v>2.579477779292883E-3</v>
      </c>
    </row>
    <row r="774" spans="18:22" x14ac:dyDescent="0.4">
      <c r="R774" s="28">
        <f t="shared" si="57"/>
        <v>59.919999999999078</v>
      </c>
      <c r="S774" s="29">
        <f t="shared" si="58"/>
        <v>6.6378420304396932E-2</v>
      </c>
      <c r="T774" s="29">
        <f t="shared" si="59"/>
        <v>0.18130764935730515</v>
      </c>
      <c r="U774" s="29">
        <f t="shared" si="60"/>
        <v>0.22021025640285014</v>
      </c>
      <c r="V774" s="29">
        <f t="shared" si="61"/>
        <v>2.5795962893172893E-3</v>
      </c>
    </row>
    <row r="775" spans="18:22" x14ac:dyDescent="0.4">
      <c r="R775" s="28">
        <f t="shared" si="57"/>
        <v>59.999999999999076</v>
      </c>
      <c r="S775" s="29">
        <f t="shared" si="58"/>
        <v>6.6378421738469182E-2</v>
      </c>
      <c r="T775" s="29">
        <f t="shared" si="59"/>
        <v>0.1813076493627741</v>
      </c>
      <c r="U775" s="29">
        <f t="shared" si="60"/>
        <v>0.22021995876083733</v>
      </c>
      <c r="V775" s="29">
        <f t="shared" si="61"/>
        <v>2.5797140057319612E-3</v>
      </c>
    </row>
    <row r="776" spans="18:22" x14ac:dyDescent="0.4">
      <c r="R776" s="28">
        <f t="shared" si="57"/>
        <v>60.079999999999075</v>
      </c>
      <c r="S776" s="29">
        <f t="shared" si="58"/>
        <v>6.6378423146671015E-2</v>
      </c>
      <c r="T776" s="29">
        <f t="shared" si="59"/>
        <v>0.18130764936814442</v>
      </c>
      <c r="U776" s="29">
        <f t="shared" si="60"/>
        <v>0.22022959614638193</v>
      </c>
      <c r="V776" s="29">
        <f t="shared" si="61"/>
        <v>2.5798309338513552E-3</v>
      </c>
    </row>
    <row r="777" spans="18:22" x14ac:dyDescent="0.4">
      <c r="R777" s="28">
        <f t="shared" si="57"/>
        <v>60.159999999999073</v>
      </c>
      <c r="S777" s="29">
        <f t="shared" si="58"/>
        <v>6.6378424529469127E-2</v>
      </c>
      <c r="T777" s="29">
        <f t="shared" si="59"/>
        <v>0.18130764937341787</v>
      </c>
      <c r="U777" s="29">
        <f t="shared" si="60"/>
        <v>0.22023916899457593</v>
      </c>
      <c r="V777" s="29">
        <f t="shared" si="61"/>
        <v>2.5799470789543396E-3</v>
      </c>
    </row>
    <row r="778" spans="18:22" x14ac:dyDescent="0.4">
      <c r="R778" s="28">
        <f t="shared" si="57"/>
        <v>60.239999999999071</v>
      </c>
      <c r="S778" s="29">
        <f t="shared" si="58"/>
        <v>6.637842588732179E-2</v>
      </c>
      <c r="T778" s="29">
        <f t="shared" si="59"/>
        <v>0.18130764937859617</v>
      </c>
      <c r="U778" s="29">
        <f t="shared" si="60"/>
        <v>0.22024867773759774</v>
      </c>
      <c r="V778" s="29">
        <f t="shared" si="61"/>
        <v>2.5800624462844327E-3</v>
      </c>
    </row>
    <row r="779" spans="18:22" x14ac:dyDescent="0.4">
      <c r="R779" s="28">
        <f t="shared" si="57"/>
        <v>60.319999999999069</v>
      </c>
      <c r="S779" s="29">
        <f t="shared" si="58"/>
        <v>6.6378427220679034E-2</v>
      </c>
      <c r="T779" s="29">
        <f t="shared" si="59"/>
        <v>0.18130764938368105</v>
      </c>
      <c r="U779" s="29">
        <f t="shared" si="60"/>
        <v>0.22025812280473153</v>
      </c>
      <c r="V779" s="29">
        <f t="shared" si="61"/>
        <v>2.5801770410500378E-3</v>
      </c>
    </row>
    <row r="780" spans="18:22" x14ac:dyDescent="0.4">
      <c r="R780" s="28">
        <f t="shared" si="57"/>
        <v>60.399999999999068</v>
      </c>
      <c r="S780" s="29">
        <f t="shared" si="58"/>
        <v>6.6378428529982741E-2</v>
      </c>
      <c r="T780" s="29">
        <f t="shared" si="59"/>
        <v>0.18130764938867422</v>
      </c>
      <c r="U780" s="29">
        <f t="shared" si="60"/>
        <v>0.22026750462238689</v>
      </c>
      <c r="V780" s="29">
        <f t="shared" si="61"/>
        <v>2.5802908684246814E-3</v>
      </c>
    </row>
    <row r="781" spans="18:22" x14ac:dyDescent="0.4">
      <c r="R781" s="28">
        <f t="shared" si="57"/>
        <v>60.479999999999066</v>
      </c>
      <c r="S781" s="29">
        <f t="shared" si="58"/>
        <v>6.6378429815666828E-2</v>
      </c>
      <c r="T781" s="29">
        <f t="shared" si="59"/>
        <v>0.18130764939357732</v>
      </c>
      <c r="U781" s="29">
        <f t="shared" si="60"/>
        <v>0.22027682361411788</v>
      </c>
      <c r="V781" s="29">
        <f t="shared" si="61"/>
        <v>2.5804039335472445E-3</v>
      </c>
    </row>
    <row r="782" spans="18:22" x14ac:dyDescent="0.4">
      <c r="R782" s="28">
        <f t="shared" si="57"/>
        <v>60.559999999999064</v>
      </c>
      <c r="S782" s="29">
        <f t="shared" si="58"/>
        <v>6.6378431078157399E-2</v>
      </c>
      <c r="T782" s="29">
        <f t="shared" si="59"/>
        <v>0.18130764939839197</v>
      </c>
      <c r="U782" s="29">
        <f t="shared" si="60"/>
        <v>0.22028608020064214</v>
      </c>
      <c r="V782" s="29">
        <f t="shared" si="61"/>
        <v>2.5805162415221952E-3</v>
      </c>
    </row>
    <row r="783" spans="18:22" x14ac:dyDescent="0.4">
      <c r="R783" s="28">
        <f t="shared" si="57"/>
        <v>60.639999999999063</v>
      </c>
      <c r="S783" s="29">
        <f t="shared" si="58"/>
        <v>6.6378432317872854E-2</v>
      </c>
      <c r="T783" s="29">
        <f t="shared" si="59"/>
        <v>0.18130764940311975</v>
      </c>
      <c r="U783" s="29">
        <f t="shared" si="60"/>
        <v>0.22029527479986002</v>
      </c>
      <c r="V783" s="29">
        <f t="shared" si="61"/>
        <v>2.5806277974198197E-3</v>
      </c>
    </row>
    <row r="784" spans="18:22" x14ac:dyDescent="0.4">
      <c r="R784" s="28">
        <f t="shared" si="57"/>
        <v>60.719999999999061</v>
      </c>
      <c r="S784" s="29">
        <f t="shared" si="58"/>
        <v>6.637843353522406E-2</v>
      </c>
      <c r="T784" s="29">
        <f t="shared" si="59"/>
        <v>0.18130764940776226</v>
      </c>
      <c r="U784" s="29">
        <f t="shared" si="60"/>
        <v>0.22030440782687338</v>
      </c>
      <c r="V784" s="29">
        <f t="shared" si="61"/>
        <v>2.58073860627645E-3</v>
      </c>
    </row>
    <row r="785" spans="18:22" x14ac:dyDescent="0.4">
      <c r="R785" s="28">
        <f t="shared" si="57"/>
        <v>60.799999999999059</v>
      </c>
      <c r="S785" s="29">
        <f t="shared" si="58"/>
        <v>6.6378434730614458E-2</v>
      </c>
      <c r="T785" s="29">
        <f t="shared" si="59"/>
        <v>0.181307649412321</v>
      </c>
      <c r="U785" s="29">
        <f t="shared" si="60"/>
        <v>0.22031347969400428</v>
      </c>
      <c r="V785" s="29">
        <f t="shared" si="61"/>
        <v>2.5808486730946926E-3</v>
      </c>
    </row>
    <row r="786" spans="18:22" x14ac:dyDescent="0.4">
      <c r="R786" s="28">
        <f t="shared" si="57"/>
        <v>60.879999999999058</v>
      </c>
      <c r="S786" s="29">
        <f t="shared" si="58"/>
        <v>6.6378435904440217E-2</v>
      </c>
      <c r="T786" s="29">
        <f t="shared" si="59"/>
        <v>0.1813076494167975</v>
      </c>
      <c r="U786" s="29">
        <f t="shared" si="60"/>
        <v>0.22032249081081365</v>
      </c>
      <c r="V786" s="29">
        <f t="shared" si="61"/>
        <v>2.5809580028436532E-3</v>
      </c>
    </row>
    <row r="787" spans="18:22" x14ac:dyDescent="0.4">
      <c r="R787" s="28">
        <f t="shared" si="57"/>
        <v>60.959999999999056</v>
      </c>
      <c r="S787" s="29">
        <f t="shared" si="58"/>
        <v>6.6378437057090373E-2</v>
      </c>
      <c r="T787" s="29">
        <f t="shared" si="59"/>
        <v>0.18130764942119326</v>
      </c>
      <c r="U787" s="29">
        <f t="shared" si="60"/>
        <v>0.2203314415841198</v>
      </c>
      <c r="V787" s="29">
        <f t="shared" si="61"/>
        <v>2.5810666004591623E-3</v>
      </c>
    </row>
    <row r="788" spans="18:22" x14ac:dyDescent="0.4">
      <c r="R788" s="28">
        <f t="shared" si="57"/>
        <v>61.039999999999054</v>
      </c>
      <c r="S788" s="29">
        <f t="shared" si="58"/>
        <v>6.6378438188946912E-2</v>
      </c>
      <c r="T788" s="29">
        <f t="shared" si="59"/>
        <v>0.1813076494255097</v>
      </c>
      <c r="U788" s="29">
        <f t="shared" si="60"/>
        <v>0.2203403324180167</v>
      </c>
      <c r="V788" s="29">
        <f t="shared" si="61"/>
        <v>2.5811744708439969E-3</v>
      </c>
    </row>
    <row r="789" spans="18:22" x14ac:dyDescent="0.4">
      <c r="R789" s="28">
        <f t="shared" si="57"/>
        <v>61.119999999999052</v>
      </c>
      <c r="S789" s="29">
        <f t="shared" si="58"/>
        <v>6.637843930038495E-2</v>
      </c>
      <c r="T789" s="29">
        <f t="shared" si="59"/>
        <v>0.18130764942974828</v>
      </c>
      <c r="U789" s="29">
        <f t="shared" si="60"/>
        <v>0.22034916371389235</v>
      </c>
      <c r="V789" s="29">
        <f t="shared" si="61"/>
        <v>2.5812816188681021E-3</v>
      </c>
    </row>
    <row r="790" spans="18:22" x14ac:dyDescent="0.4">
      <c r="R790" s="28">
        <f t="shared" si="57"/>
        <v>61.199999999999051</v>
      </c>
      <c r="S790" s="29">
        <f t="shared" si="58"/>
        <v>6.6378440391772847E-2</v>
      </c>
      <c r="T790" s="29">
        <f t="shared" si="59"/>
        <v>0.1813076494339104</v>
      </c>
      <c r="U790" s="29">
        <f t="shared" si="60"/>
        <v>0.22035793587044677</v>
      </c>
      <c r="V790" s="29">
        <f t="shared" si="61"/>
        <v>2.5813880493688111E-3</v>
      </c>
    </row>
    <row r="791" spans="18:22" x14ac:dyDescent="0.4">
      <c r="R791" s="28">
        <f t="shared" si="57"/>
        <v>61.279999999999049</v>
      </c>
      <c r="S791" s="29">
        <f t="shared" si="58"/>
        <v>6.6378441463472285E-2</v>
      </c>
      <c r="T791" s="29">
        <f t="shared" si="59"/>
        <v>0.18130764943799743</v>
      </c>
      <c r="U791" s="29">
        <f t="shared" si="60"/>
        <v>0.22036664928371014</v>
      </c>
      <c r="V791" s="29">
        <f t="shared" si="61"/>
        <v>2.5814937671510634E-3</v>
      </c>
    </row>
    <row r="792" spans="18:22" x14ac:dyDescent="0.4">
      <c r="R792" s="28">
        <f t="shared" si="57"/>
        <v>61.359999999999047</v>
      </c>
      <c r="S792" s="29">
        <f t="shared" si="58"/>
        <v>6.6378442515838451E-2</v>
      </c>
      <c r="T792" s="29">
        <f t="shared" si="59"/>
        <v>0.18130764944201075</v>
      </c>
      <c r="U792" s="29">
        <f t="shared" si="60"/>
        <v>0.22037530434706049</v>
      </c>
      <c r="V792" s="29">
        <f t="shared" si="61"/>
        <v>2.5815987769876232E-3</v>
      </c>
    </row>
    <row r="793" spans="18:22" x14ac:dyDescent="0.4">
      <c r="R793" s="28">
        <f t="shared" si="57"/>
        <v>61.439999999999046</v>
      </c>
      <c r="S793" s="29">
        <f t="shared" si="58"/>
        <v>6.6378443549220123E-2</v>
      </c>
      <c r="T793" s="29">
        <f t="shared" si="59"/>
        <v>0.18130764944595168</v>
      </c>
      <c r="U793" s="29">
        <f t="shared" si="60"/>
        <v>0.22038390145124165</v>
      </c>
      <c r="V793" s="29">
        <f t="shared" si="61"/>
        <v>2.5817030836192919E-3</v>
      </c>
    </row>
    <row r="794" spans="18:22" x14ac:dyDescent="0.4">
      <c r="R794" s="28">
        <f t="shared" ref="R794:R857" si="62">R793+$S$22</f>
        <v>61.519999999999044</v>
      </c>
      <c r="S794" s="29">
        <f t="shared" ref="S794:S857" si="63">IF(S$13,S793*S$18+(S$14+S$15*IF(S$17,$D$71,0))*S$19,NA())</f>
        <v>6.6378444563959763E-2</v>
      </c>
      <c r="T794" s="29">
        <f t="shared" ref="T794:T857" si="64">IF(T$13,T793*T$18+(T$14+T$15*IF(T$17,$D$71,(S793+S794)/2))*T$19,NA())</f>
        <v>0.1813076494498215</v>
      </c>
      <c r="U794" s="29">
        <f t="shared" ref="U794:U857" si="65">IF(U$13,U793*U$18+(U$14+U$15*IF(U$17,$D$71,(T793+T794)/2))*U$19,NA())</f>
        <v>0.22039244098438079</v>
      </c>
      <c r="V794" s="29">
        <f t="shared" ref="V794:V857" si="66">IF(V$13,V793*V$18+(V$14+V$15*IF(V$17,$D$71,(U793+U794)/2))*V$19,NA())</f>
        <v>2.5818066917551248E-3</v>
      </c>
    </row>
    <row r="795" spans="18:22" x14ac:dyDescent="0.4">
      <c r="R795" s="28">
        <f t="shared" si="62"/>
        <v>61.599999999999042</v>
      </c>
      <c r="S795" s="29">
        <f t="shared" si="63"/>
        <v>6.637844556039367E-2</v>
      </c>
      <c r="T795" s="29">
        <f t="shared" si="64"/>
        <v>0.18130764945362152</v>
      </c>
      <c r="U795" s="29">
        <f t="shared" si="65"/>
        <v>0.22040092333200595</v>
      </c>
      <c r="V795" s="29">
        <f t="shared" si="66"/>
        <v>2.5819096060726424E-3</v>
      </c>
    </row>
    <row r="796" spans="18:22" x14ac:dyDescent="0.4">
      <c r="R796" s="28">
        <f t="shared" si="62"/>
        <v>61.67999999999904</v>
      </c>
      <c r="S796" s="29">
        <f t="shared" si="63"/>
        <v>6.6378446538852082E-2</v>
      </c>
      <c r="T796" s="29">
        <f t="shared" si="64"/>
        <v>0.18130764945735298</v>
      </c>
      <c r="U796" s="29">
        <f t="shared" si="65"/>
        <v>0.22040934887706345</v>
      </c>
      <c r="V796" s="29">
        <f t="shared" si="66"/>
        <v>2.5820118312180423E-3</v>
      </c>
    </row>
    <row r="797" spans="18:22" x14ac:dyDescent="0.4">
      <c r="R797" s="28">
        <f t="shared" si="62"/>
        <v>61.759999999999039</v>
      </c>
      <c r="S797" s="29">
        <f t="shared" si="63"/>
        <v>6.6378447499659279E-2</v>
      </c>
      <c r="T797" s="29">
        <f t="shared" si="64"/>
        <v>0.18130764946101713</v>
      </c>
      <c r="U797" s="29">
        <f t="shared" si="65"/>
        <v>0.22041771799993526</v>
      </c>
      <c r="V797" s="29">
        <f t="shared" si="66"/>
        <v>2.5821133718064077E-3</v>
      </c>
    </row>
    <row r="798" spans="18:22" x14ac:dyDescent="0.4">
      <c r="R798" s="28">
        <f t="shared" si="62"/>
        <v>61.839999999999037</v>
      </c>
      <c r="S798" s="29">
        <f t="shared" si="63"/>
        <v>6.6378448443133675E-2</v>
      </c>
      <c r="T798" s="29">
        <f t="shared" si="64"/>
        <v>0.18130764946461517</v>
      </c>
      <c r="U798" s="29">
        <f t="shared" si="65"/>
        <v>0.22042603107845601</v>
      </c>
      <c r="V798" s="29">
        <f t="shared" si="66"/>
        <v>2.5822142324219183E-3</v>
      </c>
    </row>
    <row r="799" spans="18:22" x14ac:dyDescent="0.4">
      <c r="R799" s="28">
        <f t="shared" si="62"/>
        <v>61.919999999999035</v>
      </c>
      <c r="S799" s="29">
        <f t="shared" si="63"/>
        <v>6.6378449369587963E-2</v>
      </c>
      <c r="T799" s="29">
        <f t="shared" si="64"/>
        <v>0.18130764946814829</v>
      </c>
      <c r="U799" s="29">
        <f t="shared" si="65"/>
        <v>0.22043428848793015</v>
      </c>
      <c r="V799" s="29">
        <f t="shared" si="66"/>
        <v>2.5823144176180535E-3</v>
      </c>
    </row>
    <row r="800" spans="18:22" x14ac:dyDescent="0.4">
      <c r="R800" s="28">
        <f t="shared" si="62"/>
        <v>61.999999999999034</v>
      </c>
      <c r="S800" s="29">
        <f t="shared" si="63"/>
        <v>6.6378450279329176E-2</v>
      </c>
      <c r="T800" s="29">
        <f t="shared" si="64"/>
        <v>0.18130764947161768</v>
      </c>
      <c r="U800" s="29">
        <f t="shared" si="65"/>
        <v>0.2204424906011489</v>
      </c>
      <c r="V800" s="29">
        <f t="shared" si="66"/>
        <v>2.5824139319178016E-3</v>
      </c>
    </row>
    <row r="801" spans="18:22" x14ac:dyDescent="0.4">
      <c r="R801" s="28">
        <f t="shared" si="62"/>
        <v>62.079999999999032</v>
      </c>
      <c r="S801" s="29">
        <f t="shared" si="63"/>
        <v>6.6378451172658809E-2</v>
      </c>
      <c r="T801" s="29">
        <f t="shared" si="64"/>
        <v>0.18130764947502448</v>
      </c>
      <c r="U801" s="29">
        <f t="shared" si="65"/>
        <v>0.22045063778840709</v>
      </c>
      <c r="V801" s="29">
        <f t="shared" si="66"/>
        <v>2.5825127798138614E-3</v>
      </c>
    </row>
    <row r="802" spans="18:22" x14ac:dyDescent="0.4">
      <c r="R802" s="28">
        <f t="shared" si="62"/>
        <v>62.15999999999903</v>
      </c>
      <c r="S802" s="29">
        <f t="shared" si="63"/>
        <v>6.637845204987293E-2</v>
      </c>
      <c r="T802" s="29">
        <f t="shared" si="64"/>
        <v>0.18130764947836983</v>
      </c>
      <c r="U802" s="29">
        <f t="shared" si="65"/>
        <v>0.22045873041751982</v>
      </c>
      <c r="V802" s="29">
        <f t="shared" si="66"/>
        <v>2.5826109657688463E-3</v>
      </c>
    </row>
    <row r="803" spans="18:22" x14ac:dyDescent="0.4">
      <c r="R803" s="28">
        <f t="shared" si="62"/>
        <v>62.239999999999029</v>
      </c>
      <c r="S803" s="29">
        <f t="shared" si="63"/>
        <v>6.6378452911262251E-2</v>
      </c>
      <c r="T803" s="29">
        <f t="shared" si="64"/>
        <v>0.18130764948165481</v>
      </c>
      <c r="U803" s="29">
        <f t="shared" si="65"/>
        <v>0.22046676885383903</v>
      </c>
      <c r="V803" s="29">
        <f t="shared" si="66"/>
        <v>2.5827084942154862E-3</v>
      </c>
    </row>
    <row r="804" spans="18:22" x14ac:dyDescent="0.4">
      <c r="R804" s="28">
        <f t="shared" si="62"/>
        <v>62.319999999999027</v>
      </c>
      <c r="S804" s="29">
        <f t="shared" si="63"/>
        <v>6.6378453757112266E-2</v>
      </c>
      <c r="T804" s="29">
        <f t="shared" si="64"/>
        <v>0.18130764948488054</v>
      </c>
      <c r="U804" s="29">
        <f t="shared" si="65"/>
        <v>0.22047475346027021</v>
      </c>
      <c r="V804" s="29">
        <f t="shared" si="66"/>
        <v>2.5828053695568262E-3</v>
      </c>
    </row>
    <row r="805" spans="18:22" x14ac:dyDescent="0.4">
      <c r="R805" s="28">
        <f t="shared" si="62"/>
        <v>62.399999999999025</v>
      </c>
      <c r="S805" s="29">
        <f t="shared" si="63"/>
        <v>6.6378454587703292E-2</v>
      </c>
      <c r="T805" s="29">
        <f t="shared" si="64"/>
        <v>0.18130764948804809</v>
      </c>
      <c r="U805" s="29">
        <f t="shared" si="65"/>
        <v>0.22048268459728851</v>
      </c>
      <c r="V805" s="29">
        <f t="shared" si="66"/>
        <v>2.5829015961664264E-3</v>
      </c>
    </row>
    <row r="806" spans="18:22" x14ac:dyDescent="0.4">
      <c r="R806" s="28">
        <f t="shared" si="62"/>
        <v>62.479999999999023</v>
      </c>
      <c r="S806" s="29">
        <f t="shared" si="63"/>
        <v>6.6378455403310596E-2</v>
      </c>
      <c r="T806" s="29">
        <f t="shared" si="64"/>
        <v>0.18130764949115849</v>
      </c>
      <c r="U806" s="29">
        <f t="shared" si="65"/>
        <v>0.22049056262295513</v>
      </c>
      <c r="V806" s="29">
        <f t="shared" si="66"/>
        <v>2.5829971783885596E-3</v>
      </c>
    </row>
    <row r="807" spans="18:22" x14ac:dyDescent="0.4">
      <c r="R807" s="28">
        <f t="shared" si="62"/>
        <v>62.559999999999022</v>
      </c>
      <c r="S807" s="29">
        <f t="shared" si="63"/>
        <v>6.6378456204204489E-2</v>
      </c>
      <c r="T807" s="29">
        <f t="shared" si="64"/>
        <v>0.18130764949421277</v>
      </c>
      <c r="U807" s="29">
        <f t="shared" si="65"/>
        <v>0.22049838789293355</v>
      </c>
      <c r="V807" s="29">
        <f t="shared" si="66"/>
        <v>2.5830921205384056E-3</v>
      </c>
    </row>
    <row r="808" spans="18:22" x14ac:dyDescent="0.4">
      <c r="R808" s="28">
        <f t="shared" si="62"/>
        <v>62.63999999999902</v>
      </c>
      <c r="S808" s="29">
        <f t="shared" si="63"/>
        <v>6.6378456990650397E-2</v>
      </c>
      <c r="T808" s="29">
        <f t="shared" si="64"/>
        <v>0.18130764949721195</v>
      </c>
      <c r="U808" s="29">
        <f t="shared" si="65"/>
        <v>0.22050616076050553</v>
      </c>
      <c r="V808" s="29">
        <f t="shared" si="66"/>
        <v>2.5831864269022483E-3</v>
      </c>
    </row>
    <row r="809" spans="18:22" x14ac:dyDescent="0.4">
      <c r="R809" s="28">
        <f t="shared" si="62"/>
        <v>62.719999999999018</v>
      </c>
      <c r="S809" s="29">
        <f t="shared" si="63"/>
        <v>6.6378457762908946E-2</v>
      </c>
      <c r="T809" s="29">
        <f t="shared" si="64"/>
        <v>0.18130764950015704</v>
      </c>
      <c r="U809" s="29">
        <f t="shared" si="65"/>
        <v>0.220513881576587</v>
      </c>
      <c r="V809" s="29">
        <f t="shared" si="66"/>
        <v>2.5832801017376681E-3</v>
      </c>
    </row>
    <row r="810" spans="18:22" x14ac:dyDescent="0.4">
      <c r="R810" s="28">
        <f t="shared" si="62"/>
        <v>62.799999999999017</v>
      </c>
      <c r="S810" s="29">
        <f t="shared" si="63"/>
        <v>6.6378458521236083E-2</v>
      </c>
      <c r="T810" s="29">
        <f t="shared" si="64"/>
        <v>0.18130764950304901</v>
      </c>
      <c r="U810" s="29">
        <f t="shared" si="65"/>
        <v>0.22052155068974402</v>
      </c>
      <c r="V810" s="29">
        <f t="shared" si="66"/>
        <v>2.5833731492737348E-3</v>
      </c>
    </row>
    <row r="811" spans="18:22" x14ac:dyDescent="0.4">
      <c r="R811" s="28">
        <f t="shared" si="62"/>
        <v>62.879999999999015</v>
      </c>
      <c r="S811" s="29">
        <f t="shared" si="63"/>
        <v>6.6378459265883136E-2</v>
      </c>
      <c r="T811" s="29">
        <f t="shared" si="64"/>
        <v>0.18130764950588879</v>
      </c>
      <c r="U811" s="29">
        <f t="shared" si="65"/>
        <v>0.2205291684462084</v>
      </c>
      <c r="V811" s="29">
        <f t="shared" si="66"/>
        <v>2.5834655737111967E-3</v>
      </c>
    </row>
    <row r="812" spans="18:22" x14ac:dyDescent="0.4">
      <c r="R812" s="28">
        <f t="shared" si="62"/>
        <v>62.959999999999013</v>
      </c>
      <c r="S812" s="29">
        <f t="shared" si="63"/>
        <v>6.6378459997096878E-2</v>
      </c>
      <c r="T812" s="29">
        <f t="shared" si="64"/>
        <v>0.18130764950867737</v>
      </c>
      <c r="U812" s="29">
        <f t="shared" si="65"/>
        <v>0.22053673518989342</v>
      </c>
      <c r="V812" s="29">
        <f t="shared" si="66"/>
        <v>2.583557379222673E-3</v>
      </c>
    </row>
    <row r="813" spans="18:22" x14ac:dyDescent="0.4">
      <c r="R813" s="28">
        <f t="shared" si="62"/>
        <v>63.039999999999011</v>
      </c>
      <c r="S813" s="29">
        <f t="shared" si="63"/>
        <v>6.6378460715119658E-2</v>
      </c>
      <c r="T813" s="29">
        <f t="shared" si="64"/>
        <v>0.18130764951141562</v>
      </c>
      <c r="U813" s="29">
        <f t="shared" si="65"/>
        <v>0.22054425126240934</v>
      </c>
      <c r="V813" s="29">
        <f t="shared" si="66"/>
        <v>2.5836485699528393E-3</v>
      </c>
    </row>
    <row r="814" spans="18:22" x14ac:dyDescent="0.4">
      <c r="R814" s="28">
        <f t="shared" si="62"/>
        <v>63.11999999999901</v>
      </c>
      <c r="S814" s="29">
        <f t="shared" si="63"/>
        <v>6.6378461420189425E-2</v>
      </c>
      <c r="T814" s="29">
        <f t="shared" si="64"/>
        <v>0.1813076495141045</v>
      </c>
      <c r="U814" s="29">
        <f t="shared" si="65"/>
        <v>0.22055171700307877</v>
      </c>
      <c r="V814" s="29">
        <f t="shared" si="66"/>
        <v>2.5837391500186167E-3</v>
      </c>
    </row>
    <row r="815" spans="18:22" x14ac:dyDescent="0.4">
      <c r="R815" s="28">
        <f t="shared" si="62"/>
        <v>63.199999999999008</v>
      </c>
      <c r="S815" s="29">
        <f t="shared" si="63"/>
        <v>6.6378462112539852E-2</v>
      </c>
      <c r="T815" s="29">
        <f t="shared" si="64"/>
        <v>0.18130764951674486</v>
      </c>
      <c r="U815" s="29">
        <f t="shared" si="65"/>
        <v>0.22055913274895203</v>
      </c>
      <c r="V815" s="29">
        <f t="shared" si="66"/>
        <v>2.5838291235093574E-3</v>
      </c>
    </row>
    <row r="816" spans="18:22" x14ac:dyDescent="0.4">
      <c r="R816" s="28">
        <f t="shared" si="62"/>
        <v>63.279999999999006</v>
      </c>
      <c r="S816" s="29">
        <f t="shared" si="63"/>
        <v>6.6378462792400408E-2</v>
      </c>
      <c r="T816" s="29">
        <f t="shared" si="64"/>
        <v>0.18130764951933759</v>
      </c>
      <c r="U816" s="29">
        <f t="shared" si="65"/>
        <v>0.22056649883482241</v>
      </c>
      <c r="V816" s="29">
        <f t="shared" si="66"/>
        <v>2.5839184944870283E-3</v>
      </c>
    </row>
    <row r="817" spans="18:22" x14ac:dyDescent="0.4">
      <c r="R817" s="28">
        <f t="shared" si="62"/>
        <v>63.359999999999005</v>
      </c>
      <c r="S817" s="29">
        <f t="shared" si="63"/>
        <v>6.6378463459996387E-2</v>
      </c>
      <c r="T817" s="29">
        <f t="shared" si="64"/>
        <v>0.18130764952188355</v>
      </c>
      <c r="U817" s="29">
        <f t="shared" si="65"/>
        <v>0.22057381559324116</v>
      </c>
      <c r="V817" s="29">
        <f t="shared" si="66"/>
        <v>2.5840072669863962E-3</v>
      </c>
    </row>
    <row r="818" spans="18:22" x14ac:dyDescent="0.4">
      <c r="R818" s="28">
        <f t="shared" si="62"/>
        <v>63.439999999999003</v>
      </c>
      <c r="S818" s="29">
        <f t="shared" si="63"/>
        <v>6.6378464115549055E-2</v>
      </c>
      <c r="T818" s="29">
        <f t="shared" si="64"/>
        <v>0.18130764952438358</v>
      </c>
      <c r="U818" s="29">
        <f t="shared" si="65"/>
        <v>0.22058108335453264</v>
      </c>
      <c r="V818" s="29">
        <f t="shared" si="66"/>
        <v>2.5840954450152081E-3</v>
      </c>
    </row>
    <row r="819" spans="18:22" x14ac:dyDescent="0.4">
      <c r="R819" s="28">
        <f t="shared" si="62"/>
        <v>63.519999999999001</v>
      </c>
      <c r="S819" s="29">
        <f t="shared" si="63"/>
        <v>6.6378464759275668E-2</v>
      </c>
      <c r="T819" s="29">
        <f t="shared" si="64"/>
        <v>0.1813076495268385</v>
      </c>
      <c r="U819" s="29">
        <f t="shared" si="65"/>
        <v>0.22058830244680913</v>
      </c>
      <c r="V819" s="29">
        <f t="shared" si="66"/>
        <v>2.5841830325543723E-3</v>
      </c>
    </row>
    <row r="820" spans="18:22" x14ac:dyDescent="0.4">
      <c r="R820" s="28">
        <f t="shared" si="62"/>
        <v>63.599999999999</v>
      </c>
      <c r="S820" s="29">
        <f t="shared" si="63"/>
        <v>6.6378465391389557E-2</v>
      </c>
      <c r="T820" s="29">
        <f t="shared" si="64"/>
        <v>0.18130764952924913</v>
      </c>
      <c r="U820" s="29">
        <f t="shared" si="65"/>
        <v>0.22059547319598574</v>
      </c>
      <c r="V820" s="29">
        <f t="shared" si="66"/>
        <v>2.5842700335581398E-3</v>
      </c>
    </row>
    <row r="821" spans="18:22" x14ac:dyDescent="0.4">
      <c r="R821" s="28">
        <f t="shared" si="62"/>
        <v>63.679999999998998</v>
      </c>
      <c r="S821" s="29">
        <f t="shared" si="63"/>
        <v>6.6378466012100221E-2</v>
      </c>
      <c r="T821" s="29">
        <f t="shared" si="64"/>
        <v>0.18130764953161627</v>
      </c>
      <c r="U821" s="29">
        <f t="shared" si="65"/>
        <v>0.22060259592579504</v>
      </c>
      <c r="V821" s="29">
        <f t="shared" si="66"/>
        <v>2.5843564519542808E-3</v>
      </c>
    </row>
    <row r="822" spans="18:22" x14ac:dyDescent="0.4">
      <c r="R822" s="28">
        <f t="shared" si="62"/>
        <v>63.759999999998996</v>
      </c>
      <c r="S822" s="29">
        <f t="shared" si="63"/>
        <v>6.6378466621613369E-2</v>
      </c>
      <c r="T822" s="29">
        <f t="shared" si="64"/>
        <v>0.18130764953394071</v>
      </c>
      <c r="U822" s="29">
        <f t="shared" si="65"/>
        <v>0.22060967095780165</v>
      </c>
      <c r="V822" s="29">
        <f t="shared" si="66"/>
        <v>2.584442291644264E-3</v>
      </c>
    </row>
    <row r="823" spans="18:22" x14ac:dyDescent="0.4">
      <c r="R823" s="28">
        <f t="shared" si="62"/>
        <v>63.839999999998994</v>
      </c>
      <c r="S823" s="29">
        <f t="shared" si="63"/>
        <v>6.6378467220131007E-2</v>
      </c>
      <c r="T823" s="29">
        <f t="shared" si="64"/>
        <v>0.18130764953622322</v>
      </c>
      <c r="U823" s="29">
        <f t="shared" si="65"/>
        <v>0.22061669861141692</v>
      </c>
      <c r="V823" s="29">
        <f t="shared" si="66"/>
        <v>2.5845275565034307E-3</v>
      </c>
    </row>
    <row r="824" spans="18:22" x14ac:dyDescent="0.4">
      <c r="R824" s="28">
        <f t="shared" si="62"/>
        <v>63.919999999998993</v>
      </c>
      <c r="S824" s="29">
        <f t="shared" si="63"/>
        <v>6.6378467807851491E-2</v>
      </c>
      <c r="T824" s="29">
        <f t="shared" si="64"/>
        <v>0.18130764953846454</v>
      </c>
      <c r="U824" s="29">
        <f t="shared" si="65"/>
        <v>0.22062367920391313</v>
      </c>
      <c r="V824" s="29">
        <f t="shared" si="66"/>
        <v>2.5846122503811711E-3</v>
      </c>
    </row>
    <row r="825" spans="18:22" x14ac:dyDescent="0.4">
      <c r="R825" s="28">
        <f t="shared" si="62"/>
        <v>63.999999999998991</v>
      </c>
      <c r="S825" s="29">
        <f t="shared" si="63"/>
        <v>6.6378468384969594E-2</v>
      </c>
      <c r="T825" s="29">
        <f t="shared" si="64"/>
        <v>0.18130764954066544</v>
      </c>
      <c r="U825" s="29">
        <f t="shared" si="65"/>
        <v>0.22063061305043802</v>
      </c>
      <c r="V825" s="29">
        <f t="shared" si="66"/>
        <v>2.5846963771010982E-3</v>
      </c>
    </row>
    <row r="826" spans="18:22" x14ac:dyDescent="0.4">
      <c r="R826" s="28">
        <f t="shared" si="62"/>
        <v>64.079999999998989</v>
      </c>
      <c r="S826" s="29">
        <f t="shared" si="63"/>
        <v>6.6378468951676595E-2</v>
      </c>
      <c r="T826" s="29">
        <f t="shared" si="64"/>
        <v>0.18130764954282663</v>
      </c>
      <c r="U826" s="29">
        <f t="shared" si="65"/>
        <v>0.22063750046402886</v>
      </c>
      <c r="V826" s="29">
        <f t="shared" si="66"/>
        <v>2.584779940461219E-3</v>
      </c>
    </row>
    <row r="827" spans="18:22" x14ac:dyDescent="0.4">
      <c r="R827" s="28">
        <f t="shared" si="62"/>
        <v>64.159999999998988</v>
      </c>
      <c r="S827" s="29">
        <f t="shared" si="63"/>
        <v>6.6378469508160301E-2</v>
      </c>
      <c r="T827" s="29">
        <f t="shared" si="64"/>
        <v>0.18130764954494882</v>
      </c>
      <c r="U827" s="29">
        <f t="shared" si="65"/>
        <v>0.22064434175562669</v>
      </c>
      <c r="V827" s="29">
        <f t="shared" si="66"/>
        <v>2.5848629442341074E-3</v>
      </c>
    </row>
    <row r="828" spans="18:22" x14ac:dyDescent="0.4">
      <c r="R828" s="28">
        <f t="shared" si="62"/>
        <v>64.239999999998986</v>
      </c>
      <c r="S828" s="29">
        <f t="shared" si="63"/>
        <v>6.6378470054605135E-2</v>
      </c>
      <c r="T828" s="29">
        <f t="shared" si="64"/>
        <v>0.18130764954703274</v>
      </c>
      <c r="U828" s="29">
        <f t="shared" si="65"/>
        <v>0.22065113723409033</v>
      </c>
      <c r="V828" s="29">
        <f t="shared" si="66"/>
        <v>2.5849453921670739E-3</v>
      </c>
    </row>
    <row r="829" spans="18:22" x14ac:dyDescent="0.4">
      <c r="R829" s="28">
        <f t="shared" si="62"/>
        <v>64.319999999998984</v>
      </c>
      <c r="S829" s="29">
        <f t="shared" si="63"/>
        <v>6.6378470591192201E-2</v>
      </c>
      <c r="T829" s="29">
        <f t="shared" si="64"/>
        <v>0.18130764954907905</v>
      </c>
      <c r="U829" s="29">
        <f t="shared" si="65"/>
        <v>0.22065788720621018</v>
      </c>
      <c r="V829" s="29">
        <f t="shared" si="66"/>
        <v>2.5850272879823356E-3</v>
      </c>
    </row>
    <row r="830" spans="18:22" x14ac:dyDescent="0.4">
      <c r="R830" s="28">
        <f t="shared" si="62"/>
        <v>64.399999999998983</v>
      </c>
      <c r="S830" s="29">
        <f t="shared" si="63"/>
        <v>6.637847111809933E-2</v>
      </c>
      <c r="T830" s="29">
        <f t="shared" si="64"/>
        <v>0.18130764955108847</v>
      </c>
      <c r="U830" s="29">
        <f t="shared" si="65"/>
        <v>0.22066459197672239</v>
      </c>
      <c r="V830" s="29">
        <f t="shared" si="66"/>
        <v>2.5851086353771823E-3</v>
      </c>
    </row>
    <row r="831" spans="18:22" x14ac:dyDescent="0.4">
      <c r="R831" s="28">
        <f t="shared" si="62"/>
        <v>64.479999999998981</v>
      </c>
      <c r="S831" s="29">
        <f t="shared" si="63"/>
        <v>6.6378471635501146E-2</v>
      </c>
      <c r="T831" s="29">
        <f t="shared" si="64"/>
        <v>0.18130764955306161</v>
      </c>
      <c r="U831" s="29">
        <f t="shared" si="65"/>
        <v>0.22067125184832229</v>
      </c>
      <c r="V831" s="29">
        <f t="shared" si="66"/>
        <v>2.5851894380241455E-3</v>
      </c>
    </row>
    <row r="832" spans="18:22" x14ac:dyDescent="0.4">
      <c r="R832" s="28">
        <f t="shared" si="62"/>
        <v>64.559999999998979</v>
      </c>
      <c r="S832" s="29">
        <f t="shared" si="63"/>
        <v>6.6378472143569123E-2</v>
      </c>
      <c r="T832" s="29">
        <f t="shared" si="64"/>
        <v>0.18130764955499917</v>
      </c>
      <c r="U832" s="29">
        <f t="shared" si="65"/>
        <v>0.22067786712167822</v>
      </c>
      <c r="V832" s="29">
        <f t="shared" si="66"/>
        <v>2.5852696995711634E-3</v>
      </c>
    </row>
    <row r="833" spans="18:22" x14ac:dyDescent="0.4">
      <c r="R833" s="28">
        <f t="shared" si="62"/>
        <v>64.639999999998977</v>
      </c>
      <c r="S833" s="29">
        <f t="shared" si="63"/>
        <v>6.6378472642471639E-2</v>
      </c>
      <c r="T833" s="29">
        <f t="shared" si="64"/>
        <v>0.18130764955690179</v>
      </c>
      <c r="U833" s="29">
        <f t="shared" si="65"/>
        <v>0.22068443809544513</v>
      </c>
      <c r="V833" s="29">
        <f t="shared" si="66"/>
        <v>2.5853494236417452E-3</v>
      </c>
    </row>
    <row r="834" spans="18:22" x14ac:dyDescent="0.4">
      <c r="R834" s="28">
        <f t="shared" si="62"/>
        <v>64.719999999998976</v>
      </c>
      <c r="S834" s="29">
        <f t="shared" si="63"/>
        <v>6.6378473132374036E-2</v>
      </c>
      <c r="T834" s="29">
        <f t="shared" si="64"/>
        <v>0.18130764955877007</v>
      </c>
      <c r="U834" s="29">
        <f t="shared" si="65"/>
        <v>0.22069096506627792</v>
      </c>
      <c r="V834" s="29">
        <f t="shared" si="66"/>
        <v>2.5854286138351354E-3</v>
      </c>
    </row>
    <row r="835" spans="18:22" x14ac:dyDescent="0.4">
      <c r="R835" s="28">
        <f t="shared" si="62"/>
        <v>64.799999999998974</v>
      </c>
      <c r="S835" s="29">
        <f t="shared" si="63"/>
        <v>6.6378473613438682E-2</v>
      </c>
      <c r="T835" s="29">
        <f t="shared" si="64"/>
        <v>0.18130764956060466</v>
      </c>
      <c r="U835" s="29">
        <f t="shared" si="65"/>
        <v>0.220697448328845</v>
      </c>
      <c r="V835" s="29">
        <f t="shared" si="66"/>
        <v>2.585507273726475E-3</v>
      </c>
    </row>
    <row r="836" spans="18:22" x14ac:dyDescent="0.4">
      <c r="R836" s="28">
        <f t="shared" si="62"/>
        <v>64.879999999998972</v>
      </c>
      <c r="S836" s="29">
        <f t="shared" si="63"/>
        <v>6.6378474085825007E-2</v>
      </c>
      <c r="T836" s="29">
        <f t="shared" si="64"/>
        <v>0.18130764956240616</v>
      </c>
      <c r="U836" s="29">
        <f t="shared" si="65"/>
        <v>0.22070388817584147</v>
      </c>
      <c r="V836" s="29">
        <f t="shared" si="66"/>
        <v>2.5855854068669651E-3</v>
      </c>
    </row>
    <row r="837" spans="18:22" x14ac:dyDescent="0.4">
      <c r="R837" s="28">
        <f t="shared" si="62"/>
        <v>64.959999999998971</v>
      </c>
      <c r="S837" s="29">
        <f t="shared" si="63"/>
        <v>6.6378474549689551E-2</v>
      </c>
      <c r="T837" s="29">
        <f t="shared" si="64"/>
        <v>0.18130764956417517</v>
      </c>
      <c r="U837" s="29">
        <f t="shared" si="65"/>
        <v>0.22071028489800237</v>
      </c>
      <c r="V837" s="29">
        <f t="shared" si="66"/>
        <v>2.5856630167840258E-3</v>
      </c>
    </row>
    <row r="838" spans="18:22" x14ac:dyDescent="0.4">
      <c r="R838" s="28">
        <f t="shared" si="62"/>
        <v>65.039999999998969</v>
      </c>
      <c r="S838" s="29">
        <f t="shared" si="63"/>
        <v>6.6378475005186066E-2</v>
      </c>
      <c r="T838" s="29">
        <f t="shared" si="64"/>
        <v>0.18130764956591225</v>
      </c>
      <c r="U838" s="29">
        <f t="shared" si="65"/>
        <v>0.22071663878411588</v>
      </c>
      <c r="V838" s="29">
        <f t="shared" si="66"/>
        <v>2.5857401069814545E-3</v>
      </c>
    </row>
    <row r="839" spans="18:22" x14ac:dyDescent="0.4">
      <c r="R839" s="28">
        <f t="shared" si="62"/>
        <v>65.119999999998967</v>
      </c>
      <c r="S839" s="29">
        <f t="shared" si="63"/>
        <v>6.6378475452465502E-2</v>
      </c>
      <c r="T839" s="29">
        <f t="shared" si="64"/>
        <v>0.181307649567618</v>
      </c>
      <c r="U839" s="29">
        <f t="shared" si="65"/>
        <v>0.22072295012103621</v>
      </c>
      <c r="V839" s="29">
        <f t="shared" si="66"/>
        <v>2.5858166809395863E-3</v>
      </c>
    </row>
    <row r="840" spans="18:22" x14ac:dyDescent="0.4">
      <c r="R840" s="28">
        <f t="shared" si="62"/>
        <v>65.199999999998965</v>
      </c>
      <c r="S840" s="29">
        <f t="shared" si="63"/>
        <v>6.6378475891676086E-2</v>
      </c>
      <c r="T840" s="29">
        <f t="shared" si="64"/>
        <v>0.18130764956929296</v>
      </c>
      <c r="U840" s="29">
        <f t="shared" si="65"/>
        <v>0.2207292191936967</v>
      </c>
      <c r="V840" s="29">
        <f t="shared" si="66"/>
        <v>2.5858927421154496E-3</v>
      </c>
    </row>
    <row r="841" spans="18:22" x14ac:dyDescent="0.4">
      <c r="R841" s="28">
        <f t="shared" si="62"/>
        <v>65.279999999998964</v>
      </c>
      <c r="S841" s="29">
        <f t="shared" si="63"/>
        <v>6.6378476322963398E-2</v>
      </c>
      <c r="T841" s="29">
        <f t="shared" si="64"/>
        <v>0.18130764957093773</v>
      </c>
      <c r="U841" s="29">
        <f t="shared" si="65"/>
        <v>0.22073544628512257</v>
      </c>
      <c r="V841" s="29">
        <f t="shared" si="66"/>
        <v>2.5859682939429231E-3</v>
      </c>
    </row>
    <row r="842" spans="18:22" x14ac:dyDescent="0.4">
      <c r="R842" s="28">
        <f t="shared" si="62"/>
        <v>65.359999999998962</v>
      </c>
      <c r="S842" s="29">
        <f t="shared" si="63"/>
        <v>6.6378476746470363E-2</v>
      </c>
      <c r="T842" s="29">
        <f t="shared" si="64"/>
        <v>0.18130764957255283</v>
      </c>
      <c r="U842" s="29">
        <f t="shared" si="65"/>
        <v>0.22074163167644378</v>
      </c>
      <c r="V842" s="29">
        <f t="shared" si="66"/>
        <v>2.5860433398328898E-3</v>
      </c>
    </row>
    <row r="843" spans="18:22" x14ac:dyDescent="0.4">
      <c r="R843" s="28">
        <f t="shared" si="62"/>
        <v>65.43999999999896</v>
      </c>
      <c r="S843" s="29">
        <f t="shared" si="63"/>
        <v>6.6378477162337329E-2</v>
      </c>
      <c r="T843" s="29">
        <f t="shared" si="64"/>
        <v>0.18130764957413878</v>
      </c>
      <c r="U843" s="29">
        <f t="shared" si="65"/>
        <v>0.22074777564690765</v>
      </c>
      <c r="V843" s="29">
        <f t="shared" si="66"/>
        <v>2.5861178831733909E-3</v>
      </c>
    </row>
    <row r="844" spans="18:22" x14ac:dyDescent="0.4">
      <c r="R844" s="28">
        <f t="shared" si="62"/>
        <v>65.519999999998959</v>
      </c>
      <c r="S844" s="29">
        <f t="shared" si="63"/>
        <v>6.637847757070213E-2</v>
      </c>
      <c r="T844" s="29">
        <f t="shared" si="64"/>
        <v>0.18130764957569612</v>
      </c>
      <c r="U844" s="29">
        <f t="shared" si="65"/>
        <v>0.22075387847389152</v>
      </c>
      <c r="V844" s="29">
        <f t="shared" si="66"/>
        <v>2.5861919273297809E-3</v>
      </c>
    </row>
    <row r="845" spans="18:22" x14ac:dyDescent="0.4">
      <c r="R845" s="28">
        <f t="shared" si="62"/>
        <v>65.599999999998957</v>
      </c>
      <c r="S845" s="29">
        <f t="shared" si="63"/>
        <v>6.6378477971700101E-2</v>
      </c>
      <c r="T845" s="29">
        <f t="shared" si="64"/>
        <v>0.18130764957722537</v>
      </c>
      <c r="U845" s="29">
        <f t="shared" si="65"/>
        <v>0.22075994043291527</v>
      </c>
      <c r="V845" s="29">
        <f t="shared" si="66"/>
        <v>2.5862654756448767E-3</v>
      </c>
    </row>
    <row r="846" spans="18:22" x14ac:dyDescent="0.4">
      <c r="R846" s="28">
        <f t="shared" si="62"/>
        <v>65.679999999998955</v>
      </c>
      <c r="S846" s="29">
        <f t="shared" si="63"/>
        <v>6.6378478365464136E-2</v>
      </c>
      <c r="T846" s="29">
        <f t="shared" si="64"/>
        <v>0.18130764957872703</v>
      </c>
      <c r="U846" s="29">
        <f t="shared" si="65"/>
        <v>0.22076596179765373</v>
      </c>
      <c r="V846" s="29">
        <f t="shared" si="66"/>
        <v>2.5863385314391103E-3</v>
      </c>
    </row>
    <row r="847" spans="18:22" x14ac:dyDescent="0.4">
      <c r="R847" s="28">
        <f t="shared" si="62"/>
        <v>65.759999999998954</v>
      </c>
      <c r="S847" s="29">
        <f t="shared" si="63"/>
        <v>6.6378478752124728E-2</v>
      </c>
      <c r="T847" s="29">
        <f t="shared" si="64"/>
        <v>0.1813076495802016</v>
      </c>
      <c r="U847" s="29">
        <f t="shared" si="65"/>
        <v>0.22077194283994905</v>
      </c>
      <c r="V847" s="29">
        <f t="shared" si="66"/>
        <v>2.5864110980106784E-3</v>
      </c>
    </row>
    <row r="848" spans="18:22" x14ac:dyDescent="0.4">
      <c r="R848" s="28">
        <f t="shared" si="62"/>
        <v>65.839999999998952</v>
      </c>
      <c r="S848" s="29">
        <f t="shared" si="63"/>
        <v>6.6378479131810039E-2</v>
      </c>
      <c r="T848" s="29">
        <f t="shared" si="64"/>
        <v>0.18130764958164958</v>
      </c>
      <c r="U848" s="29">
        <f t="shared" si="65"/>
        <v>0.22077788382982297</v>
      </c>
      <c r="V848" s="29">
        <f t="shared" si="66"/>
        <v>2.586483178635691E-3</v>
      </c>
    </row>
    <row r="849" spans="18:22" x14ac:dyDescent="0.4">
      <c r="R849" s="28">
        <f t="shared" si="62"/>
        <v>65.91999999999895</v>
      </c>
      <c r="S849" s="29">
        <f t="shared" si="63"/>
        <v>6.6378479504645885E-2</v>
      </c>
      <c r="T849" s="29">
        <f t="shared" si="64"/>
        <v>0.18130764958307141</v>
      </c>
      <c r="U849" s="29">
        <f t="shared" si="65"/>
        <v>0.22078378503548901</v>
      </c>
      <c r="V849" s="29">
        <f t="shared" si="66"/>
        <v>2.5865547765683188E-3</v>
      </c>
    </row>
    <row r="850" spans="18:22" x14ac:dyDescent="0.4">
      <c r="R850" s="28">
        <f t="shared" si="62"/>
        <v>65.999999999998948</v>
      </c>
      <c r="S850" s="29">
        <f t="shared" si="63"/>
        <v>6.6378479870755847E-2</v>
      </c>
      <c r="T850" s="29">
        <f t="shared" si="64"/>
        <v>0.1813076495844676</v>
      </c>
      <c r="U850" s="29">
        <f t="shared" si="65"/>
        <v>0.22078964672336462</v>
      </c>
      <c r="V850" s="29">
        <f t="shared" si="66"/>
        <v>2.5866258950409419E-3</v>
      </c>
    </row>
    <row r="851" spans="18:22" x14ac:dyDescent="0.4">
      <c r="R851" s="28">
        <f t="shared" si="62"/>
        <v>66.079999999998947</v>
      </c>
      <c r="S851" s="29">
        <f t="shared" si="63"/>
        <v>6.6378480230261244E-2</v>
      </c>
      <c r="T851" s="29">
        <f t="shared" si="64"/>
        <v>0.18130764958583862</v>
      </c>
      <c r="U851" s="29">
        <f t="shared" si="65"/>
        <v>0.2207954691580831</v>
      </c>
      <c r="V851" s="29">
        <f t="shared" si="66"/>
        <v>2.5866965372642937E-3</v>
      </c>
    </row>
    <row r="852" spans="18:22" x14ac:dyDescent="0.4">
      <c r="R852" s="28">
        <f t="shared" si="62"/>
        <v>66.159999999998945</v>
      </c>
      <c r="S852" s="29">
        <f t="shared" si="63"/>
        <v>6.6378480583281219E-2</v>
      </c>
      <c r="T852" s="29">
        <f t="shared" si="64"/>
        <v>0.1813076495871849</v>
      </c>
      <c r="U852" s="29">
        <f t="shared" si="65"/>
        <v>0.22080125260250566</v>
      </c>
      <c r="V852" s="29">
        <f t="shared" si="66"/>
        <v>2.5867667064276073E-3</v>
      </c>
    </row>
    <row r="853" spans="18:22" x14ac:dyDescent="0.4">
      <c r="R853" s="28">
        <f t="shared" si="62"/>
        <v>66.239999999998943</v>
      </c>
      <c r="S853" s="29">
        <f t="shared" si="63"/>
        <v>6.6378480929932773E-2</v>
      </c>
      <c r="T853" s="29">
        <f t="shared" si="64"/>
        <v>0.1813076495885069</v>
      </c>
      <c r="U853" s="29">
        <f t="shared" si="65"/>
        <v>0.22080699731773323</v>
      </c>
      <c r="V853" s="29">
        <f t="shared" si="66"/>
        <v>2.5868364056987584E-3</v>
      </c>
    </row>
    <row r="854" spans="18:22" x14ac:dyDescent="0.4">
      <c r="R854" s="28">
        <f t="shared" si="62"/>
        <v>66.319999999998942</v>
      </c>
      <c r="S854" s="29">
        <f t="shared" si="63"/>
        <v>6.6378481270330802E-2</v>
      </c>
      <c r="T854" s="29">
        <f t="shared" si="64"/>
        <v>0.18130764958980505</v>
      </c>
      <c r="U854" s="29">
        <f t="shared" si="65"/>
        <v>0.2208127035631183</v>
      </c>
      <c r="V854" s="29">
        <f t="shared" si="66"/>
        <v>2.5869056382244087E-3</v>
      </c>
    </row>
    <row r="855" spans="18:22" x14ac:dyDescent="0.4">
      <c r="R855" s="28">
        <f t="shared" si="62"/>
        <v>66.39999999999894</v>
      </c>
      <c r="S855" s="29">
        <f t="shared" si="63"/>
        <v>6.6378481604588105E-2</v>
      </c>
      <c r="T855" s="29">
        <f t="shared" si="64"/>
        <v>0.18130764959107978</v>
      </c>
      <c r="U855" s="29">
        <f t="shared" si="65"/>
        <v>0.22081837159627651</v>
      </c>
      <c r="V855" s="29">
        <f t="shared" si="66"/>
        <v>2.5869744071301492E-3</v>
      </c>
    </row>
    <row r="856" spans="18:22" x14ac:dyDescent="0.4">
      <c r="R856" s="28">
        <f t="shared" si="62"/>
        <v>66.479999999998938</v>
      </c>
      <c r="S856" s="29">
        <f t="shared" si="63"/>
        <v>6.6378481932815467E-2</v>
      </c>
      <c r="T856" s="29">
        <f t="shared" si="64"/>
        <v>0.1813076495923315</v>
      </c>
      <c r="U856" s="29">
        <f t="shared" si="65"/>
        <v>0.22082400167309843</v>
      </c>
      <c r="V856" s="29">
        <f t="shared" si="66"/>
        <v>2.5870427155206387E-3</v>
      </c>
    </row>
    <row r="857" spans="18:22" x14ac:dyDescent="0.4">
      <c r="R857" s="28">
        <f t="shared" si="62"/>
        <v>66.559999999998936</v>
      </c>
      <c r="S857" s="29">
        <f t="shared" si="63"/>
        <v>6.6378482255121662E-2</v>
      </c>
      <c r="T857" s="29">
        <f t="shared" si="64"/>
        <v>0.18130764959356066</v>
      </c>
      <c r="U857" s="29">
        <f t="shared" si="65"/>
        <v>0.22082959404776104</v>
      </c>
      <c r="V857" s="29">
        <f t="shared" si="66"/>
        <v>2.5871105664797465E-3</v>
      </c>
    </row>
    <row r="858" spans="18:22" x14ac:dyDescent="0.4">
      <c r="R858" s="28">
        <f t="shared" ref="R858:R921" si="67">R857+$S$22</f>
        <v>66.639999999998935</v>
      </c>
      <c r="S858" s="29">
        <f t="shared" ref="S858:S921" si="68">IF(S$13,S857*S$18+(S$14+S$15*IF(S$17,$D$71,0))*S$19,NA())</f>
        <v>6.6378482571613509E-2</v>
      </c>
      <c r="T858" s="29">
        <f t="shared" ref="T858:T921" si="69">IF(T$13,T857*T$18+(T$14+T$15*IF(T$17,$D$71,(S857+S858)/2))*T$19,NA())</f>
        <v>0.18130764959476764</v>
      </c>
      <c r="U858" s="29">
        <f t="shared" ref="U858:U921" si="70">IF(U$13,U857*U$18+(U$14+U$15*IF(U$17,$D$71,(T857+T858)/2))*U$19,NA())</f>
        <v>0.22083514897273918</v>
      </c>
      <c r="V858" s="29">
        <f t="shared" ref="V858:V921" si="71">IF(V$13,V857*V$18+(V$14+V$15*IF(V$17,$D$71,(U857+U858)/2))*V$19,NA())</f>
        <v>2.58717796307069E-3</v>
      </c>
    </row>
    <row r="859" spans="18:22" x14ac:dyDescent="0.4">
      <c r="R859" s="28">
        <f t="shared" si="67"/>
        <v>66.719999999998933</v>
      </c>
      <c r="S859" s="29">
        <f t="shared" si="68"/>
        <v>6.6378482882395895E-2</v>
      </c>
      <c r="T859" s="29">
        <f t="shared" si="69"/>
        <v>0.18130764959595283</v>
      </c>
      <c r="U859" s="29">
        <f t="shared" si="70"/>
        <v>0.22084066669881697</v>
      </c>
      <c r="V859" s="29">
        <f t="shared" si="71"/>
        <v>2.5872449083361739E-3</v>
      </c>
    </row>
    <row r="860" spans="18:22" x14ac:dyDescent="0.4">
      <c r="R860" s="28">
        <f t="shared" si="67"/>
        <v>66.799999999998931</v>
      </c>
      <c r="S860" s="29">
        <f t="shared" si="68"/>
        <v>6.6378483187571821E-2</v>
      </c>
      <c r="T860" s="29">
        <f t="shared" si="69"/>
        <v>0.18130764959711665</v>
      </c>
      <c r="U860" s="29">
        <f t="shared" si="70"/>
        <v>0.22084614747509917</v>
      </c>
      <c r="V860" s="29">
        <f t="shared" si="71"/>
        <v>2.5873114052985275E-3</v>
      </c>
    </row>
    <row r="861" spans="18:22" x14ac:dyDescent="0.4">
      <c r="R861" s="28">
        <f t="shared" si="67"/>
        <v>66.87999999999893</v>
      </c>
      <c r="S861" s="29">
        <f t="shared" si="68"/>
        <v>6.6378483487242429E-2</v>
      </c>
      <c r="T861" s="29">
        <f t="shared" si="69"/>
        <v>0.18130764959825946</v>
      </c>
      <c r="U861" s="29">
        <f t="shared" si="70"/>
        <v>0.2208515915490224</v>
      </c>
      <c r="V861" s="29">
        <f t="shared" si="71"/>
        <v>2.5873774569598398E-3</v>
      </c>
    </row>
    <row r="862" spans="18:22" x14ac:dyDescent="0.4">
      <c r="R862" s="28">
        <f t="shared" si="67"/>
        <v>66.959999999998928</v>
      </c>
      <c r="S862" s="29">
        <f t="shared" si="68"/>
        <v>6.6378483781507028E-2</v>
      </c>
      <c r="T862" s="29">
        <f t="shared" si="69"/>
        <v>0.18130764959938167</v>
      </c>
      <c r="U862" s="29">
        <f t="shared" si="70"/>
        <v>0.22085699916636625</v>
      </c>
      <c r="V862" s="29">
        <f t="shared" si="71"/>
        <v>2.587443066302098E-3</v>
      </c>
    </row>
    <row r="863" spans="18:22" x14ac:dyDescent="0.4">
      <c r="R863" s="28">
        <f t="shared" si="67"/>
        <v>67.039999999998926</v>
      </c>
      <c r="S863" s="29">
        <f t="shared" si="68"/>
        <v>6.6378484070463151E-2</v>
      </c>
      <c r="T863" s="29">
        <f t="shared" si="69"/>
        <v>0.18130764960048362</v>
      </c>
      <c r="U863" s="29">
        <f t="shared" si="70"/>
        <v>0.22086237057126448</v>
      </c>
      <c r="V863" s="29">
        <f t="shared" si="71"/>
        <v>2.5875082362873179E-3</v>
      </c>
    </row>
    <row r="864" spans="18:22" x14ac:dyDescent="0.4">
      <c r="R864" s="28">
        <f t="shared" si="67"/>
        <v>67.119999999998925</v>
      </c>
      <c r="S864" s="29">
        <f t="shared" si="68"/>
        <v>6.6378484354206554E-2</v>
      </c>
      <c r="T864" s="29">
        <f t="shared" si="69"/>
        <v>0.1813076496015657</v>
      </c>
      <c r="U864" s="29">
        <f t="shared" si="70"/>
        <v>0.220867706006216</v>
      </c>
      <c r="V864" s="29">
        <f t="shared" si="71"/>
        <v>2.5875729698576818E-3</v>
      </c>
    </row>
    <row r="865" spans="18:22" x14ac:dyDescent="0.4">
      <c r="R865" s="28">
        <f t="shared" si="67"/>
        <v>67.199999999998923</v>
      </c>
      <c r="S865" s="29">
        <f t="shared" si="68"/>
        <v>6.6378484632831275E-2</v>
      </c>
      <c r="T865" s="29">
        <f t="shared" si="69"/>
        <v>0.18130764960262827</v>
      </c>
      <c r="U865" s="29">
        <f t="shared" si="70"/>
        <v>0.22087300571209573</v>
      </c>
      <c r="V865" s="29">
        <f t="shared" si="71"/>
        <v>2.5876372699356687E-3</v>
      </c>
    </row>
    <row r="866" spans="18:22" x14ac:dyDescent="0.4">
      <c r="R866" s="28">
        <f t="shared" si="67"/>
        <v>67.279999999998921</v>
      </c>
      <c r="S866" s="29">
        <f t="shared" si="68"/>
        <v>6.6378484906429655E-2</v>
      </c>
      <c r="T866" s="29">
        <f t="shared" si="69"/>
        <v>0.18130764960367168</v>
      </c>
      <c r="U866" s="29">
        <f t="shared" si="70"/>
        <v>0.22087826992816567</v>
      </c>
      <c r="V866" s="29">
        <f t="shared" si="71"/>
        <v>2.5877011394241874E-3</v>
      </c>
    </row>
    <row r="867" spans="18:22" x14ac:dyDescent="0.4">
      <c r="R867" s="28">
        <f t="shared" si="67"/>
        <v>67.359999999998919</v>
      </c>
      <c r="S867" s="29">
        <f t="shared" si="68"/>
        <v>6.6378485175092358E-2</v>
      </c>
      <c r="T867" s="29">
        <f t="shared" si="69"/>
        <v>0.18130764960469625</v>
      </c>
      <c r="U867" s="29">
        <f t="shared" si="70"/>
        <v>0.22088349889208553</v>
      </c>
      <c r="V867" s="29">
        <f t="shared" si="71"/>
        <v>2.5877645812067071E-3</v>
      </c>
    </row>
    <row r="868" spans="18:22" x14ac:dyDescent="0.4">
      <c r="R868" s="28">
        <f t="shared" si="67"/>
        <v>67.439999999998918</v>
      </c>
      <c r="S868" s="29">
        <f t="shared" si="68"/>
        <v>6.6378485438908438E-2</v>
      </c>
      <c r="T868" s="29">
        <f t="shared" si="69"/>
        <v>0.18130764960570234</v>
      </c>
      <c r="U868" s="29">
        <f t="shared" si="70"/>
        <v>0.22088869283992352</v>
      </c>
      <c r="V868" s="29">
        <f t="shared" si="71"/>
        <v>2.5878275981473871E-3</v>
      </c>
    </row>
    <row r="869" spans="18:22" x14ac:dyDescent="0.4">
      <c r="R869" s="28">
        <f t="shared" si="67"/>
        <v>67.519999999998916</v>
      </c>
      <c r="S869" s="29">
        <f t="shared" si="68"/>
        <v>6.6378485697965325E-2</v>
      </c>
      <c r="T869" s="29">
        <f t="shared" si="69"/>
        <v>0.18130764960669027</v>
      </c>
      <c r="U869" s="29">
        <f t="shared" si="70"/>
        <v>0.22089385200616701</v>
      </c>
      <c r="V869" s="29">
        <f t="shared" si="71"/>
        <v>2.5878901930912069E-3</v>
      </c>
    </row>
    <row r="870" spans="18:22" x14ac:dyDescent="0.4">
      <c r="R870" s="28">
        <f t="shared" si="67"/>
        <v>67.599999999998914</v>
      </c>
      <c r="S870" s="29">
        <f t="shared" si="68"/>
        <v>6.6378485952348867E-2</v>
      </c>
      <c r="T870" s="29">
        <f t="shared" si="69"/>
        <v>0.18130764960766038</v>
      </c>
      <c r="U870" s="29">
        <f t="shared" si="70"/>
        <v>0.22089897662373309</v>
      </c>
      <c r="V870" s="29">
        <f t="shared" si="71"/>
        <v>2.5879523688640957E-3</v>
      </c>
    </row>
    <row r="871" spans="18:22" x14ac:dyDescent="0.4">
      <c r="R871" s="28">
        <f t="shared" si="67"/>
        <v>67.679999999998913</v>
      </c>
      <c r="S871" s="29">
        <f t="shared" si="68"/>
        <v>6.6378486202143372E-2</v>
      </c>
      <c r="T871" s="29">
        <f t="shared" si="69"/>
        <v>0.18130764960861301</v>
      </c>
      <c r="U871" s="29">
        <f t="shared" si="70"/>
        <v>0.22090406692397915</v>
      </c>
      <c r="V871" s="29">
        <f t="shared" si="71"/>
        <v>2.5880141282730571E-3</v>
      </c>
    </row>
    <row r="872" spans="18:22" x14ac:dyDescent="0.4">
      <c r="R872" s="28">
        <f t="shared" si="67"/>
        <v>67.759999999998911</v>
      </c>
      <c r="S872" s="29">
        <f t="shared" si="68"/>
        <v>6.637848644743162E-2</v>
      </c>
      <c r="T872" s="29">
        <f t="shared" si="69"/>
        <v>0.18130764960954845</v>
      </c>
      <c r="U872" s="29">
        <f t="shared" si="70"/>
        <v>0.22090912313671321</v>
      </c>
      <c r="V872" s="29">
        <f t="shared" si="71"/>
        <v>2.5880754741062981E-3</v>
      </c>
    </row>
    <row r="873" spans="18:22" x14ac:dyDescent="0.4">
      <c r="R873" s="28">
        <f t="shared" si="67"/>
        <v>67.839999999998909</v>
      </c>
      <c r="S873" s="29">
        <f t="shared" si="68"/>
        <v>6.6378486688294921E-2</v>
      </c>
      <c r="T873" s="29">
        <f t="shared" si="69"/>
        <v>0.18130764961046703</v>
      </c>
      <c r="U873" s="29">
        <f t="shared" si="70"/>
        <v>0.22091414549020444</v>
      </c>
      <c r="V873" s="29">
        <f t="shared" si="71"/>
        <v>2.5881364091333535E-3</v>
      </c>
    </row>
    <row r="874" spans="18:22" x14ac:dyDescent="0.4">
      <c r="R874" s="28">
        <f t="shared" si="67"/>
        <v>67.919999999998907</v>
      </c>
      <c r="S874" s="29">
        <f t="shared" si="68"/>
        <v>6.6378486924813088E-2</v>
      </c>
      <c r="T874" s="29">
        <f t="shared" si="69"/>
        <v>0.181307649611369</v>
      </c>
      <c r="U874" s="29">
        <f t="shared" si="70"/>
        <v>0.22091913421119336</v>
      </c>
      <c r="V874" s="29">
        <f t="shared" si="71"/>
        <v>2.5881969361052134E-3</v>
      </c>
    </row>
    <row r="875" spans="18:22" x14ac:dyDescent="0.4">
      <c r="R875" s="28">
        <f t="shared" si="67"/>
        <v>67.999999999998906</v>
      </c>
      <c r="S875" s="29">
        <f t="shared" si="68"/>
        <v>6.63784871570645E-2</v>
      </c>
      <c r="T875" s="29">
        <f t="shared" si="69"/>
        <v>0.18130764961225471</v>
      </c>
      <c r="U875" s="29">
        <f t="shared" si="70"/>
        <v>0.22092408952490211</v>
      </c>
      <c r="V875" s="29">
        <f t="shared" si="71"/>
        <v>2.5882570577544445E-3</v>
      </c>
    </row>
    <row r="876" spans="18:22" x14ac:dyDescent="0.4">
      <c r="R876" s="28">
        <f t="shared" si="67"/>
        <v>68.079999999998904</v>
      </c>
      <c r="S876" s="29">
        <f t="shared" si="68"/>
        <v>6.6378487385126139E-2</v>
      </c>
      <c r="T876" s="29">
        <f t="shared" si="69"/>
        <v>0.18130764961312446</v>
      </c>
      <c r="U876" s="29">
        <f t="shared" si="70"/>
        <v>0.22092901165504461</v>
      </c>
      <c r="V876" s="29">
        <f t="shared" si="71"/>
        <v>2.5883167767953149E-3</v>
      </c>
    </row>
    <row r="877" spans="18:22" x14ac:dyDescent="0.4">
      <c r="R877" s="28">
        <f t="shared" si="67"/>
        <v>68.159999999998902</v>
      </c>
      <c r="S877" s="29">
        <f t="shared" si="68"/>
        <v>6.6378487609073583E-2</v>
      </c>
      <c r="T877" s="29">
        <f t="shared" si="69"/>
        <v>0.18130764961397852</v>
      </c>
      <c r="U877" s="29">
        <f t="shared" si="70"/>
        <v>0.22093390082383668</v>
      </c>
      <c r="V877" s="29">
        <f t="shared" si="71"/>
        <v>2.5883760959239163E-3</v>
      </c>
    </row>
    <row r="878" spans="18:22" x14ac:dyDescent="0.4">
      <c r="R878" s="28">
        <f t="shared" si="67"/>
        <v>68.239999999998901</v>
      </c>
      <c r="S878" s="29">
        <f t="shared" si="68"/>
        <v>6.6378487828981064E-2</v>
      </c>
      <c r="T878" s="29">
        <f t="shared" si="69"/>
        <v>0.18130764961481716</v>
      </c>
      <c r="U878" s="29">
        <f t="shared" si="70"/>
        <v>0.22093875725200604</v>
      </c>
      <c r="V878" s="29">
        <f t="shared" si="71"/>
        <v>2.588435017818286E-3</v>
      </c>
    </row>
    <row r="879" spans="18:22" x14ac:dyDescent="0.4">
      <c r="R879" s="28">
        <f t="shared" si="67"/>
        <v>68.319999999998899</v>
      </c>
      <c r="S879" s="29">
        <f t="shared" si="68"/>
        <v>6.6378488044921441E-2</v>
      </c>
      <c r="T879" s="29">
        <f t="shared" si="69"/>
        <v>0.18130764961564066</v>
      </c>
      <c r="U879" s="29">
        <f t="shared" si="70"/>
        <v>0.2209435811588023</v>
      </c>
      <c r="V879" s="29">
        <f t="shared" si="71"/>
        <v>2.5884935451385279E-3</v>
      </c>
    </row>
    <row r="880" spans="18:22" x14ac:dyDescent="0.4">
      <c r="R880" s="28">
        <f t="shared" si="67"/>
        <v>68.399999999998897</v>
      </c>
      <c r="S880" s="29">
        <f t="shared" si="68"/>
        <v>6.6378488256966295E-2</v>
      </c>
      <c r="T880" s="29">
        <f t="shared" si="69"/>
        <v>0.1813076496164493</v>
      </c>
      <c r="U880" s="29">
        <f t="shared" si="70"/>
        <v>0.22094837276200688</v>
      </c>
      <c r="V880" s="29">
        <f t="shared" si="71"/>
        <v>2.5885516805269322E-3</v>
      </c>
    </row>
    <row r="881" spans="18:22" x14ac:dyDescent="0.4">
      <c r="R881" s="28">
        <f t="shared" si="67"/>
        <v>68.479999999998896</v>
      </c>
      <c r="S881" s="29">
        <f t="shared" si="68"/>
        <v>6.6378488465185903E-2</v>
      </c>
      <c r="T881" s="29">
        <f t="shared" si="69"/>
        <v>0.18130764961724335</v>
      </c>
      <c r="U881" s="29">
        <f t="shared" si="70"/>
        <v>0.22095313227794278</v>
      </c>
      <c r="V881" s="29">
        <f t="shared" si="71"/>
        <v>2.5886094266080947E-3</v>
      </c>
    </row>
    <row r="882" spans="18:22" x14ac:dyDescent="0.4">
      <c r="R882" s="28">
        <f t="shared" si="67"/>
        <v>68.559999999998894</v>
      </c>
      <c r="S882" s="29">
        <f t="shared" si="68"/>
        <v>6.6378488669649266E-2</v>
      </c>
      <c r="T882" s="29">
        <f t="shared" si="69"/>
        <v>0.18130764961802309</v>
      </c>
      <c r="U882" s="29">
        <f t="shared" si="70"/>
        <v>0.22095785992148437</v>
      </c>
      <c r="V882" s="29">
        <f t="shared" si="71"/>
        <v>2.5886667859890355E-3</v>
      </c>
    </row>
    <row r="883" spans="18:22" x14ac:dyDescent="0.4">
      <c r="R883" s="28">
        <f t="shared" si="67"/>
        <v>68.639999999998892</v>
      </c>
      <c r="S883" s="29">
        <f t="shared" si="68"/>
        <v>6.6378488870424135E-2</v>
      </c>
      <c r="T883" s="29">
        <f t="shared" si="69"/>
        <v>0.18130764961878879</v>
      </c>
      <c r="U883" s="29">
        <f t="shared" si="70"/>
        <v>0.22096255590606714</v>
      </c>
      <c r="V883" s="29">
        <f t="shared" si="71"/>
        <v>2.5887237612593162E-3</v>
      </c>
    </row>
    <row r="884" spans="18:22" x14ac:dyDescent="0.4">
      <c r="R884" s="28">
        <f t="shared" si="67"/>
        <v>68.71999999999889</v>
      </c>
      <c r="S884" s="29">
        <f t="shared" si="68"/>
        <v>6.6378489067577068E-2</v>
      </c>
      <c r="T884" s="29">
        <f t="shared" si="69"/>
        <v>0.18130764961954066</v>
      </c>
      <c r="U884" s="29">
        <f t="shared" si="70"/>
        <v>0.22096722044369724</v>
      </c>
      <c r="V884" s="29">
        <f t="shared" si="71"/>
        <v>2.5887803549911586E-3</v>
      </c>
    </row>
    <row r="885" spans="18:22" x14ac:dyDescent="0.4">
      <c r="R885" s="28">
        <f t="shared" si="67"/>
        <v>68.799999999998889</v>
      </c>
      <c r="S885" s="29">
        <f t="shared" si="68"/>
        <v>6.6378489261173387E-2</v>
      </c>
      <c r="T885" s="29">
        <f t="shared" si="69"/>
        <v>0.18130764962027895</v>
      </c>
      <c r="U885" s="29">
        <f t="shared" si="70"/>
        <v>0.22097185374496117</v>
      </c>
      <c r="V885" s="29">
        <f t="shared" si="71"/>
        <v>2.5888365697395582E-3</v>
      </c>
    </row>
    <row r="886" spans="18:22" x14ac:dyDescent="0.4">
      <c r="R886" s="28">
        <f t="shared" si="67"/>
        <v>68.879999999998887</v>
      </c>
      <c r="S886" s="29">
        <f t="shared" si="68"/>
        <v>6.6378489451277264E-2</v>
      </c>
      <c r="T886" s="29">
        <f t="shared" si="69"/>
        <v>0.18130764962100393</v>
      </c>
      <c r="U886" s="29">
        <f t="shared" si="70"/>
        <v>0.22097645601903521</v>
      </c>
      <c r="V886" s="29">
        <f t="shared" si="71"/>
        <v>2.5888924080424008E-3</v>
      </c>
    </row>
    <row r="887" spans="18:22" x14ac:dyDescent="0.4">
      <c r="R887" s="28">
        <f t="shared" si="67"/>
        <v>68.959999999998885</v>
      </c>
      <c r="S887" s="29">
        <f t="shared" si="68"/>
        <v>6.6378489637951704E-2</v>
      </c>
      <c r="T887" s="29">
        <f t="shared" si="69"/>
        <v>0.18130764962171583</v>
      </c>
      <c r="U887" s="29">
        <f t="shared" si="70"/>
        <v>0.22098102747369483</v>
      </c>
      <c r="V887" s="29">
        <f t="shared" si="71"/>
        <v>2.5889478724205779E-3</v>
      </c>
    </row>
    <row r="888" spans="18:22" x14ac:dyDescent="0.4">
      <c r="R888" s="28">
        <f t="shared" si="67"/>
        <v>69.039999999998884</v>
      </c>
      <c r="S888" s="29">
        <f t="shared" si="68"/>
        <v>6.6378489821258574E-2</v>
      </c>
      <c r="T888" s="29">
        <f t="shared" si="69"/>
        <v>0.18130764962241488</v>
      </c>
      <c r="U888" s="29">
        <f t="shared" si="70"/>
        <v>0.22098556831532415</v>
      </c>
      <c r="V888" s="29">
        <f t="shared" si="71"/>
        <v>2.589002965378099E-3</v>
      </c>
    </row>
    <row r="889" spans="18:22" x14ac:dyDescent="0.4">
      <c r="R889" s="28">
        <f t="shared" si="67"/>
        <v>69.119999999998882</v>
      </c>
      <c r="S889" s="29">
        <f t="shared" si="68"/>
        <v>6.6378490001258617E-2</v>
      </c>
      <c r="T889" s="29">
        <f t="shared" si="69"/>
        <v>0.18130764962310134</v>
      </c>
      <c r="U889" s="29">
        <f t="shared" si="70"/>
        <v>0.22099007874892526</v>
      </c>
      <c r="V889" s="29">
        <f t="shared" si="71"/>
        <v>2.589057689402206E-3</v>
      </c>
    </row>
    <row r="890" spans="18:22" x14ac:dyDescent="0.4">
      <c r="R890" s="28">
        <f t="shared" si="67"/>
        <v>69.19999999999888</v>
      </c>
      <c r="S890" s="29">
        <f t="shared" si="68"/>
        <v>6.6378490178011493E-2</v>
      </c>
      <c r="T890" s="29">
        <f t="shared" si="69"/>
        <v>0.18130764962377541</v>
      </c>
      <c r="U890" s="29">
        <f t="shared" si="70"/>
        <v>0.22099455897812739</v>
      </c>
      <c r="V890" s="29">
        <f t="shared" si="71"/>
        <v>2.5891120469634836E-3</v>
      </c>
    </row>
    <row r="891" spans="18:22" x14ac:dyDescent="0.4">
      <c r="R891" s="28">
        <f t="shared" si="67"/>
        <v>69.279999999998878</v>
      </c>
      <c r="S891" s="29">
        <f t="shared" si="68"/>
        <v>6.6378490351575767E-2</v>
      </c>
      <c r="T891" s="29">
        <f t="shared" si="69"/>
        <v>0.18130764962443729</v>
      </c>
      <c r="U891" s="29">
        <f t="shared" si="70"/>
        <v>0.22099900920519619</v>
      </c>
      <c r="V891" s="29">
        <f t="shared" si="71"/>
        <v>2.5891660405159733E-3</v>
      </c>
    </row>
    <row r="892" spans="18:22" x14ac:dyDescent="0.4">
      <c r="R892" s="28">
        <f t="shared" si="67"/>
        <v>69.359999999998877</v>
      </c>
      <c r="S892" s="29">
        <f t="shared" si="68"/>
        <v>6.6378490522008976E-2</v>
      </c>
      <c r="T892" s="29">
        <f t="shared" si="69"/>
        <v>0.18130764962508727</v>
      </c>
      <c r="U892" s="29">
        <f t="shared" si="70"/>
        <v>0.22100342963104277</v>
      </c>
      <c r="V892" s="29">
        <f t="shared" si="71"/>
        <v>2.5892196724972829E-3</v>
      </c>
    </row>
    <row r="893" spans="18:22" x14ac:dyDescent="0.4">
      <c r="R893" s="28">
        <f t="shared" si="67"/>
        <v>69.439999999998875</v>
      </c>
      <c r="S893" s="29">
        <f t="shared" si="68"/>
        <v>6.6378490689367603E-2</v>
      </c>
      <c r="T893" s="29">
        <f t="shared" si="69"/>
        <v>0.18130764962572551</v>
      </c>
      <c r="U893" s="29">
        <f t="shared" si="70"/>
        <v>0.2210078204552329</v>
      </c>
      <c r="V893" s="29">
        <f t="shared" si="71"/>
        <v>2.5892729453286961E-3</v>
      </c>
    </row>
    <row r="894" spans="18:22" x14ac:dyDescent="0.4">
      <c r="R894" s="28">
        <f t="shared" si="67"/>
        <v>69.519999999998873</v>
      </c>
      <c r="S894" s="29">
        <f t="shared" si="68"/>
        <v>6.6378490853707103E-2</v>
      </c>
      <c r="T894" s="29">
        <f t="shared" si="69"/>
        <v>0.18130764962635224</v>
      </c>
      <c r="U894" s="29">
        <f t="shared" si="70"/>
        <v>0.22101218187599589</v>
      </c>
      <c r="V894" s="29">
        <f t="shared" si="71"/>
        <v>2.5893258614152819E-3</v>
      </c>
    </row>
    <row r="895" spans="18:22" x14ac:dyDescent="0.4">
      <c r="R895" s="28">
        <f t="shared" si="67"/>
        <v>69.599999999998872</v>
      </c>
      <c r="S895" s="29">
        <f t="shared" si="68"/>
        <v>6.6378491015081947E-2</v>
      </c>
      <c r="T895" s="29">
        <f t="shared" si="69"/>
        <v>0.18130764962696766</v>
      </c>
      <c r="U895" s="29">
        <f t="shared" si="70"/>
        <v>0.22101651409023365</v>
      </c>
      <c r="V895" s="29">
        <f t="shared" si="71"/>
        <v>2.5893784231460046E-3</v>
      </c>
    </row>
    <row r="896" spans="18:22" x14ac:dyDescent="0.4">
      <c r="R896" s="28">
        <f t="shared" si="67"/>
        <v>69.67999999999887</v>
      </c>
      <c r="S896" s="29">
        <f t="shared" si="68"/>
        <v>6.637849117354562E-2</v>
      </c>
      <c r="T896" s="29">
        <f t="shared" si="69"/>
        <v>0.18130764962757198</v>
      </c>
      <c r="U896" s="29">
        <f t="shared" si="70"/>
        <v>0.22102081729352946</v>
      </c>
      <c r="V896" s="29">
        <f t="shared" si="71"/>
        <v>2.5894306328938309E-3</v>
      </c>
    </row>
    <row r="897" spans="18:22" x14ac:dyDescent="0.4">
      <c r="R897" s="28">
        <f t="shared" si="67"/>
        <v>69.759999999998868</v>
      </c>
      <c r="S897" s="29">
        <f t="shared" si="68"/>
        <v>6.6378491329150635E-2</v>
      </c>
      <c r="T897" s="29">
        <f t="shared" si="69"/>
        <v>0.1813076496281654</v>
      </c>
      <c r="U897" s="29">
        <f t="shared" si="70"/>
        <v>0.22102509168015691</v>
      </c>
      <c r="V897" s="29">
        <f t="shared" si="71"/>
        <v>2.5894824930158349E-3</v>
      </c>
    </row>
    <row r="898" spans="18:22" x14ac:dyDescent="0.4">
      <c r="R898" s="28">
        <f t="shared" si="67"/>
        <v>69.839999999998867</v>
      </c>
      <c r="S898" s="29">
        <f t="shared" si="68"/>
        <v>6.6378491481948562E-2</v>
      </c>
      <c r="T898" s="29">
        <f t="shared" si="69"/>
        <v>0.18130764962874812</v>
      </c>
      <c r="U898" s="29">
        <f t="shared" si="70"/>
        <v>0.22102933744308861</v>
      </c>
      <c r="V898" s="29">
        <f t="shared" si="71"/>
        <v>2.5895340058533084E-3</v>
      </c>
    </row>
    <row r="899" spans="18:22" x14ac:dyDescent="0.4">
      <c r="R899" s="28">
        <f t="shared" si="67"/>
        <v>69.919999999998865</v>
      </c>
      <c r="S899" s="29">
        <f t="shared" si="68"/>
        <v>6.6378491631990041E-2</v>
      </c>
      <c r="T899" s="29">
        <f t="shared" si="69"/>
        <v>0.18130764962932033</v>
      </c>
      <c r="U899" s="29">
        <f t="shared" si="70"/>
        <v>0.22103355477400491</v>
      </c>
      <c r="V899" s="29">
        <f t="shared" si="71"/>
        <v>2.5895851737318641E-3</v>
      </c>
    </row>
    <row r="900" spans="18:22" x14ac:dyDescent="0.4">
      <c r="R900" s="28">
        <f t="shared" si="67"/>
        <v>69.999999999998863</v>
      </c>
      <c r="S900" s="29">
        <f t="shared" si="68"/>
        <v>6.6378491779324797E-2</v>
      </c>
      <c r="T900" s="29">
        <f t="shared" si="69"/>
        <v>0.18130764962988222</v>
      </c>
      <c r="U900" s="29">
        <f t="shared" si="70"/>
        <v>0.22103774386330258</v>
      </c>
      <c r="V900" s="29">
        <f t="shared" si="71"/>
        <v>2.5896359989615401E-3</v>
      </c>
    </row>
    <row r="901" spans="18:22" x14ac:dyDescent="0.4">
      <c r="R901" s="28">
        <f t="shared" si="67"/>
        <v>70.079999999998861</v>
      </c>
      <c r="S901" s="29">
        <f t="shared" si="68"/>
        <v>6.6378491924001665E-2</v>
      </c>
      <c r="T901" s="29">
        <f t="shared" si="69"/>
        <v>0.18130764963043394</v>
      </c>
      <c r="U901" s="29">
        <f t="shared" si="70"/>
        <v>0.22104190490010334</v>
      </c>
      <c r="V901" s="29">
        <f t="shared" si="71"/>
        <v>2.5896864838369058E-3</v>
      </c>
    </row>
    <row r="902" spans="18:22" x14ac:dyDescent="0.4">
      <c r="R902" s="28">
        <f t="shared" si="67"/>
        <v>70.15999999999886</v>
      </c>
      <c r="S902" s="29">
        <f t="shared" si="68"/>
        <v>6.6378492066068578E-2</v>
      </c>
      <c r="T902" s="29">
        <f t="shared" si="69"/>
        <v>0.1813076496309757</v>
      </c>
      <c r="U902" s="29">
        <f t="shared" si="70"/>
        <v>0.2210460380722625</v>
      </c>
      <c r="V902" s="29">
        <f t="shared" si="71"/>
        <v>2.5897366306371658E-3</v>
      </c>
    </row>
    <row r="903" spans="18:22" x14ac:dyDescent="0.4">
      <c r="R903" s="28">
        <f t="shared" si="67"/>
        <v>70.239999999998858</v>
      </c>
      <c r="S903" s="29">
        <f t="shared" si="68"/>
        <v>6.637849220557264E-2</v>
      </c>
      <c r="T903" s="29">
        <f t="shared" si="69"/>
        <v>0.18130764963150769</v>
      </c>
      <c r="U903" s="29">
        <f t="shared" si="70"/>
        <v>0.22105014356637737</v>
      </c>
      <c r="V903" s="29">
        <f t="shared" si="71"/>
        <v>2.5897864416262605E-3</v>
      </c>
    </row>
    <row r="904" spans="18:22" x14ac:dyDescent="0.4">
      <c r="R904" s="28">
        <f t="shared" si="67"/>
        <v>70.319999999998856</v>
      </c>
      <c r="S904" s="29">
        <f t="shared" si="68"/>
        <v>6.6378492342560061E-2</v>
      </c>
      <c r="T904" s="29">
        <f t="shared" si="69"/>
        <v>0.18130764963203011</v>
      </c>
      <c r="U904" s="29">
        <f t="shared" si="70"/>
        <v>0.22105422156779567</v>
      </c>
      <c r="V904" s="29">
        <f t="shared" si="71"/>
        <v>2.5898359190529704E-3</v>
      </c>
    </row>
    <row r="905" spans="18:22" x14ac:dyDescent="0.4">
      <c r="R905" s="28">
        <f t="shared" si="67"/>
        <v>70.399999999998855</v>
      </c>
      <c r="S905" s="29">
        <f t="shared" si="68"/>
        <v>6.6378492477076251E-2</v>
      </c>
      <c r="T905" s="29">
        <f t="shared" si="69"/>
        <v>0.18130764963254309</v>
      </c>
      <c r="U905" s="29">
        <f t="shared" si="70"/>
        <v>0.22105827226062397</v>
      </c>
      <c r="V905" s="29">
        <f t="shared" si="71"/>
        <v>2.5898850651510166E-3</v>
      </c>
    </row>
    <row r="906" spans="18:22" x14ac:dyDescent="0.4">
      <c r="R906" s="28">
        <f t="shared" si="67"/>
        <v>70.479999999998853</v>
      </c>
      <c r="S906" s="29">
        <f t="shared" si="68"/>
        <v>6.6378492609165798E-2</v>
      </c>
      <c r="T906" s="29">
        <f t="shared" si="69"/>
        <v>0.18130764963304682</v>
      </c>
      <c r="U906" s="29">
        <f t="shared" si="70"/>
        <v>0.22106229582773596</v>
      </c>
      <c r="V906" s="29">
        <f t="shared" si="71"/>
        <v>2.5899338821391621E-3</v>
      </c>
    </row>
    <row r="907" spans="18:22" x14ac:dyDescent="0.4">
      <c r="R907" s="28">
        <f t="shared" si="67"/>
        <v>70.559999999998851</v>
      </c>
      <c r="S907" s="29">
        <f t="shared" si="68"/>
        <v>6.6378492738872474E-2</v>
      </c>
      <c r="T907" s="29">
        <f t="shared" si="69"/>
        <v>0.18130764963354148</v>
      </c>
      <c r="U907" s="29">
        <f t="shared" si="70"/>
        <v>0.22106629245078063</v>
      </c>
      <c r="V907" s="29">
        <f t="shared" si="71"/>
        <v>2.5899823722213122E-3</v>
      </c>
    </row>
    <row r="908" spans="18:22" x14ac:dyDescent="0.4">
      <c r="R908" s="28">
        <f t="shared" si="67"/>
        <v>70.639999999998849</v>
      </c>
      <c r="S908" s="29">
        <f t="shared" si="68"/>
        <v>6.6378492866239258E-2</v>
      </c>
      <c r="T908" s="29">
        <f t="shared" si="69"/>
        <v>0.18130764963402721</v>
      </c>
      <c r="U908" s="29">
        <f t="shared" si="70"/>
        <v>0.22107026231019064</v>
      </c>
      <c r="V908" s="29">
        <f t="shared" si="71"/>
        <v>2.5900305375866129E-3</v>
      </c>
    </row>
    <row r="909" spans="18:22" x14ac:dyDescent="0.4">
      <c r="R909" s="28">
        <f t="shared" si="67"/>
        <v>70.719999999998848</v>
      </c>
      <c r="S909" s="29">
        <f t="shared" si="68"/>
        <v>6.6378492991308366E-2</v>
      </c>
      <c r="T909" s="29">
        <f t="shared" si="69"/>
        <v>0.18130764963450419</v>
      </c>
      <c r="U909" s="29">
        <f t="shared" si="70"/>
        <v>0.22107420558519031</v>
      </c>
      <c r="V909" s="29">
        <f t="shared" si="71"/>
        <v>2.5900783804095502E-3</v>
      </c>
    </row>
    <row r="910" spans="18:22" x14ac:dyDescent="0.4">
      <c r="R910" s="28">
        <f t="shared" si="67"/>
        <v>70.799999999998846</v>
      </c>
      <c r="S910" s="29">
        <f t="shared" si="68"/>
        <v>6.6378493114121251E-2</v>
      </c>
      <c r="T910" s="29">
        <f t="shared" si="69"/>
        <v>0.18130764963497256</v>
      </c>
      <c r="U910" s="29">
        <f t="shared" si="70"/>
        <v>0.22107812245380384</v>
      </c>
      <c r="V910" s="29">
        <f t="shared" si="71"/>
        <v>2.5901259028500499E-3</v>
      </c>
    </row>
    <row r="911" spans="18:22" x14ac:dyDescent="0.4">
      <c r="R911" s="28">
        <f t="shared" si="67"/>
        <v>70.879999999998844</v>
      </c>
      <c r="S911" s="29">
        <f t="shared" si="68"/>
        <v>6.6378493234718616E-2</v>
      </c>
      <c r="T911" s="29">
        <f t="shared" si="69"/>
        <v>0.18130764963543247</v>
      </c>
      <c r="U911" s="29">
        <f t="shared" si="70"/>
        <v>0.22108201309286318</v>
      </c>
      <c r="V911" s="29">
        <f t="shared" si="71"/>
        <v>2.5901731070535725E-3</v>
      </c>
    </row>
    <row r="912" spans="18:22" x14ac:dyDescent="0.4">
      <c r="R912" s="28">
        <f t="shared" si="67"/>
        <v>70.959999999998843</v>
      </c>
      <c r="S912" s="29">
        <f t="shared" si="68"/>
        <v>6.637849335314043E-2</v>
      </c>
      <c r="T912" s="29">
        <f t="shared" si="69"/>
        <v>0.18130764963588408</v>
      </c>
      <c r="U912" s="29">
        <f t="shared" si="70"/>
        <v>0.22108587767801618</v>
      </c>
      <c r="V912" s="29">
        <f t="shared" si="71"/>
        <v>2.5902199951512118E-3</v>
      </c>
    </row>
    <row r="913" spans="18:22" x14ac:dyDescent="0.4">
      <c r="R913" s="28">
        <f t="shared" si="67"/>
        <v>71.039999999998841</v>
      </c>
      <c r="S913" s="29">
        <f t="shared" si="68"/>
        <v>6.6378493469425925E-2</v>
      </c>
      <c r="T913" s="29">
        <f t="shared" si="69"/>
        <v>0.18130764963632756</v>
      </c>
      <c r="U913" s="29">
        <f t="shared" si="70"/>
        <v>0.22108971638373448</v>
      </c>
      <c r="V913" s="29">
        <f t="shared" si="71"/>
        <v>2.5902665692597907E-3</v>
      </c>
    </row>
    <row r="914" spans="18:22" x14ac:dyDescent="0.4">
      <c r="R914" s="28">
        <f t="shared" si="67"/>
        <v>71.119999999998839</v>
      </c>
      <c r="S914" s="29">
        <f t="shared" si="68"/>
        <v>6.6378493583613654E-2</v>
      </c>
      <c r="T914" s="29">
        <f t="shared" si="69"/>
        <v>0.18130764963676305</v>
      </c>
      <c r="U914" s="29">
        <f t="shared" si="70"/>
        <v>0.2210935293833213</v>
      </c>
      <c r="V914" s="29">
        <f t="shared" si="71"/>
        <v>2.5903128314819562E-3</v>
      </c>
    </row>
    <row r="915" spans="18:22" x14ac:dyDescent="0.4">
      <c r="R915" s="28">
        <f t="shared" si="67"/>
        <v>71.199999999998838</v>
      </c>
      <c r="S915" s="29">
        <f t="shared" si="68"/>
        <v>6.6378493695741461E-2</v>
      </c>
      <c r="T915" s="29">
        <f t="shared" si="69"/>
        <v>0.18130764963719068</v>
      </c>
      <c r="U915" s="29">
        <f t="shared" si="70"/>
        <v>0.22109731684891934</v>
      </c>
      <c r="V915" s="29">
        <f t="shared" si="71"/>
        <v>2.590358783906275E-3</v>
      </c>
    </row>
    <row r="916" spans="18:22" x14ac:dyDescent="0.4">
      <c r="R916" s="28">
        <f t="shared" si="67"/>
        <v>71.279999999998836</v>
      </c>
      <c r="S916" s="29">
        <f t="shared" si="68"/>
        <v>6.6378493805846497E-2</v>
      </c>
      <c r="T916" s="29">
        <f t="shared" si="69"/>
        <v>0.18130764963761059</v>
      </c>
      <c r="U916" s="29">
        <f t="shared" si="70"/>
        <v>0.22110107895151856</v>
      </c>
      <c r="V916" s="29">
        <f t="shared" si="71"/>
        <v>2.5904044286073277E-3</v>
      </c>
    </row>
    <row r="917" spans="18:22" x14ac:dyDescent="0.4">
      <c r="R917" s="28">
        <f t="shared" si="67"/>
        <v>71.359999999998834</v>
      </c>
      <c r="S917" s="29">
        <f t="shared" si="68"/>
        <v>6.6378493913965261E-2</v>
      </c>
      <c r="T917" s="29">
        <f t="shared" si="69"/>
        <v>0.1813076496380229</v>
      </c>
      <c r="U917" s="29">
        <f t="shared" si="70"/>
        <v>0.22110481586096384</v>
      </c>
      <c r="V917" s="29">
        <f t="shared" si="71"/>
        <v>2.5904497676458018E-3</v>
      </c>
    </row>
    <row r="918" spans="18:22" x14ac:dyDescent="0.4">
      <c r="R918" s="28">
        <f t="shared" si="67"/>
        <v>71.439999999998832</v>
      </c>
      <c r="S918" s="29">
        <f t="shared" si="68"/>
        <v>6.6378494020133572E-2</v>
      </c>
      <c r="T918" s="29">
        <f t="shared" si="69"/>
        <v>0.1813076496384278</v>
      </c>
      <c r="U918" s="29">
        <f t="shared" si="70"/>
        <v>0.22110852774596271</v>
      </c>
      <c r="V918" s="29">
        <f t="shared" si="71"/>
        <v>2.5904948030685865E-3</v>
      </c>
    </row>
    <row r="919" spans="18:22" x14ac:dyDescent="0.4">
      <c r="R919" s="28">
        <f t="shared" si="67"/>
        <v>71.519999999998831</v>
      </c>
      <c r="S919" s="29">
        <f t="shared" si="68"/>
        <v>6.6378494124386636E-2</v>
      </c>
      <c r="T919" s="29">
        <f t="shared" si="69"/>
        <v>0.18130764963882537</v>
      </c>
      <c r="U919" s="29">
        <f t="shared" si="70"/>
        <v>0.2211122147740929</v>
      </c>
      <c r="V919" s="29">
        <f t="shared" si="71"/>
        <v>2.5905395369088631E-3</v>
      </c>
    </row>
    <row r="920" spans="18:22" x14ac:dyDescent="0.4">
      <c r="R920" s="28">
        <f t="shared" si="67"/>
        <v>71.599999999998829</v>
      </c>
      <c r="S920" s="29">
        <f t="shared" si="68"/>
        <v>6.6378494226758983E-2</v>
      </c>
      <c r="T920" s="29">
        <f t="shared" si="69"/>
        <v>0.18130764963921575</v>
      </c>
      <c r="U920" s="29">
        <f t="shared" si="70"/>
        <v>0.22111587711180999</v>
      </c>
      <c r="V920" s="29">
        <f t="shared" si="71"/>
        <v>2.590583971186197E-3</v>
      </c>
    </row>
    <row r="921" spans="18:22" x14ac:dyDescent="0.4">
      <c r="R921" s="28">
        <f t="shared" si="67"/>
        <v>71.679999999998827</v>
      </c>
      <c r="S921" s="29">
        <f t="shared" si="68"/>
        <v>6.6378494327284557E-2</v>
      </c>
      <c r="T921" s="29">
        <f t="shared" si="69"/>
        <v>0.18130764963959911</v>
      </c>
      <c r="U921" s="29">
        <f t="shared" si="70"/>
        <v>0.22111951492445489</v>
      </c>
      <c r="V921" s="29">
        <f t="shared" si="71"/>
        <v>2.5906281079066304E-3</v>
      </c>
    </row>
    <row r="922" spans="18:22" x14ac:dyDescent="0.4">
      <c r="R922" s="28">
        <f t="shared" ref="R922:R985" si="72">R921+$S$22</f>
        <v>71.759999999998826</v>
      </c>
      <c r="S922" s="29">
        <f t="shared" ref="S922:S985" si="73">IF(S$13,S921*S$18+(S$14+S$15*IF(S$17,$D$71,0))*S$19,NA())</f>
        <v>6.6378494425996665E-2</v>
      </c>
      <c r="T922" s="29">
        <f t="shared" ref="T922:T985" si="74">IF(T$13,T921*T$18+(T$14+T$15*IF(T$17,$D$71,(S921+S922)/2))*T$19,NA())</f>
        <v>0.18130764963997556</v>
      </c>
      <c r="U922" s="29">
        <f t="shared" ref="U922:U985" si="75">IF(U$13,U921*U$18+(U$14+U$15*IF(U$17,$D$71,(T921+T922)/2))*U$19,NA())</f>
        <v>0.22112312837626127</v>
      </c>
      <c r="V922" s="29">
        <f t="shared" ref="V922:V985" si="76">IF(V$13,V921*V$18+(V$14+V$15*IF(V$17,$D$71,(U921+U922)/2))*V$19,NA())</f>
        <v>2.5906719490627712E-3</v>
      </c>
    </row>
    <row r="923" spans="18:22" x14ac:dyDescent="0.4">
      <c r="R923" s="28">
        <f t="shared" si="72"/>
        <v>71.839999999998824</v>
      </c>
      <c r="S923" s="29">
        <f t="shared" si="73"/>
        <v>6.6378494522928017E-2</v>
      </c>
      <c r="T923" s="29">
        <f t="shared" si="74"/>
        <v>0.18130764964034521</v>
      </c>
      <c r="U923" s="29">
        <f t="shared" si="75"/>
        <v>0.22112671763036296</v>
      </c>
      <c r="V923" s="29">
        <f t="shared" si="76"/>
        <v>2.5907154966338846E-3</v>
      </c>
    </row>
    <row r="924" spans="18:22" x14ac:dyDescent="0.4">
      <c r="R924" s="28">
        <f t="shared" si="72"/>
        <v>71.919999999998822</v>
      </c>
      <c r="S924" s="29">
        <f t="shared" si="73"/>
        <v>6.6378494618110753E-2</v>
      </c>
      <c r="T924" s="29">
        <f t="shared" si="74"/>
        <v>0.1813076496407082</v>
      </c>
      <c r="U924" s="29">
        <f t="shared" si="75"/>
        <v>0.22113028284880143</v>
      </c>
      <c r="V924" s="29">
        <f t="shared" si="76"/>
        <v>2.5907587525859808E-3</v>
      </c>
    </row>
    <row r="925" spans="18:22" x14ac:dyDescent="0.4">
      <c r="R925" s="28">
        <f t="shared" si="72"/>
        <v>71.99999999999882</v>
      </c>
      <c r="S925" s="29">
        <f t="shared" si="73"/>
        <v>6.6378494711576405E-2</v>
      </c>
      <c r="T925" s="29">
        <f t="shared" si="74"/>
        <v>0.18130764964106463</v>
      </c>
      <c r="U925" s="29">
        <f t="shared" si="75"/>
        <v>0.221133824192533</v>
      </c>
      <c r="V925" s="29">
        <f t="shared" si="76"/>
        <v>2.5908017188719049E-3</v>
      </c>
    </row>
    <row r="926" spans="18:22" x14ac:dyDescent="0.4">
      <c r="R926" s="28">
        <f t="shared" si="72"/>
        <v>72.079999999998819</v>
      </c>
      <c r="S926" s="29">
        <f t="shared" si="73"/>
        <v>6.6378494803355961E-2</v>
      </c>
      <c r="T926" s="29">
        <f t="shared" si="74"/>
        <v>0.18130764964141466</v>
      </c>
      <c r="U926" s="29">
        <f t="shared" si="75"/>
        <v>0.22113734182143607</v>
      </c>
      <c r="V926" s="29">
        <f t="shared" si="76"/>
        <v>2.5908443974314238E-3</v>
      </c>
    </row>
    <row r="927" spans="18:22" x14ac:dyDescent="0.4">
      <c r="R927" s="28">
        <f t="shared" si="72"/>
        <v>72.159999999998817</v>
      </c>
      <c r="S927" s="29">
        <f t="shared" si="73"/>
        <v>6.6378494893479828E-2</v>
      </c>
      <c r="T927" s="29">
        <f t="shared" si="74"/>
        <v>0.18130764964175836</v>
      </c>
      <c r="U927" s="29">
        <f t="shared" si="75"/>
        <v>0.22114083589431852</v>
      </c>
      <c r="V927" s="29">
        <f t="shared" si="76"/>
        <v>2.5908867901913162E-3</v>
      </c>
    </row>
    <row r="928" spans="18:22" x14ac:dyDescent="0.4">
      <c r="R928" s="28">
        <f t="shared" si="72"/>
        <v>72.239999999998815</v>
      </c>
      <c r="S928" s="29">
        <f t="shared" si="73"/>
        <v>6.637849498197787E-2</v>
      </c>
      <c r="T928" s="29">
        <f t="shared" si="74"/>
        <v>0.18130764964209584</v>
      </c>
      <c r="U928" s="29">
        <f t="shared" si="75"/>
        <v>0.22114430656892467</v>
      </c>
      <c r="V928" s="29">
        <f t="shared" si="76"/>
        <v>2.5909288990654564E-3</v>
      </c>
    </row>
    <row r="929" spans="18:22" x14ac:dyDescent="0.4">
      <c r="R929" s="28">
        <f t="shared" si="72"/>
        <v>72.319999999998814</v>
      </c>
      <c r="S929" s="29">
        <f t="shared" si="73"/>
        <v>6.6378495068879426E-2</v>
      </c>
      <c r="T929" s="29">
        <f t="shared" si="74"/>
        <v>0.18130764964242724</v>
      </c>
      <c r="U929" s="29">
        <f t="shared" si="75"/>
        <v>0.22114775400194253</v>
      </c>
      <c r="V929" s="29">
        <f t="shared" si="76"/>
        <v>2.5909707259549027E-3</v>
      </c>
    </row>
    <row r="930" spans="18:22" x14ac:dyDescent="0.4">
      <c r="R930" s="28">
        <f t="shared" si="72"/>
        <v>72.399999999998812</v>
      </c>
      <c r="S930" s="29">
        <f t="shared" si="73"/>
        <v>6.6378495154213291E-2</v>
      </c>
      <c r="T930" s="29">
        <f t="shared" si="74"/>
        <v>0.18130764964275267</v>
      </c>
      <c r="U930" s="29">
        <f t="shared" si="75"/>
        <v>0.22115117834901088</v>
      </c>
      <c r="V930" s="29">
        <f t="shared" si="76"/>
        <v>2.5910122727479837E-3</v>
      </c>
    </row>
    <row r="931" spans="18:22" x14ac:dyDescent="0.4">
      <c r="R931" s="28">
        <f t="shared" si="72"/>
        <v>72.47999999999881</v>
      </c>
      <c r="S931" s="29">
        <f t="shared" si="73"/>
        <v>6.6378495238007748E-2</v>
      </c>
      <c r="T931" s="29">
        <f t="shared" si="74"/>
        <v>0.18130764964307222</v>
      </c>
      <c r="U931" s="29">
        <f t="shared" si="75"/>
        <v>0.22115457976472619</v>
      </c>
      <c r="V931" s="29">
        <f t="shared" si="76"/>
        <v>2.5910535413203816E-3</v>
      </c>
    </row>
    <row r="932" spans="18:22" x14ac:dyDescent="0.4">
      <c r="R932" s="28">
        <f t="shared" si="72"/>
        <v>72.559999999998809</v>
      </c>
      <c r="S932" s="29">
        <f t="shared" si="73"/>
        <v>6.6378495320290568E-2</v>
      </c>
      <c r="T932" s="29">
        <f t="shared" si="74"/>
        <v>0.181307649643386</v>
      </c>
      <c r="U932" s="29">
        <f t="shared" si="75"/>
        <v>0.22115795840264968</v>
      </c>
      <c r="V932" s="29">
        <f t="shared" si="76"/>
        <v>2.591094533535219E-3</v>
      </c>
    </row>
    <row r="933" spans="18:22" x14ac:dyDescent="0.4">
      <c r="R933" s="28">
        <f t="shared" si="72"/>
        <v>72.639999999998807</v>
      </c>
      <c r="S933" s="29">
        <f t="shared" si="73"/>
        <v>6.6378495401089019E-2</v>
      </c>
      <c r="T933" s="29">
        <f t="shared" si="74"/>
        <v>0.18130764964369414</v>
      </c>
      <c r="U933" s="29">
        <f t="shared" si="75"/>
        <v>0.22116131441531425</v>
      </c>
      <c r="V933" s="29">
        <f t="shared" si="76"/>
        <v>2.5911352512431409E-3</v>
      </c>
    </row>
    <row r="934" spans="18:22" x14ac:dyDescent="0.4">
      <c r="R934" s="28">
        <f t="shared" si="72"/>
        <v>72.719999999998805</v>
      </c>
      <c r="S934" s="29">
        <f t="shared" si="73"/>
        <v>6.6378495480429886E-2</v>
      </c>
      <c r="T934" s="29">
        <f t="shared" si="74"/>
        <v>0.18130764964399673</v>
      </c>
      <c r="U934" s="29">
        <f t="shared" si="75"/>
        <v>0.22116464795423141</v>
      </c>
      <c r="V934" s="29">
        <f t="shared" si="76"/>
        <v>2.5911756962824E-3</v>
      </c>
    </row>
    <row r="935" spans="18:22" x14ac:dyDescent="0.4">
      <c r="R935" s="28">
        <f t="shared" si="72"/>
        <v>72.799999999998803</v>
      </c>
      <c r="S935" s="29">
        <f t="shared" si="73"/>
        <v>6.6378495558339454E-2</v>
      </c>
      <c r="T935" s="29">
        <f t="shared" si="74"/>
        <v>0.18130764964429386</v>
      </c>
      <c r="U935" s="29">
        <f t="shared" si="75"/>
        <v>0.22116795916989795</v>
      </c>
      <c r="V935" s="29">
        <f t="shared" si="76"/>
        <v>2.5912158704789398E-3</v>
      </c>
    </row>
    <row r="936" spans="18:22" x14ac:dyDescent="0.4">
      <c r="R936" s="28">
        <f t="shared" si="72"/>
        <v>72.879999999998802</v>
      </c>
      <c r="S936" s="29">
        <f t="shared" si="73"/>
        <v>6.6378495634843548E-2</v>
      </c>
      <c r="T936" s="29">
        <f t="shared" si="74"/>
        <v>0.18130764964458562</v>
      </c>
      <c r="U936" s="29">
        <f t="shared" si="75"/>
        <v>0.22117124821180292</v>
      </c>
      <c r="V936" s="29">
        <f t="shared" si="76"/>
        <v>2.5912557756464748E-3</v>
      </c>
    </row>
    <row r="937" spans="18:22" x14ac:dyDescent="0.4">
      <c r="R937" s="28">
        <f t="shared" si="72"/>
        <v>72.9599999999988</v>
      </c>
      <c r="S937" s="29">
        <f t="shared" si="73"/>
        <v>6.6378495709967511E-2</v>
      </c>
      <c r="T937" s="29">
        <f t="shared" si="74"/>
        <v>0.18130764964487212</v>
      </c>
      <c r="U937" s="29">
        <f t="shared" si="75"/>
        <v>0.22117451522843429</v>
      </c>
      <c r="V937" s="29">
        <f t="shared" si="76"/>
        <v>2.5912954135865742E-3</v>
      </c>
    </row>
    <row r="938" spans="18:22" x14ac:dyDescent="0.4">
      <c r="R938" s="28">
        <f t="shared" si="72"/>
        <v>73.039999999998798</v>
      </c>
      <c r="S938" s="29">
        <f t="shared" si="73"/>
        <v>6.6378495783736252E-2</v>
      </c>
      <c r="T938" s="29">
        <f t="shared" si="74"/>
        <v>0.18130764964515345</v>
      </c>
      <c r="U938" s="29">
        <f t="shared" si="75"/>
        <v>0.22117776036728565</v>
      </c>
      <c r="V938" s="29">
        <f t="shared" si="76"/>
        <v>2.5913347860887434E-3</v>
      </c>
    </row>
    <row r="939" spans="18:22" x14ac:dyDescent="0.4">
      <c r="R939" s="28">
        <f t="shared" si="72"/>
        <v>73.119999999998797</v>
      </c>
      <c r="S939" s="29">
        <f t="shared" si="73"/>
        <v>6.6378495856174224E-2</v>
      </c>
      <c r="T939" s="29">
        <f t="shared" si="74"/>
        <v>0.1813076496454297</v>
      </c>
      <c r="U939" s="29">
        <f t="shared" si="75"/>
        <v>0.22118098377486292</v>
      </c>
      <c r="V939" s="29">
        <f t="shared" si="76"/>
        <v>2.5913738949305039E-3</v>
      </c>
    </row>
    <row r="940" spans="18:22" x14ac:dyDescent="0.4">
      <c r="R940" s="28">
        <f t="shared" si="72"/>
        <v>73.199999999998795</v>
      </c>
      <c r="S940" s="29">
        <f t="shared" si="73"/>
        <v>6.6378495927305423E-2</v>
      </c>
      <c r="T940" s="29">
        <f t="shared" si="74"/>
        <v>0.18130764964570095</v>
      </c>
      <c r="U940" s="29">
        <f t="shared" si="75"/>
        <v>0.22118418559669095</v>
      </c>
      <c r="V940" s="29">
        <f t="shared" si="76"/>
        <v>2.5914127418774748E-3</v>
      </c>
    </row>
    <row r="941" spans="18:22" x14ac:dyDescent="0.4">
      <c r="R941" s="28">
        <f t="shared" si="72"/>
        <v>73.279999999998793</v>
      </c>
      <c r="S941" s="29">
        <f t="shared" si="73"/>
        <v>6.6378495997153425E-2</v>
      </c>
      <c r="T941" s="29">
        <f t="shared" si="74"/>
        <v>0.18130764964596735</v>
      </c>
      <c r="U941" s="29">
        <f t="shared" si="75"/>
        <v>0.22118736597732006</v>
      </c>
      <c r="V941" s="29">
        <f t="shared" si="76"/>
        <v>2.5914513286834496E-3</v>
      </c>
    </row>
    <row r="942" spans="18:22" x14ac:dyDescent="0.4">
      <c r="R942" s="28">
        <f t="shared" si="72"/>
        <v>73.359999999998792</v>
      </c>
      <c r="S942" s="29">
        <f t="shared" si="73"/>
        <v>6.637849606574138E-2</v>
      </c>
      <c r="T942" s="29">
        <f t="shared" si="74"/>
        <v>0.18130764964622889</v>
      </c>
      <c r="U942" s="29">
        <f t="shared" si="75"/>
        <v>0.22119052506033254</v>
      </c>
      <c r="V942" s="29">
        <f t="shared" si="76"/>
        <v>2.591489657090479E-3</v>
      </c>
    </row>
    <row r="943" spans="18:22" x14ac:dyDescent="0.4">
      <c r="R943" s="28">
        <f t="shared" si="72"/>
        <v>73.43999999999879</v>
      </c>
      <c r="S943" s="29">
        <f t="shared" si="73"/>
        <v>6.6378496133092033E-2</v>
      </c>
      <c r="T943" s="29">
        <f t="shared" si="74"/>
        <v>0.18130764964648574</v>
      </c>
      <c r="U943" s="29">
        <f t="shared" si="75"/>
        <v>0.22119366298834922</v>
      </c>
      <c r="V943" s="29">
        <f t="shared" si="76"/>
        <v>2.5915277288289483E-3</v>
      </c>
    </row>
    <row r="944" spans="18:22" x14ac:dyDescent="0.4">
      <c r="R944" s="28">
        <f t="shared" si="72"/>
        <v>73.519999999998788</v>
      </c>
      <c r="S944" s="29">
        <f t="shared" si="73"/>
        <v>6.6378496199227685E-2</v>
      </c>
      <c r="T944" s="29">
        <f t="shared" si="74"/>
        <v>0.18130764964673796</v>
      </c>
      <c r="U944" s="29">
        <f t="shared" si="75"/>
        <v>0.22119677990303582</v>
      </c>
      <c r="V944" s="29">
        <f t="shared" si="76"/>
        <v>2.5915655456176536E-3</v>
      </c>
    </row>
    <row r="945" spans="18:22" x14ac:dyDescent="0.4">
      <c r="R945" s="28">
        <f t="shared" si="72"/>
        <v>73.599999999998786</v>
      </c>
      <c r="S945" s="29">
        <f t="shared" si="73"/>
        <v>6.6378496264170264E-2</v>
      </c>
      <c r="T945" s="29">
        <f t="shared" si="74"/>
        <v>0.18130764964698562</v>
      </c>
      <c r="U945" s="29">
        <f t="shared" si="75"/>
        <v>0.22119987594510945</v>
      </c>
      <c r="V945" s="29">
        <f t="shared" si="76"/>
        <v>2.5916031091638824E-3</v>
      </c>
    </row>
    <row r="946" spans="18:22" x14ac:dyDescent="0.4">
      <c r="R946" s="28">
        <f t="shared" si="72"/>
        <v>73.679999999998785</v>
      </c>
      <c r="S946" s="29">
        <f t="shared" si="73"/>
        <v>6.6378496327941294E-2</v>
      </c>
      <c r="T946" s="29">
        <f t="shared" si="74"/>
        <v>0.18130764964722881</v>
      </c>
      <c r="U946" s="29">
        <f t="shared" si="75"/>
        <v>0.22120295125434483</v>
      </c>
      <c r="V946" s="29">
        <f t="shared" si="76"/>
        <v>2.5916404211634883E-3</v>
      </c>
    </row>
    <row r="947" spans="18:22" x14ac:dyDescent="0.4">
      <c r="R947" s="28">
        <f t="shared" si="72"/>
        <v>73.759999999998783</v>
      </c>
      <c r="S947" s="29">
        <f t="shared" si="73"/>
        <v>6.6378496390561897E-2</v>
      </c>
      <c r="T947" s="29">
        <f t="shared" si="74"/>
        <v>0.18130764964746762</v>
      </c>
      <c r="U947" s="29">
        <f t="shared" si="75"/>
        <v>0.22120600596958073</v>
      </c>
      <c r="V947" s="29">
        <f t="shared" si="76"/>
        <v>2.5916774833009688E-3</v>
      </c>
    </row>
    <row r="948" spans="18:22" x14ac:dyDescent="0.4">
      <c r="R948" s="28">
        <f t="shared" si="72"/>
        <v>73.839999999998781</v>
      </c>
      <c r="S948" s="29">
        <f t="shared" si="73"/>
        <v>6.6378496452052835E-2</v>
      </c>
      <c r="T948" s="29">
        <f t="shared" si="74"/>
        <v>0.18130764964770213</v>
      </c>
      <c r="U948" s="29">
        <f t="shared" si="75"/>
        <v>0.22120904022872612</v>
      </c>
      <c r="V948" s="29">
        <f t="shared" si="76"/>
        <v>2.5917142972495416E-3</v>
      </c>
    </row>
    <row r="949" spans="18:22" x14ac:dyDescent="0.4">
      <c r="R949" s="28">
        <f t="shared" si="72"/>
        <v>73.91999999999878</v>
      </c>
      <c r="S949" s="29">
        <f t="shared" si="73"/>
        <v>6.6378496512434493E-2</v>
      </c>
      <c r="T949" s="29">
        <f t="shared" si="74"/>
        <v>0.18130764964793239</v>
      </c>
      <c r="U949" s="29">
        <f t="shared" si="75"/>
        <v>0.22121205416876649</v>
      </c>
      <c r="V949" s="29">
        <f t="shared" si="76"/>
        <v>2.591750864671219E-3</v>
      </c>
    </row>
    <row r="950" spans="18:22" x14ac:dyDescent="0.4">
      <c r="R950" s="28">
        <f t="shared" si="72"/>
        <v>73.999999999998778</v>
      </c>
      <c r="S950" s="29">
        <f t="shared" si="73"/>
        <v>6.6378496571726869E-2</v>
      </c>
      <c r="T950" s="29">
        <f t="shared" si="74"/>
        <v>0.18130764964815849</v>
      </c>
      <c r="U950" s="29">
        <f t="shared" si="75"/>
        <v>0.22121504792577001</v>
      </c>
      <c r="V950" s="29">
        <f t="shared" si="76"/>
        <v>2.5917871872168834E-3</v>
      </c>
    </row>
    <row r="951" spans="18:22" x14ac:dyDescent="0.4">
      <c r="R951" s="28">
        <f t="shared" si="72"/>
        <v>74.079999999998776</v>
      </c>
      <c r="S951" s="29">
        <f t="shared" si="73"/>
        <v>6.6378496629949629E-2</v>
      </c>
      <c r="T951" s="29">
        <f t="shared" si="74"/>
        <v>0.18130764964838053</v>
      </c>
      <c r="U951" s="29">
        <f t="shared" si="75"/>
        <v>0.2212180216348936</v>
      </c>
      <c r="V951" s="29">
        <f t="shared" si="76"/>
        <v>2.5918232665263627E-3</v>
      </c>
    </row>
    <row r="952" spans="18:22" x14ac:dyDescent="0.4">
      <c r="R952" s="28">
        <f t="shared" si="72"/>
        <v>74.159999999998774</v>
      </c>
      <c r="S952" s="29">
        <f t="shared" si="73"/>
        <v>6.6378496687122063E-2</v>
      </c>
      <c r="T952" s="29">
        <f t="shared" si="74"/>
        <v>0.18130764964859855</v>
      </c>
      <c r="U952" s="29">
        <f t="shared" si="75"/>
        <v>0.22122097543038916</v>
      </c>
      <c r="V952" s="29">
        <f t="shared" si="76"/>
        <v>2.5918591042285027E-3</v>
      </c>
    </row>
    <row r="953" spans="18:22" x14ac:dyDescent="0.4">
      <c r="R953" s="28">
        <f t="shared" si="72"/>
        <v>74.239999999998773</v>
      </c>
      <c r="S953" s="29">
        <f t="shared" si="73"/>
        <v>6.6378496743263113E-2</v>
      </c>
      <c r="T953" s="29">
        <f t="shared" si="74"/>
        <v>0.18130764964881266</v>
      </c>
      <c r="U953" s="29">
        <f t="shared" si="75"/>
        <v>0.22122390944560952</v>
      </c>
      <c r="V953" s="29">
        <f t="shared" si="76"/>
        <v>2.5918947019412421E-3</v>
      </c>
    </row>
    <row r="954" spans="18:22" x14ac:dyDescent="0.4">
      <c r="R954" s="28">
        <f t="shared" si="72"/>
        <v>74.319999999998771</v>
      </c>
      <c r="S954" s="29">
        <f t="shared" si="73"/>
        <v>6.637849679839139E-2</v>
      </c>
      <c r="T954" s="29">
        <f t="shared" si="74"/>
        <v>0.18130764964902291</v>
      </c>
      <c r="U954" s="29">
        <f t="shared" si="75"/>
        <v>0.22122682381301453</v>
      </c>
      <c r="V954" s="29">
        <f t="shared" si="76"/>
        <v>2.5919300612716849E-3</v>
      </c>
    </row>
    <row r="955" spans="18:22" x14ac:dyDescent="0.4">
      <c r="R955" s="28">
        <f t="shared" si="72"/>
        <v>74.399999999998769</v>
      </c>
      <c r="S955" s="29">
        <f t="shared" si="73"/>
        <v>6.6378496852525157E-2</v>
      </c>
      <c r="T955" s="29">
        <f t="shared" si="74"/>
        <v>0.18130764964922935</v>
      </c>
      <c r="U955" s="29">
        <f t="shared" si="75"/>
        <v>0.22122971866417701</v>
      </c>
      <c r="V955" s="29">
        <f t="shared" si="76"/>
        <v>2.5919651838161731E-3</v>
      </c>
    </row>
    <row r="956" spans="18:22" x14ac:dyDescent="0.4">
      <c r="R956" s="28">
        <f t="shared" si="72"/>
        <v>74.479999999998768</v>
      </c>
      <c r="S956" s="29">
        <f t="shared" si="73"/>
        <v>6.6378496905682358E-2</v>
      </c>
      <c r="T956" s="29">
        <f t="shared" si="74"/>
        <v>0.18130764964943208</v>
      </c>
      <c r="U956" s="29">
        <f t="shared" si="75"/>
        <v>0.22123259412978871</v>
      </c>
      <c r="V956" s="29">
        <f t="shared" si="76"/>
        <v>2.5920000711603581E-3</v>
      </c>
    </row>
    <row r="957" spans="18:22" x14ac:dyDescent="0.4">
      <c r="R957" s="28">
        <f t="shared" si="72"/>
        <v>74.559999999998766</v>
      </c>
      <c r="S957" s="29">
        <f t="shared" si="73"/>
        <v>6.6378496957880617E-2</v>
      </c>
      <c r="T957" s="29">
        <f t="shared" si="74"/>
        <v>0.18130764964963114</v>
      </c>
      <c r="U957" s="29">
        <f t="shared" si="75"/>
        <v>0.22123545033966616</v>
      </c>
      <c r="V957" s="29">
        <f t="shared" si="76"/>
        <v>2.5920347248792738E-3</v>
      </c>
    </row>
    <row r="958" spans="18:22" x14ac:dyDescent="0.4">
      <c r="R958" s="28">
        <f t="shared" si="72"/>
        <v>74.639999999998764</v>
      </c>
      <c r="S958" s="29">
        <f t="shared" si="73"/>
        <v>6.6378497009137227E-2</v>
      </c>
      <c r="T958" s="29">
        <f t="shared" si="74"/>
        <v>0.1813076496498266</v>
      </c>
      <c r="U958" s="29">
        <f t="shared" si="75"/>
        <v>0.22123828742275659</v>
      </c>
      <c r="V958" s="29">
        <f t="shared" si="76"/>
        <v>2.5920691465374066E-3</v>
      </c>
    </row>
    <row r="959" spans="18:22" x14ac:dyDescent="0.4">
      <c r="R959" s="28">
        <f t="shared" si="72"/>
        <v>74.719999999998763</v>
      </c>
      <c r="S959" s="29">
        <f t="shared" si="73"/>
        <v>6.6378497059469174E-2</v>
      </c>
      <c r="T959" s="29">
        <f t="shared" si="74"/>
        <v>0.18130764965001853</v>
      </c>
      <c r="U959" s="29">
        <f t="shared" si="75"/>
        <v>0.22124110550714368</v>
      </c>
      <c r="V959" s="29">
        <f t="shared" si="76"/>
        <v>2.5921033376887651E-3</v>
      </c>
    </row>
    <row r="960" spans="18:22" x14ac:dyDescent="0.4">
      <c r="R960" s="28">
        <f t="shared" si="72"/>
        <v>74.799999999998761</v>
      </c>
      <c r="S960" s="29">
        <f t="shared" si="73"/>
        <v>6.6378497108893139E-2</v>
      </c>
      <c r="T960" s="29">
        <f t="shared" si="74"/>
        <v>0.18130764965020701</v>
      </c>
      <c r="U960" s="29">
        <f t="shared" si="75"/>
        <v>0.22124390472005345</v>
      </c>
      <c r="V960" s="29">
        <f t="shared" si="76"/>
        <v>2.5921372998769527E-3</v>
      </c>
    </row>
    <row r="961" spans="18:22" x14ac:dyDescent="0.4">
      <c r="R961" s="28">
        <f t="shared" si="72"/>
        <v>74.879999999998759</v>
      </c>
      <c r="S961" s="29">
        <f t="shared" si="73"/>
        <v>6.6378497157425512E-2</v>
      </c>
      <c r="T961" s="29">
        <f t="shared" si="74"/>
        <v>0.18130764965039209</v>
      </c>
      <c r="U961" s="29">
        <f t="shared" si="75"/>
        <v>0.22124668518785995</v>
      </c>
      <c r="V961" s="29">
        <f t="shared" si="76"/>
        <v>2.5921710346352355E-3</v>
      </c>
    </row>
    <row r="962" spans="18:22" x14ac:dyDescent="0.4">
      <c r="R962" s="28">
        <f t="shared" si="72"/>
        <v>74.959999999998757</v>
      </c>
      <c r="S962" s="29">
        <f t="shared" si="73"/>
        <v>6.6378497205082362E-2</v>
      </c>
      <c r="T962" s="29">
        <f t="shared" si="74"/>
        <v>0.18130764965057383</v>
      </c>
      <c r="U962" s="29">
        <f t="shared" si="75"/>
        <v>0.2212494470360909</v>
      </c>
      <c r="V962" s="29">
        <f t="shared" si="76"/>
        <v>2.5922045434866119E-3</v>
      </c>
    </row>
    <row r="963" spans="18:22" x14ac:dyDescent="0.4">
      <c r="R963" s="28">
        <f t="shared" si="72"/>
        <v>75.039999999998756</v>
      </c>
      <c r="S963" s="29">
        <f t="shared" si="73"/>
        <v>6.6378497251879498E-2</v>
      </c>
      <c r="T963" s="29">
        <f t="shared" si="74"/>
        <v>0.1813076496507523</v>
      </c>
      <c r="U963" s="29">
        <f t="shared" si="75"/>
        <v>0.22125219038943342</v>
      </c>
      <c r="V963" s="29">
        <f t="shared" si="76"/>
        <v>2.5922378279438821E-3</v>
      </c>
    </row>
    <row r="964" spans="18:22" x14ac:dyDescent="0.4">
      <c r="R964" s="28">
        <f t="shared" si="72"/>
        <v>75.119999999998754</v>
      </c>
      <c r="S964" s="29">
        <f t="shared" si="73"/>
        <v>6.637849729783242E-2</v>
      </c>
      <c r="T964" s="29">
        <f t="shared" si="74"/>
        <v>0.18130764965092755</v>
      </c>
      <c r="U964" s="29">
        <f t="shared" si="75"/>
        <v>0.22125491537173975</v>
      </c>
      <c r="V964" s="29">
        <f t="shared" si="76"/>
        <v>2.5922708895097144E-3</v>
      </c>
    </row>
    <row r="965" spans="18:22" x14ac:dyDescent="0.4">
      <c r="R965" s="28">
        <f t="shared" si="72"/>
        <v>75.199999999998752</v>
      </c>
      <c r="S965" s="29">
        <f t="shared" si="73"/>
        <v>6.6378497342956352E-2</v>
      </c>
      <c r="T965" s="29">
        <f t="shared" si="74"/>
        <v>0.18130764965109963</v>
      </c>
      <c r="U965" s="29">
        <f t="shared" si="75"/>
        <v>0.22125762210603261</v>
      </c>
      <c r="V965" s="29">
        <f t="shared" si="76"/>
        <v>2.5923037296767155E-3</v>
      </c>
    </row>
    <row r="966" spans="18:22" x14ac:dyDescent="0.4">
      <c r="R966" s="28">
        <f t="shared" si="72"/>
        <v>75.279999999998751</v>
      </c>
      <c r="S966" s="29">
        <f t="shared" si="73"/>
        <v>6.6378497387266255E-2</v>
      </c>
      <c r="T966" s="29">
        <f t="shared" si="74"/>
        <v>0.18130764965126864</v>
      </c>
      <c r="U966" s="29">
        <f t="shared" si="75"/>
        <v>0.22126031071451099</v>
      </c>
      <c r="V966" s="29">
        <f t="shared" si="76"/>
        <v>2.5923363499274965E-3</v>
      </c>
    </row>
    <row r="967" spans="18:22" x14ac:dyDescent="0.4">
      <c r="R967" s="28">
        <f t="shared" si="72"/>
        <v>75.359999999998749</v>
      </c>
      <c r="S967" s="29">
        <f t="shared" si="73"/>
        <v>6.6378497430776826E-2</v>
      </c>
      <c r="T967" s="29">
        <f t="shared" si="74"/>
        <v>0.18130764965143456</v>
      </c>
      <c r="U967" s="29">
        <f t="shared" si="75"/>
        <v>0.22126298131855551</v>
      </c>
      <c r="V967" s="29">
        <f t="shared" si="76"/>
        <v>2.5923687517347398E-3</v>
      </c>
    </row>
    <row r="968" spans="18:22" x14ac:dyDescent="0.4">
      <c r="R968" s="28">
        <f t="shared" si="72"/>
        <v>75.439999999998747</v>
      </c>
      <c r="S968" s="29">
        <f t="shared" si="73"/>
        <v>6.6378497473502468E-2</v>
      </c>
      <c r="T968" s="29">
        <f t="shared" si="74"/>
        <v>0.18130764965159749</v>
      </c>
      <c r="U968" s="29">
        <f t="shared" si="75"/>
        <v>0.22126563403873398</v>
      </c>
      <c r="V968" s="29">
        <f t="shared" si="76"/>
        <v>2.5924009365612664E-3</v>
      </c>
    </row>
    <row r="969" spans="18:22" x14ac:dyDescent="0.4">
      <c r="R969" s="28">
        <f t="shared" si="72"/>
        <v>75.519999999998745</v>
      </c>
      <c r="S969" s="29">
        <f t="shared" si="73"/>
        <v>6.6378497515457352E-2</v>
      </c>
      <c r="T969" s="29">
        <f t="shared" si="74"/>
        <v>0.18130764965175747</v>
      </c>
      <c r="U969" s="29">
        <f t="shared" si="75"/>
        <v>0.22126826899480687</v>
      </c>
      <c r="V969" s="29">
        <f t="shared" si="76"/>
        <v>2.5924329058601009E-3</v>
      </c>
    </row>
    <row r="970" spans="18:22" x14ac:dyDescent="0.4">
      <c r="R970" s="28">
        <f t="shared" si="72"/>
        <v>75.599999999998744</v>
      </c>
      <c r="S970" s="29">
        <f t="shared" si="73"/>
        <v>6.6378497556655369E-2</v>
      </c>
      <c r="T970" s="29">
        <f t="shared" si="74"/>
        <v>0.18130764965191459</v>
      </c>
      <c r="U970" s="29">
        <f t="shared" si="75"/>
        <v>0.22127088630573258</v>
      </c>
      <c r="V970" s="29">
        <f t="shared" si="76"/>
        <v>2.592464661074538E-3</v>
      </c>
    </row>
    <row r="971" spans="18:22" x14ac:dyDescent="0.4">
      <c r="R971" s="28">
        <f t="shared" si="72"/>
        <v>75.679999999998742</v>
      </c>
      <c r="S971" s="29">
        <f t="shared" si="73"/>
        <v>6.6378497597110189E-2</v>
      </c>
      <c r="T971" s="29">
        <f t="shared" si="74"/>
        <v>0.18130764965206889</v>
      </c>
      <c r="U971" s="29">
        <f t="shared" si="75"/>
        <v>0.22127348608967293</v>
      </c>
      <c r="V971" s="29">
        <f t="shared" si="76"/>
        <v>2.5924962036382075E-3</v>
      </c>
    </row>
    <row r="972" spans="18:22" x14ac:dyDescent="0.4">
      <c r="R972" s="28">
        <f t="shared" si="72"/>
        <v>75.75999999999874</v>
      </c>
      <c r="S972" s="29">
        <f t="shared" si="73"/>
        <v>6.6378497636835204E-2</v>
      </c>
      <c r="T972" s="29">
        <f t="shared" si="74"/>
        <v>0.18130764965222038</v>
      </c>
      <c r="U972" s="29">
        <f t="shared" si="75"/>
        <v>0.22127606846399847</v>
      </c>
      <c r="V972" s="29">
        <f t="shared" si="76"/>
        <v>2.5925275349751378E-3</v>
      </c>
    </row>
    <row r="973" spans="18:22" x14ac:dyDescent="0.4">
      <c r="R973" s="28">
        <f t="shared" si="72"/>
        <v>75.839999999998739</v>
      </c>
      <c r="S973" s="29">
        <f t="shared" si="73"/>
        <v>6.6378497675843584E-2</v>
      </c>
      <c r="T973" s="29">
        <f t="shared" si="74"/>
        <v>0.18130764965236915</v>
      </c>
      <c r="U973" s="29">
        <f t="shared" si="75"/>
        <v>0.22127863354529378</v>
      </c>
      <c r="V973" s="29">
        <f t="shared" si="76"/>
        <v>2.5925586564998224E-3</v>
      </c>
    </row>
    <row r="974" spans="18:22" x14ac:dyDescent="0.4">
      <c r="R974" s="28">
        <f t="shared" si="72"/>
        <v>75.919999999998737</v>
      </c>
      <c r="S974" s="29">
        <f t="shared" si="73"/>
        <v>6.6378497714148263E-2</v>
      </c>
      <c r="T974" s="29">
        <f t="shared" si="74"/>
        <v>0.18130764965251522</v>
      </c>
      <c r="U974" s="29">
        <f t="shared" si="75"/>
        <v>0.22128118144936271</v>
      </c>
      <c r="V974" s="29">
        <f t="shared" si="76"/>
        <v>2.5925895696172815E-3</v>
      </c>
    </row>
    <row r="975" spans="18:22" x14ac:dyDescent="0.4">
      <c r="R975" s="28">
        <f t="shared" si="72"/>
        <v>75.999999999998735</v>
      </c>
      <c r="S975" s="29">
        <f t="shared" si="73"/>
        <v>6.6378497751761939E-2</v>
      </c>
      <c r="T975" s="29">
        <f t="shared" si="74"/>
        <v>0.18130764965265866</v>
      </c>
      <c r="U975" s="29">
        <f t="shared" si="75"/>
        <v>0.22128371229123359</v>
      </c>
      <c r="V975" s="29">
        <f t="shared" si="76"/>
        <v>2.5926202757231278E-3</v>
      </c>
    </row>
    <row r="976" spans="18:22" x14ac:dyDescent="0.4">
      <c r="R976" s="28">
        <f t="shared" si="72"/>
        <v>76.079999999998734</v>
      </c>
      <c r="S976" s="29">
        <f t="shared" si="73"/>
        <v>6.6378497788697061E-2</v>
      </c>
      <c r="T976" s="29">
        <f t="shared" si="74"/>
        <v>0.1813076496527995</v>
      </c>
      <c r="U976" s="29">
        <f t="shared" si="75"/>
        <v>0.22128622618516453</v>
      </c>
      <c r="V976" s="29">
        <f t="shared" si="76"/>
        <v>2.5926507762036271E-3</v>
      </c>
    </row>
    <row r="977" spans="18:22" x14ac:dyDescent="0.4">
      <c r="R977" s="28">
        <f t="shared" si="72"/>
        <v>76.159999999998732</v>
      </c>
      <c r="S977" s="29">
        <f t="shared" si="73"/>
        <v>6.6378497824965882E-2</v>
      </c>
      <c r="T977" s="29">
        <f t="shared" si="74"/>
        <v>0.1813076496529378</v>
      </c>
      <c r="U977" s="29">
        <f t="shared" si="75"/>
        <v>0.22128872324464843</v>
      </c>
      <c r="V977" s="29">
        <f t="shared" si="76"/>
        <v>2.5926810724357621E-3</v>
      </c>
    </row>
    <row r="978" spans="18:22" x14ac:dyDescent="0.4">
      <c r="R978" s="28">
        <f t="shared" si="72"/>
        <v>76.23999999999873</v>
      </c>
      <c r="S978" s="29">
        <f t="shared" si="73"/>
        <v>6.6378497860580421E-2</v>
      </c>
      <c r="T978" s="29">
        <f t="shared" si="74"/>
        <v>0.18130764965307364</v>
      </c>
      <c r="U978" s="29">
        <f t="shared" si="75"/>
        <v>0.22129120358241824</v>
      </c>
      <c r="V978" s="29">
        <f t="shared" si="76"/>
        <v>2.5927111657872946E-3</v>
      </c>
    </row>
    <row r="979" spans="18:22" x14ac:dyDescent="0.4">
      <c r="R979" s="28">
        <f t="shared" si="72"/>
        <v>76.319999999998728</v>
      </c>
      <c r="S979" s="29">
        <f t="shared" si="73"/>
        <v>6.6378497895552474E-2</v>
      </c>
      <c r="T979" s="29">
        <f t="shared" si="74"/>
        <v>0.18130764965320703</v>
      </c>
      <c r="U979" s="29">
        <f t="shared" si="75"/>
        <v>0.22129366731045197</v>
      </c>
      <c r="V979" s="29">
        <f t="shared" si="76"/>
        <v>2.5927410576168275E-3</v>
      </c>
    </row>
    <row r="980" spans="18:22" x14ac:dyDescent="0.4">
      <c r="R980" s="28">
        <f t="shared" si="72"/>
        <v>76.399999999998727</v>
      </c>
      <c r="S980" s="29">
        <f t="shared" si="73"/>
        <v>6.6378497929893643E-2</v>
      </c>
      <c r="T980" s="29">
        <f t="shared" si="74"/>
        <v>0.18130764965333798</v>
      </c>
      <c r="U980" s="29">
        <f t="shared" si="75"/>
        <v>0.22129611453997772</v>
      </c>
      <c r="V980" s="29">
        <f t="shared" si="76"/>
        <v>2.5927707492738659E-3</v>
      </c>
    </row>
    <row r="981" spans="18:22" x14ac:dyDescent="0.4">
      <c r="R981" s="28">
        <f t="shared" si="72"/>
        <v>76.479999999998725</v>
      </c>
      <c r="S981" s="29">
        <f t="shared" si="73"/>
        <v>6.6378497963615307E-2</v>
      </c>
      <c r="T981" s="29">
        <f t="shared" si="74"/>
        <v>0.18130764965346657</v>
      </c>
      <c r="U981" s="29">
        <f t="shared" si="75"/>
        <v>0.22129854538147878</v>
      </c>
      <c r="V981" s="29">
        <f t="shared" si="76"/>
        <v>2.5928002420988767E-3</v>
      </c>
    </row>
    <row r="982" spans="18:22" x14ac:dyDescent="0.4">
      <c r="R982" s="28">
        <f t="shared" si="72"/>
        <v>76.559999999998723</v>
      </c>
      <c r="S982" s="29">
        <f t="shared" si="73"/>
        <v>6.6378497996728639E-2</v>
      </c>
      <c r="T982" s="29">
        <f t="shared" si="74"/>
        <v>0.18130764965359286</v>
      </c>
      <c r="U982" s="29">
        <f t="shared" si="75"/>
        <v>0.22130095994469859</v>
      </c>
      <c r="V982" s="29">
        <f t="shared" si="76"/>
        <v>2.5928295374233502E-3</v>
      </c>
    </row>
    <row r="983" spans="18:22" x14ac:dyDescent="0.4">
      <c r="R983" s="28">
        <f t="shared" si="72"/>
        <v>76.639999999998722</v>
      </c>
      <c r="S983" s="29">
        <f t="shared" si="73"/>
        <v>6.6378498029244615E-2</v>
      </c>
      <c r="T983" s="29">
        <f t="shared" si="74"/>
        <v>0.18130764965371687</v>
      </c>
      <c r="U983" s="29">
        <f t="shared" si="75"/>
        <v>0.22130335833864567</v>
      </c>
      <c r="V983" s="29">
        <f t="shared" si="76"/>
        <v>2.5928586365698623E-3</v>
      </c>
    </row>
    <row r="984" spans="18:22" x14ac:dyDescent="0.4">
      <c r="R984" s="28">
        <f t="shared" si="72"/>
        <v>76.71999999999872</v>
      </c>
      <c r="S984" s="29">
        <f t="shared" si="73"/>
        <v>6.6378498061174004E-2</v>
      </c>
      <c r="T984" s="29">
        <f t="shared" si="74"/>
        <v>0.18130764965383867</v>
      </c>
      <c r="U984" s="29">
        <f t="shared" si="75"/>
        <v>0.22130574067159856</v>
      </c>
      <c r="V984" s="29">
        <f t="shared" si="76"/>
        <v>2.5928875408521303E-3</v>
      </c>
    </row>
    <row r="985" spans="18:22" x14ac:dyDescent="0.4">
      <c r="R985" s="28">
        <f t="shared" si="72"/>
        <v>76.799999999998718</v>
      </c>
      <c r="S985" s="29">
        <f t="shared" si="73"/>
        <v>6.6378498092527397E-2</v>
      </c>
      <c r="T985" s="29">
        <f t="shared" si="74"/>
        <v>0.18130764965395824</v>
      </c>
      <c r="U985" s="29">
        <f t="shared" si="75"/>
        <v>0.22130810705111068</v>
      </c>
      <c r="V985" s="29">
        <f t="shared" si="76"/>
        <v>2.5929162515750752E-3</v>
      </c>
    </row>
    <row r="986" spans="18:22" x14ac:dyDescent="0.4">
      <c r="R986" s="28">
        <f t="shared" ref="R986:R1025" si="77">R985+$S$22</f>
        <v>76.879999999998716</v>
      </c>
      <c r="S986" s="29">
        <f t="shared" ref="S986:S1025" si="78">IF(S$13,S985*S$18+(S$14+S$15*IF(S$17,$D$71,0))*S$19,NA())</f>
        <v>6.6378498123315172E-2</v>
      </c>
      <c r="T986" s="29">
        <f t="shared" ref="T986:T1025" si="79">IF(T$13,T985*T$18+(T$14+T$15*IF(T$17,$D$71,(S985+S986)/2))*T$19,NA())</f>
        <v>0.18130764965407564</v>
      </c>
      <c r="U986" s="29">
        <f t="shared" ref="U986:U1025" si="80">IF(U$13,U985*U$18+(U$14+U$15*IF(U$17,$D$71,(T985+T986)/2))*U$19,NA())</f>
        <v>0.22131045758401524</v>
      </c>
      <c r="V986" s="29">
        <f t="shared" ref="V986:V1025" si="81">IF(V$13,V985*V$18+(V$14+V$15*IF(V$17,$D$71,(U985+U986)/2))*V$19,NA())</f>
        <v>2.5929447700348785E-3</v>
      </c>
    </row>
    <row r="987" spans="18:22" x14ac:dyDescent="0.4">
      <c r="R987" s="28">
        <f t="shared" si="77"/>
        <v>76.959999999998715</v>
      </c>
      <c r="S987" s="29">
        <f t="shared" si="78"/>
        <v>6.6378498153547544E-2</v>
      </c>
      <c r="T987" s="29">
        <f t="shared" si="79"/>
        <v>0.18130764965419094</v>
      </c>
      <c r="U987" s="29">
        <f t="shared" si="80"/>
        <v>0.22131279237643006</v>
      </c>
      <c r="V987" s="29">
        <f t="shared" si="81"/>
        <v>2.5929730975190425E-3</v>
      </c>
    </row>
    <row r="988" spans="18:22" x14ac:dyDescent="0.4">
      <c r="R988" s="28">
        <f t="shared" si="77"/>
        <v>77.039999999998713</v>
      </c>
      <c r="S988" s="29">
        <f t="shared" si="78"/>
        <v>6.6378498183234533E-2</v>
      </c>
      <c r="T988" s="29">
        <f t="shared" si="79"/>
        <v>0.18130764965430415</v>
      </c>
      <c r="U988" s="29">
        <f t="shared" si="80"/>
        <v>0.22131511153376232</v>
      </c>
      <c r="V988" s="29">
        <f t="shared" si="81"/>
        <v>2.5930012353064472E-3</v>
      </c>
    </row>
    <row r="989" spans="18:22" x14ac:dyDescent="0.4">
      <c r="R989" s="28">
        <f t="shared" si="77"/>
        <v>77.119999999998711</v>
      </c>
      <c r="S989" s="29">
        <f t="shared" si="78"/>
        <v>6.6378498212385964E-2</v>
      </c>
      <c r="T989" s="29">
        <f t="shared" si="79"/>
        <v>0.18130764965441531</v>
      </c>
      <c r="U989" s="29">
        <f t="shared" si="80"/>
        <v>0.22131741516071329</v>
      </c>
      <c r="V989" s="29">
        <f t="shared" si="81"/>
        <v>2.5930291846674091E-3</v>
      </c>
    </row>
    <row r="990" spans="18:22" x14ac:dyDescent="0.4">
      <c r="R990" s="28">
        <f t="shared" si="77"/>
        <v>77.19999999999871</v>
      </c>
      <c r="S990" s="29">
        <f t="shared" si="78"/>
        <v>6.637849824101151E-2</v>
      </c>
      <c r="T990" s="29">
        <f t="shared" si="79"/>
        <v>0.18130764965452448</v>
      </c>
      <c r="U990" s="29">
        <f t="shared" si="80"/>
        <v>0.22131970336128315</v>
      </c>
      <c r="V990" s="29">
        <f t="shared" si="81"/>
        <v>2.5930569468637379E-3</v>
      </c>
    </row>
    <row r="991" spans="18:22" x14ac:dyDescent="0.4">
      <c r="R991" s="28">
        <f t="shared" si="77"/>
        <v>77.279999999998708</v>
      </c>
      <c r="S991" s="29">
        <f t="shared" si="78"/>
        <v>6.6378498269120664E-2</v>
      </c>
      <c r="T991" s="29">
        <f t="shared" si="79"/>
        <v>0.18130764965463167</v>
      </c>
      <c r="U991" s="29">
        <f t="shared" si="80"/>
        <v>0.22132197623877559</v>
      </c>
      <c r="V991" s="29">
        <f t="shared" si="81"/>
        <v>2.5930845231487924E-3</v>
      </c>
    </row>
    <row r="992" spans="18:22" x14ac:dyDescent="0.4">
      <c r="R992" s="28">
        <f t="shared" si="77"/>
        <v>77.359999999998706</v>
      </c>
      <c r="S992" s="29">
        <f t="shared" si="78"/>
        <v>6.6378498296722724E-2</v>
      </c>
      <c r="T992" s="29">
        <f t="shared" si="79"/>
        <v>0.18130764965473692</v>
      </c>
      <c r="U992" s="29">
        <f t="shared" si="80"/>
        <v>0.22132423389580258</v>
      </c>
      <c r="V992" s="29">
        <f t="shared" si="81"/>
        <v>2.593111914767539E-3</v>
      </c>
    </row>
    <row r="993" spans="18:22" x14ac:dyDescent="0.4">
      <c r="R993" s="28">
        <f t="shared" si="77"/>
        <v>77.439999999998705</v>
      </c>
      <c r="S993" s="29">
        <f t="shared" si="78"/>
        <v>6.6378498323826848E-2</v>
      </c>
      <c r="T993" s="29">
        <f t="shared" si="79"/>
        <v>0.18130764965484028</v>
      </c>
      <c r="U993" s="29">
        <f t="shared" si="80"/>
        <v>0.22132647643428893</v>
      </c>
      <c r="V993" s="29">
        <f t="shared" si="81"/>
        <v>2.5931391229566075E-3</v>
      </c>
    </row>
    <row r="994" spans="18:22" x14ac:dyDescent="0.4">
      <c r="R994" s="28">
        <f t="shared" si="77"/>
        <v>77.519999999998703</v>
      </c>
      <c r="S994" s="29">
        <f t="shared" si="78"/>
        <v>6.6378498350442017E-2</v>
      </c>
      <c r="T994" s="29">
        <f t="shared" si="79"/>
        <v>0.18130764965494178</v>
      </c>
      <c r="U994" s="29">
        <f t="shared" si="80"/>
        <v>0.22132870395547685</v>
      </c>
      <c r="V994" s="29">
        <f t="shared" si="81"/>
        <v>2.5931661489443465E-3</v>
      </c>
    </row>
    <row r="995" spans="18:22" x14ac:dyDescent="0.4">
      <c r="R995" s="28">
        <f t="shared" si="77"/>
        <v>77.599999999998701</v>
      </c>
      <c r="S995" s="29">
        <f t="shared" si="78"/>
        <v>6.6378498376577055E-2</v>
      </c>
      <c r="T995" s="29">
        <f t="shared" si="79"/>
        <v>0.18130764965504145</v>
      </c>
      <c r="U995" s="29">
        <f t="shared" si="80"/>
        <v>0.22133091655993062</v>
      </c>
      <c r="V995" s="29">
        <f t="shared" si="81"/>
        <v>2.593192993950878E-3</v>
      </c>
    </row>
    <row r="996" spans="18:22" x14ac:dyDescent="0.4">
      <c r="R996" s="28">
        <f t="shared" si="77"/>
        <v>77.679999999998699</v>
      </c>
      <c r="S996" s="29">
        <f t="shared" si="78"/>
        <v>6.6378498402240624E-2</v>
      </c>
      <c r="T996" s="29">
        <f t="shared" si="79"/>
        <v>0.18130764965513932</v>
      </c>
      <c r="U996" s="29">
        <f t="shared" si="80"/>
        <v>0.22133311434754108</v>
      </c>
      <c r="V996" s="29">
        <f t="shared" si="81"/>
        <v>2.5932196591881541E-3</v>
      </c>
    </row>
    <row r="997" spans="18:22" x14ac:dyDescent="0.4">
      <c r="R997" s="28">
        <f t="shared" si="77"/>
        <v>77.759999999998698</v>
      </c>
      <c r="S997" s="29">
        <f t="shared" si="78"/>
        <v>6.6378498427441229E-2</v>
      </c>
      <c r="T997" s="29">
        <f t="shared" si="79"/>
        <v>0.18130764965523544</v>
      </c>
      <c r="U997" s="29">
        <f t="shared" si="80"/>
        <v>0.22133529741753016</v>
      </c>
      <c r="V997" s="29">
        <f t="shared" si="81"/>
        <v>2.5932461458600107E-3</v>
      </c>
    </row>
    <row r="998" spans="18:22" x14ac:dyDescent="0.4">
      <c r="R998" s="28">
        <f t="shared" si="77"/>
        <v>77.839999999998696</v>
      </c>
      <c r="S998" s="29">
        <f t="shared" si="78"/>
        <v>6.6378498452187212E-2</v>
      </c>
      <c r="T998" s="29">
        <f t="shared" si="79"/>
        <v>0.18130764965532981</v>
      </c>
      <c r="U998" s="29">
        <f t="shared" si="80"/>
        <v>0.22133746586845529</v>
      </c>
      <c r="V998" s="29">
        <f t="shared" si="81"/>
        <v>2.5932724551622223E-3</v>
      </c>
    </row>
    <row r="999" spans="18:22" x14ac:dyDescent="0.4">
      <c r="R999" s="28">
        <f t="shared" si="77"/>
        <v>77.919999999998694</v>
      </c>
      <c r="S999" s="29">
        <f t="shared" si="78"/>
        <v>6.6378498476486789E-2</v>
      </c>
      <c r="T999" s="29">
        <f t="shared" si="79"/>
        <v>0.18130764965542248</v>
      </c>
      <c r="U999" s="29">
        <f t="shared" si="80"/>
        <v>0.22133961979821398</v>
      </c>
      <c r="V999" s="29">
        <f t="shared" si="81"/>
        <v>2.5932985882825554E-3</v>
      </c>
    </row>
    <row r="1000" spans="18:22" x14ac:dyDescent="0.4">
      <c r="R1000" s="28">
        <f t="shared" si="77"/>
        <v>77.999999999998693</v>
      </c>
      <c r="S1000" s="29">
        <f t="shared" si="78"/>
        <v>6.6378498500348007E-2</v>
      </c>
      <c r="T1000" s="29">
        <f t="shared" si="79"/>
        <v>0.18130764965551346</v>
      </c>
      <c r="U1000" s="29">
        <f t="shared" si="80"/>
        <v>0.22134175930404812</v>
      </c>
      <c r="V1000" s="29">
        <f t="shared" si="81"/>
        <v>2.5933245464008236E-3</v>
      </c>
    </row>
    <row r="1001" spans="18:22" x14ac:dyDescent="0.4">
      <c r="R1001" s="28">
        <f t="shared" si="77"/>
        <v>78.079999999998691</v>
      </c>
      <c r="S1001" s="29">
        <f t="shared" si="78"/>
        <v>6.6378498523778764E-2</v>
      </c>
      <c r="T1001" s="29">
        <f t="shared" si="79"/>
        <v>0.18130764965560284</v>
      </c>
      <c r="U1001" s="29">
        <f t="shared" si="80"/>
        <v>0.22134388448254838</v>
      </c>
      <c r="V1001" s="29">
        <f t="shared" si="81"/>
        <v>2.5933503306889384E-3</v>
      </c>
    </row>
    <row r="1002" spans="18:22" x14ac:dyDescent="0.4">
      <c r="R1002" s="28">
        <f t="shared" si="77"/>
        <v>78.159999999998689</v>
      </c>
      <c r="S1002" s="29">
        <f t="shared" si="78"/>
        <v>6.6378498546786846E-2</v>
      </c>
      <c r="T1002" s="29">
        <f t="shared" si="79"/>
        <v>0.18130764965569057</v>
      </c>
      <c r="U1002" s="29">
        <f t="shared" si="80"/>
        <v>0.22134599542965869</v>
      </c>
      <c r="V1002" s="29">
        <f t="shared" si="81"/>
        <v>2.5933759423109647E-3</v>
      </c>
    </row>
    <row r="1003" spans="18:22" x14ac:dyDescent="0.4">
      <c r="R1003" s="28">
        <f t="shared" si="77"/>
        <v>78.239999999998687</v>
      </c>
      <c r="S1003" s="29">
        <f t="shared" si="78"/>
        <v>6.6378498569379857E-2</v>
      </c>
      <c r="T1003" s="29">
        <f t="shared" si="79"/>
        <v>0.18130764965577675</v>
      </c>
      <c r="U1003" s="29">
        <f t="shared" si="80"/>
        <v>0.22134809224068042</v>
      </c>
      <c r="V1003" s="29">
        <f t="shared" si="81"/>
        <v>2.5934013824231716E-3</v>
      </c>
    </row>
    <row r="1004" spans="18:22" x14ac:dyDescent="0.4">
      <c r="R1004" s="28">
        <f t="shared" si="77"/>
        <v>78.319999999998686</v>
      </c>
      <c r="S1004" s="29">
        <f t="shared" si="78"/>
        <v>6.6378498591565291E-2</v>
      </c>
      <c r="T1004" s="29">
        <f t="shared" si="79"/>
        <v>0.18130764965586135</v>
      </c>
      <c r="U1004" s="29">
        <f t="shared" si="80"/>
        <v>0.22135017501027673</v>
      </c>
      <c r="V1004" s="29">
        <f t="shared" si="81"/>
        <v>2.5934266521740854E-3</v>
      </c>
    </row>
    <row r="1005" spans="18:22" x14ac:dyDescent="0.4">
      <c r="R1005" s="28">
        <f t="shared" si="77"/>
        <v>78.399999999998684</v>
      </c>
      <c r="S1005" s="29">
        <f t="shared" si="78"/>
        <v>6.6378498613350503E-2</v>
      </c>
      <c r="T1005" s="29">
        <f t="shared" si="79"/>
        <v>0.18130764965594443</v>
      </c>
      <c r="U1005" s="29">
        <f t="shared" si="80"/>
        <v>0.22135224383247695</v>
      </c>
      <c r="V1005" s="29">
        <f t="shared" si="81"/>
        <v>2.5934517527045407E-3</v>
      </c>
    </row>
    <row r="1006" spans="18:22" x14ac:dyDescent="0.4">
      <c r="R1006" s="28">
        <f t="shared" si="77"/>
        <v>78.479999999998682</v>
      </c>
      <c r="S1006" s="29">
        <f t="shared" si="78"/>
        <v>6.6378498634742725E-2</v>
      </c>
      <c r="T1006" s="29">
        <f t="shared" si="79"/>
        <v>0.181307649656026</v>
      </c>
      <c r="U1006" s="29">
        <f t="shared" si="80"/>
        <v>0.22135429880068067</v>
      </c>
      <c r="V1006" s="29">
        <f t="shared" si="81"/>
        <v>2.5934766851477328E-3</v>
      </c>
    </row>
    <row r="1007" spans="18:22" x14ac:dyDescent="0.4">
      <c r="R1007" s="28">
        <f t="shared" si="77"/>
        <v>78.559999999998681</v>
      </c>
      <c r="S1007" s="29">
        <f t="shared" si="78"/>
        <v>6.6378498655749033E-2</v>
      </c>
      <c r="T1007" s="29">
        <f t="shared" si="79"/>
        <v>0.18130764965610613</v>
      </c>
      <c r="U1007" s="29">
        <f t="shared" si="80"/>
        <v>0.22135634000766202</v>
      </c>
      <c r="V1007" s="29">
        <f t="shared" si="81"/>
        <v>2.5935014506292689E-3</v>
      </c>
    </row>
    <row r="1008" spans="18:22" x14ac:dyDescent="0.4">
      <c r="R1008" s="28">
        <f t="shared" si="77"/>
        <v>78.639999999998679</v>
      </c>
      <c r="S1008" s="29">
        <f t="shared" si="78"/>
        <v>6.6378498676376393E-2</v>
      </c>
      <c r="T1008" s="29">
        <f t="shared" si="79"/>
        <v>0.18130764965618479</v>
      </c>
      <c r="U1008" s="29">
        <f t="shared" si="80"/>
        <v>0.22135836754557392</v>
      </c>
      <c r="V1008" s="29">
        <f t="shared" si="81"/>
        <v>2.593526050267218E-3</v>
      </c>
    </row>
    <row r="1009" spans="18:22" x14ac:dyDescent="0.4">
      <c r="R1009" s="28">
        <f t="shared" si="77"/>
        <v>78.719999999998677</v>
      </c>
      <c r="S1009" s="29">
        <f t="shared" si="78"/>
        <v>6.6378498696631635E-2</v>
      </c>
      <c r="T1009" s="29">
        <f t="shared" si="79"/>
        <v>0.18130764965626206</v>
      </c>
      <c r="U1009" s="29">
        <f t="shared" si="80"/>
        <v>0.22136038150595208</v>
      </c>
      <c r="V1009" s="29">
        <f t="shared" si="81"/>
        <v>2.593550485172162E-3</v>
      </c>
    </row>
    <row r="1010" spans="18:22" x14ac:dyDescent="0.4">
      <c r="R1010" s="28">
        <f t="shared" si="77"/>
        <v>78.799999999998676</v>
      </c>
      <c r="S1010" s="29">
        <f t="shared" si="78"/>
        <v>6.6378498716521475E-2</v>
      </c>
      <c r="T1010" s="29">
        <f t="shared" si="79"/>
        <v>0.18130764965633792</v>
      </c>
      <c r="U1010" s="29">
        <f t="shared" si="80"/>
        <v>0.22136238197971936</v>
      </c>
      <c r="V1010" s="29">
        <f t="shared" si="81"/>
        <v>2.5935747564472455E-3</v>
      </c>
    </row>
    <row r="1011" spans="18:22" x14ac:dyDescent="0.4">
      <c r="R1011" s="28">
        <f t="shared" si="77"/>
        <v>78.879999999998674</v>
      </c>
      <c r="S1011" s="29">
        <f t="shared" si="78"/>
        <v>6.6378498736052505E-2</v>
      </c>
      <c r="T1011" s="29">
        <f t="shared" si="79"/>
        <v>0.18130764965641238</v>
      </c>
      <c r="U1011" s="29">
        <f t="shared" si="80"/>
        <v>0.22136436905718965</v>
      </c>
      <c r="V1011" s="29">
        <f t="shared" si="81"/>
        <v>2.5935988651882261E-3</v>
      </c>
    </row>
    <row r="1012" spans="18:22" x14ac:dyDescent="0.4">
      <c r="R1012" s="28">
        <f t="shared" si="77"/>
        <v>78.959999999998672</v>
      </c>
      <c r="S1012" s="29">
        <f t="shared" si="78"/>
        <v>6.6378498755231205E-2</v>
      </c>
      <c r="T1012" s="29">
        <f t="shared" si="79"/>
        <v>0.18130764965648552</v>
      </c>
      <c r="U1012" s="29">
        <f t="shared" si="80"/>
        <v>0.2213663428280721</v>
      </c>
      <c r="V1012" s="29">
        <f t="shared" si="81"/>
        <v>2.5936228124835239E-3</v>
      </c>
    </row>
    <row r="1013" spans="18:22" x14ac:dyDescent="0.4">
      <c r="R1013" s="28">
        <f t="shared" si="77"/>
        <v>79.03999999999867</v>
      </c>
      <c r="S1013" s="29">
        <f t="shared" si="78"/>
        <v>6.6378498774063918E-2</v>
      </c>
      <c r="T1013" s="29">
        <f t="shared" si="79"/>
        <v>0.18130764965655732</v>
      </c>
      <c r="U1013" s="29">
        <f t="shared" si="80"/>
        <v>0.22136830338147509</v>
      </c>
      <c r="V1013" s="29">
        <f t="shared" si="81"/>
        <v>2.5936465994142693E-3</v>
      </c>
    </row>
    <row r="1014" spans="18:22" x14ac:dyDescent="0.4">
      <c r="R1014" s="28">
        <f t="shared" si="77"/>
        <v>79.119999999998669</v>
      </c>
      <c r="S1014" s="29">
        <f t="shared" si="78"/>
        <v>6.6378498792556889E-2</v>
      </c>
      <c r="T1014" s="29">
        <f t="shared" si="79"/>
        <v>0.18130764965662785</v>
      </c>
      <c r="U1014" s="29">
        <f t="shared" si="80"/>
        <v>0.22137025080591033</v>
      </c>
      <c r="V1014" s="29">
        <f t="shared" si="81"/>
        <v>2.5936702270543538E-3</v>
      </c>
    </row>
    <row r="1015" spans="18:22" x14ac:dyDescent="0.4">
      <c r="R1015" s="28">
        <f t="shared" si="77"/>
        <v>79.199999999998667</v>
      </c>
      <c r="S1015" s="29">
        <f t="shared" si="78"/>
        <v>6.6378498810716252E-2</v>
      </c>
      <c r="T1015" s="29">
        <f t="shared" si="79"/>
        <v>0.1813076496566971</v>
      </c>
      <c r="U1015" s="29">
        <f t="shared" si="80"/>
        <v>0.22137218518929672</v>
      </c>
      <c r="V1015" s="29">
        <f t="shared" si="81"/>
        <v>2.5936936964704774E-3</v>
      </c>
    </row>
    <row r="1016" spans="18:22" x14ac:dyDescent="0.4">
      <c r="R1016" s="28">
        <f t="shared" si="77"/>
        <v>79.279999999998665</v>
      </c>
      <c r="S1016" s="29">
        <f t="shared" si="78"/>
        <v>6.637849882854803E-2</v>
      </c>
      <c r="T1016" s="29">
        <f t="shared" si="79"/>
        <v>0.1813076496567651</v>
      </c>
      <c r="U1016" s="29">
        <f t="shared" si="80"/>
        <v>0.22137410661896451</v>
      </c>
      <c r="V1016" s="29">
        <f t="shared" si="81"/>
        <v>2.5937170087221967E-3</v>
      </c>
    </row>
    <row r="1017" spans="18:22" x14ac:dyDescent="0.4">
      <c r="R1017" s="28">
        <f t="shared" si="77"/>
        <v>79.359999999998664</v>
      </c>
      <c r="S1017" s="29">
        <f t="shared" si="78"/>
        <v>6.637849884605812E-2</v>
      </c>
      <c r="T1017" s="29">
        <f t="shared" si="79"/>
        <v>0.18130764965683188</v>
      </c>
      <c r="U1017" s="29">
        <f t="shared" si="80"/>
        <v>0.22137601518165903</v>
      </c>
      <c r="V1017" s="29">
        <f t="shared" si="81"/>
        <v>2.5937401648619728E-3</v>
      </c>
    </row>
    <row r="1018" spans="18:22" x14ac:dyDescent="0.4">
      <c r="R1018" s="28">
        <f t="shared" si="77"/>
        <v>79.439999999998662</v>
      </c>
      <c r="S1018" s="29">
        <f t="shared" si="78"/>
        <v>6.6378498863252339E-2</v>
      </c>
      <c r="T1018" s="29">
        <f t="shared" si="79"/>
        <v>0.18130764965689747</v>
      </c>
      <c r="U1018" s="29">
        <f t="shared" si="80"/>
        <v>0.22137791096354481</v>
      </c>
      <c r="V1018" s="29">
        <f t="shared" si="81"/>
        <v>2.5937631659352189E-3</v>
      </c>
    </row>
    <row r="1019" spans="18:22" x14ac:dyDescent="0.4">
      <c r="R1019" s="28">
        <f t="shared" si="77"/>
        <v>79.51999999999866</v>
      </c>
      <c r="S1019" s="29">
        <f t="shared" si="78"/>
        <v>6.6378498880136375E-2</v>
      </c>
      <c r="T1019" s="29">
        <f t="shared" si="79"/>
        <v>0.18130764965696186</v>
      </c>
      <c r="U1019" s="29">
        <f t="shared" si="80"/>
        <v>0.22137979405020927</v>
      </c>
      <c r="V1019" s="29">
        <f t="shared" si="81"/>
        <v>2.593786012980348E-3</v>
      </c>
    </row>
    <row r="1020" spans="18:22" x14ac:dyDescent="0.4">
      <c r="R1020" s="28">
        <f t="shared" si="77"/>
        <v>79.599999999998658</v>
      </c>
      <c r="S1020" s="29">
        <f t="shared" si="78"/>
        <v>6.6378498896715821E-2</v>
      </c>
      <c r="T1020" s="29">
        <f t="shared" si="79"/>
        <v>0.18130764965702509</v>
      </c>
      <c r="U1020" s="29">
        <f t="shared" si="80"/>
        <v>0.22138166452666683</v>
      </c>
      <c r="V1020" s="29">
        <f t="shared" si="81"/>
        <v>2.5938087070288187E-3</v>
      </c>
    </row>
    <row r="1021" spans="18:22" x14ac:dyDescent="0.4">
      <c r="R1021" s="28">
        <f t="shared" si="77"/>
        <v>79.679999999998657</v>
      </c>
      <c r="S1021" s="29">
        <f t="shared" si="78"/>
        <v>6.6378498912996173E-2</v>
      </c>
      <c r="T1021" s="29">
        <f t="shared" si="79"/>
        <v>0.18130764965708718</v>
      </c>
      <c r="U1021" s="29">
        <f t="shared" si="80"/>
        <v>0.22138352247736245</v>
      </c>
      <c r="V1021" s="29">
        <f t="shared" si="81"/>
        <v>2.5938312491051827E-3</v>
      </c>
    </row>
    <row r="1022" spans="18:22" x14ac:dyDescent="0.4">
      <c r="R1022" s="28">
        <f t="shared" si="77"/>
        <v>79.759999999998655</v>
      </c>
      <c r="S1022" s="29">
        <f t="shared" si="78"/>
        <v>6.6378498928982829E-2</v>
      </c>
      <c r="T1022" s="29">
        <f t="shared" si="79"/>
        <v>0.18130764965714816</v>
      </c>
      <c r="U1022" s="29">
        <f t="shared" si="80"/>
        <v>0.2213853679861757</v>
      </c>
      <c r="V1022" s="29">
        <f t="shared" si="81"/>
        <v>2.5938536402271301E-3</v>
      </c>
    </row>
    <row r="1023" spans="18:22" x14ac:dyDescent="0.4">
      <c r="R1023" s="28">
        <f t="shared" si="77"/>
        <v>79.839999999998653</v>
      </c>
      <c r="S1023" s="29">
        <f t="shared" si="78"/>
        <v>6.6378498944681091E-2</v>
      </c>
      <c r="T1023" s="29">
        <f t="shared" si="79"/>
        <v>0.18130764965720803</v>
      </c>
      <c r="U1023" s="29">
        <f t="shared" si="80"/>
        <v>0.22138720113642443</v>
      </c>
      <c r="V1023" s="29">
        <f t="shared" si="81"/>
        <v>2.5938758814055374E-3</v>
      </c>
    </row>
    <row r="1024" spans="18:22" x14ac:dyDescent="0.4">
      <c r="R1024" s="28">
        <f t="shared" si="77"/>
        <v>79.919999999998652</v>
      </c>
      <c r="S1024" s="29">
        <f t="shared" si="78"/>
        <v>6.6378498960096163E-2</v>
      </c>
      <c r="T1024" s="29">
        <f t="shared" si="79"/>
        <v>0.18130764965726681</v>
      </c>
      <c r="U1024" s="29">
        <f t="shared" si="80"/>
        <v>0.22138902201086852</v>
      </c>
      <c r="V1024" s="29">
        <f t="shared" si="81"/>
        <v>2.59389797364451E-3</v>
      </c>
    </row>
    <row r="1025" spans="18:22" x14ac:dyDescent="0.4">
      <c r="R1025" s="28">
        <f t="shared" si="77"/>
        <v>79.99999999999865</v>
      </c>
      <c r="S1025" s="29">
        <f t="shared" si="78"/>
        <v>6.6378498975233152E-2</v>
      </c>
      <c r="T1025" s="29">
        <f t="shared" si="79"/>
        <v>0.18130764965732454</v>
      </c>
      <c r="U1025" s="29">
        <f t="shared" si="80"/>
        <v>0.22139083069171367</v>
      </c>
      <c r="V1025" s="29">
        <f t="shared" si="81"/>
        <v>2.5939199179414309E-3</v>
      </c>
    </row>
  </sheetData>
  <mergeCells count="17">
    <mergeCell ref="D13:E13"/>
    <mergeCell ref="B2:O2"/>
    <mergeCell ref="N112:P112"/>
    <mergeCell ref="N114:P114"/>
    <mergeCell ref="N106:P106"/>
    <mergeCell ref="N108:P108"/>
    <mergeCell ref="D31:H31"/>
    <mergeCell ref="N105:P105"/>
    <mergeCell ref="N113:P113"/>
    <mergeCell ref="N111:P111"/>
    <mergeCell ref="L18:O18"/>
    <mergeCell ref="N116:P116"/>
    <mergeCell ref="N109:P109"/>
    <mergeCell ref="N110:P110"/>
    <mergeCell ref="N117:P117"/>
    <mergeCell ref="N107:P107"/>
    <mergeCell ref="N115:P115"/>
  </mergeCells>
  <conditionalFormatting sqref="E15:E30">
    <cfRule type="expression" dxfId="0" priority="1">
      <formula>$D$12="Lookup"</formula>
    </cfRule>
  </conditionalFormatting>
  <dataValidations count="18">
    <dataValidation type="list" allowBlank="1" showErrorMessage="1" errorTitle="Invalid entry" error="Please choose a value from the list." sqref="D12" xr:uid="{00000000-0002-0000-0000-000000000000}">
      <formula1>"Lookup,Manual Input"</formula1>
    </dataValidation>
    <dataValidation type="list" allowBlank="1" showInputMessage="1" showErrorMessage="1" errorTitle="Invalid entry" error="Please choose a value from the list." promptTitle="Pharmaceutical" prompt="Pick a pharmaceutical (used when Chemical input = Lookup)." sqref="D13" xr:uid="{00000000-0002-0000-0000-000001000000}">
      <formula1>ChemicalNames</formula1>
    </dataValidation>
    <dataValidation type="list" allowBlank="1" showErrorMessage="1" errorTitle="Invalid entry" error="Please choose a value from the list." sqref="E21" xr:uid="{00000000-0002-0000-0000-000002000000}">
      <formula1>"Acidic,Basic,Neutral"</formula1>
    </dataValidation>
    <dataValidation type="list" allowBlank="1" showErrorMessage="1" errorTitle="Invalid entry" error="Please choose a value from the list." sqref="E22" xr:uid="{00000000-0002-0000-0000-000003000000}">
      <formula1>"Carboxylic Acid,Phenoxide,1° Amine,2° Amine,3° Amine,None"</formula1>
    </dataValidation>
    <dataValidation type="list" allowBlank="1" showErrorMessage="1" errorTitle="Invalid entry" error="Please choose a value from the list." sqref="D46:G46" xr:uid="{00000000-0002-0000-0000-000004000000}">
      <formula1>$J$65:$J$77</formula1>
    </dataValidation>
    <dataValidation type="list" allowBlank="1" showErrorMessage="1" errorTitle="Invalid entry" error="Please choose a value from the list." sqref="D47:G47" xr:uid="{00000000-0002-0000-0000-000005000000}">
      <formula1>"Aquatic,Terrestrial,Subterranean"</formula1>
    </dataValidation>
    <dataValidation type="list" allowBlank="1" showErrorMessage="1" errorTitle="Invalid entry" error="Please choose a value from the list." sqref="D48:G48" xr:uid="{00000000-0002-0000-0000-000006000000}">
      <formula1>"Photosynthesis,Detritus,Herbivore,Carnivore"</formula1>
    </dataValidation>
    <dataValidation type="list" allowBlank="1" showErrorMessage="1" errorTitle="Invalid entry" error="Please choose a value from the list." sqref="D49:G49" xr:uid="{00000000-0002-0000-0000-000007000000}">
      <formula1>"Cold Blooded,Warm Blooded"</formula1>
    </dataValidation>
    <dataValidation type="list" allowBlank="1" showErrorMessage="1" errorTitle="Invalid entry" error="Please choose a value from the list." sqref="D54" xr:uid="{00000000-0002-0000-0000-000008000000}">
      <formula1>"I,II"</formula1>
    </dataValidation>
    <dataValidation type="list" allowBlank="1" showErrorMessage="1" errorTitle="Invalid entry" error="Please choose a value from the list." sqref="D55" xr:uid="{00000000-0002-0000-0000-000009000000}">
      <formula1>"Yes,No"</formula1>
    </dataValidation>
    <dataValidation type="list" allowBlank="1" showErrorMessage="1" errorTitle="Invalid entry" error="Please choose a value from the list." sqref="D56" xr:uid="{00000000-0002-0000-0000-00000A000000}">
      <formula1>"Off,On"</formula1>
    </dataValidation>
    <dataValidation type="custom" allowBlank="1" showErrorMessage="1" error="Enter Auto or a positive number of days." sqref="D57" xr:uid="{00000000-0002-0000-0000-00000B000000}">
      <formula1>OR(D57="Auto",AND(ISNUMBER(D57),D57&gt;0))</formula1>
    </dataValidation>
    <dataValidation type="decimal" operator="greaterThan" allowBlank="1" showErrorMessage="1" errorTitle="Invalid entry" error="Body mass must be &gt; 0 kg." sqref="D50:G50" xr:uid="{00000000-0002-0000-0000-00000C000000}">
      <formula1>0</formula1>
    </dataValidation>
    <dataValidation type="decimal" allowBlank="1" showErrorMessage="1" errorTitle="Invalid entry" error="pH must be between 0 and 14." sqref="D51:G51 D37 D39" xr:uid="{00000000-0002-0000-0000-00000D000000}">
      <formula1>0</formula1>
      <formula2>14</formula2>
    </dataValidation>
    <dataValidation type="decimal" operator="greaterThanOrEqual" allowBlank="1" showErrorMessage="1" errorTitle="Invalid entry" error="Concentration must be ≥ 0." sqref="D35 D38" xr:uid="{00000000-0002-0000-0000-00000F000000}">
      <formula1>0</formula1>
    </dataValidation>
    <dataValidation type="decimal" operator="greaterThan" allowBlank="1" showErrorMessage="1" errorTitle="Invalid entry" error="Temperature in kelvin (&gt; 0)." sqref="D36" xr:uid="{00000000-0002-0000-0000-000010000000}">
      <formula1>0</formula1>
    </dataValidation>
    <dataValidation type="decimal" allowBlank="1" showErrorMessage="1" errorTitle="Invalid entry" error="Enter a fraction between 0 and 1." sqref="D40 D42" xr:uid="{00000000-0002-0000-0000-000011000000}">
      <formula1>0</formula1>
      <formula2>1</formula2>
    </dataValidation>
    <dataValidation type="decimal" operator="greaterThan" allowBlank="1" showErrorMessage="1" errorTitle="Invalid entry" error="Bulk density must be &gt; 0." sqref="D41" xr:uid="{00000000-0002-0000-0000-000012000000}">
      <formula1>0</formula1>
    </dataValidation>
  </dataValidations>
  <pageMargins left="0.75" right="0.75" top="1" bottom="1" header="0.5" footer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5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6" x14ac:dyDescent="0.4"/>
  <cols>
    <col min="1" max="1" width="20" customWidth="1"/>
    <col min="2" max="2" width="44" customWidth="1"/>
    <col min="3" max="3" width="15" customWidth="1"/>
    <col min="4" max="4" width="11" customWidth="1"/>
    <col min="5" max="6" width="10" customWidth="1"/>
    <col min="7" max="10" width="9" customWidth="1"/>
    <col min="11" max="11" width="10" customWidth="1"/>
    <col min="12" max="23" width="7" customWidth="1"/>
  </cols>
  <sheetData>
    <row r="1" spans="1:23" ht="17.600000000000001" x14ac:dyDescent="0.4">
      <c r="A1" s="32" t="s">
        <v>416</v>
      </c>
    </row>
    <row r="2" spans="1:23" x14ac:dyDescent="0.4">
      <c r="A2" s="12" t="s">
        <v>417</v>
      </c>
    </row>
    <row r="3" spans="1:23" ht="30" customHeight="1" x14ac:dyDescent="0.4">
      <c r="A3" s="57" t="s">
        <v>418</v>
      </c>
      <c r="B3" s="49"/>
      <c r="C3" s="57" t="s">
        <v>419</v>
      </c>
      <c r="D3" s="48"/>
      <c r="E3" s="48"/>
      <c r="F3" s="49"/>
      <c r="G3" s="57" t="s">
        <v>420</v>
      </c>
      <c r="H3" s="48"/>
      <c r="I3" s="48"/>
      <c r="J3" s="49"/>
      <c r="K3" s="33" t="s">
        <v>421</v>
      </c>
      <c r="L3" s="57" t="s">
        <v>422</v>
      </c>
      <c r="M3" s="48"/>
      <c r="N3" s="48"/>
      <c r="O3" s="48"/>
      <c r="P3" s="48"/>
      <c r="Q3" s="49"/>
      <c r="R3" s="57" t="s">
        <v>423</v>
      </c>
      <c r="S3" s="48"/>
      <c r="T3" s="48"/>
      <c r="U3" s="48"/>
      <c r="V3" s="48"/>
      <c r="W3" s="49"/>
    </row>
    <row r="4" spans="1:23" ht="30" customHeight="1" x14ac:dyDescent="0.4">
      <c r="A4" s="34" t="s">
        <v>38</v>
      </c>
      <c r="B4" s="35" t="s">
        <v>424</v>
      </c>
      <c r="C4" s="35" t="s">
        <v>71</v>
      </c>
      <c r="D4" s="35" t="s">
        <v>65</v>
      </c>
      <c r="E4" s="35" t="s">
        <v>425</v>
      </c>
      <c r="F4" s="35" t="s">
        <v>426</v>
      </c>
      <c r="G4" s="35" t="s">
        <v>52</v>
      </c>
      <c r="H4" s="35" t="s">
        <v>427</v>
      </c>
      <c r="I4" s="35" t="s">
        <v>428</v>
      </c>
      <c r="J4" s="35" t="s">
        <v>429</v>
      </c>
      <c r="K4" s="35" t="s">
        <v>430</v>
      </c>
      <c r="L4" s="35" t="s">
        <v>431</v>
      </c>
      <c r="M4" s="35" t="s">
        <v>432</v>
      </c>
      <c r="N4" s="35" t="s">
        <v>433</v>
      </c>
      <c r="O4" s="35" t="s">
        <v>434</v>
      </c>
      <c r="P4" s="35" t="s">
        <v>435</v>
      </c>
      <c r="Q4" s="35" t="s">
        <v>436</v>
      </c>
      <c r="R4" s="35" t="s">
        <v>431</v>
      </c>
      <c r="S4" s="35" t="s">
        <v>432</v>
      </c>
      <c r="T4" s="35" t="s">
        <v>433</v>
      </c>
      <c r="U4" s="35" t="s">
        <v>434</v>
      </c>
      <c r="V4" s="35" t="s">
        <v>435</v>
      </c>
      <c r="W4" s="35" t="s">
        <v>436</v>
      </c>
    </row>
    <row r="5" spans="1:23" x14ac:dyDescent="0.4">
      <c r="A5" s="36" t="s">
        <v>437</v>
      </c>
      <c r="B5" s="36" t="s">
        <v>438</v>
      </c>
      <c r="C5" s="36" t="s">
        <v>370</v>
      </c>
      <c r="D5" s="36" t="s">
        <v>66</v>
      </c>
      <c r="E5" s="37">
        <v>1.35059999999999</v>
      </c>
      <c r="F5" s="37">
        <v>0.71859999999999902</v>
      </c>
      <c r="G5" s="37">
        <v>7.96</v>
      </c>
      <c r="H5" s="37">
        <v>9.86</v>
      </c>
      <c r="I5" s="37">
        <v>1.72</v>
      </c>
      <c r="J5" s="37">
        <f t="shared" ref="J5:J36" si="0">IF(D5="Acidic",H5,IF(D5="Basic",I5,IF(ABS(H5-7.4)&lt;=ABS(I5-7.4),H5,I5)))</f>
        <v>9.86</v>
      </c>
      <c r="K5" s="38">
        <v>1.0800000000000001E-2</v>
      </c>
      <c r="L5" s="39">
        <v>1.0900000000000001</v>
      </c>
      <c r="M5" s="39">
        <v>1.66</v>
      </c>
      <c r="N5" s="39">
        <v>1.0372727272727269</v>
      </c>
      <c r="O5" s="39">
        <v>0.86363636363636365</v>
      </c>
      <c r="P5" s="39">
        <v>1.1724000000000001</v>
      </c>
      <c r="Q5" s="39">
        <v>6.4487500000000004</v>
      </c>
      <c r="R5" s="40" t="s">
        <v>439</v>
      </c>
      <c r="S5" s="40" t="s">
        <v>439</v>
      </c>
      <c r="T5" s="40" t="s">
        <v>439</v>
      </c>
      <c r="U5" s="40" t="s">
        <v>439</v>
      </c>
      <c r="V5" s="40" t="s">
        <v>439</v>
      </c>
      <c r="W5" s="40" t="s">
        <v>439</v>
      </c>
    </row>
    <row r="6" spans="1:23" x14ac:dyDescent="0.4">
      <c r="A6" s="36" t="s">
        <v>440</v>
      </c>
      <c r="B6" s="36" t="s">
        <v>441</v>
      </c>
      <c r="C6" s="36" t="s">
        <v>373</v>
      </c>
      <c r="D6" s="36" t="s">
        <v>442</v>
      </c>
      <c r="E6" s="37">
        <v>4.1685999999999996</v>
      </c>
      <c r="F6" s="37">
        <v>2.7515000000000001</v>
      </c>
      <c r="G6" s="37">
        <v>9.6</v>
      </c>
      <c r="H6" s="37"/>
      <c r="I6" s="37">
        <v>9.5399999999999991</v>
      </c>
      <c r="J6" s="37">
        <f t="shared" si="0"/>
        <v>9.5399999999999991</v>
      </c>
      <c r="K6" s="38">
        <v>0.59799999999999998</v>
      </c>
      <c r="L6" s="39">
        <v>1.9852000000000001</v>
      </c>
      <c r="M6" s="39">
        <v>1.474</v>
      </c>
      <c r="N6" s="39">
        <v>0</v>
      </c>
      <c r="O6" s="39">
        <v>1.056</v>
      </c>
      <c r="P6" s="39">
        <v>2.3996</v>
      </c>
      <c r="Q6" s="39">
        <v>11.33666666666667</v>
      </c>
      <c r="R6" s="40" t="s">
        <v>439</v>
      </c>
      <c r="S6" s="40" t="s">
        <v>439</v>
      </c>
      <c r="T6" s="40" t="s">
        <v>439</v>
      </c>
      <c r="U6" s="40" t="s">
        <v>439</v>
      </c>
      <c r="V6" s="40" t="s">
        <v>439</v>
      </c>
      <c r="W6" s="40" t="s">
        <v>439</v>
      </c>
    </row>
    <row r="7" spans="1:23" x14ac:dyDescent="0.4">
      <c r="A7" s="36" t="s">
        <v>443</v>
      </c>
      <c r="B7" s="36" t="s">
        <v>444</v>
      </c>
      <c r="C7" s="36" t="s">
        <v>373</v>
      </c>
      <c r="D7" s="36" t="s">
        <v>442</v>
      </c>
      <c r="E7" s="37">
        <v>4.8593000000000002</v>
      </c>
      <c r="F7" s="37">
        <v>3.4422000000000001</v>
      </c>
      <c r="G7" s="37">
        <v>10.210000000000001</v>
      </c>
      <c r="H7" s="37">
        <v>11.6</v>
      </c>
      <c r="I7" s="37">
        <v>7.28</v>
      </c>
      <c r="J7" s="37">
        <f t="shared" si="0"/>
        <v>7.28</v>
      </c>
      <c r="K7" s="38">
        <v>0.13400000000000001</v>
      </c>
      <c r="L7" s="40" t="s">
        <v>439</v>
      </c>
      <c r="M7" s="40" t="s">
        <v>439</v>
      </c>
      <c r="N7" s="40" t="s">
        <v>439</v>
      </c>
      <c r="O7" s="40" t="s">
        <v>439</v>
      </c>
      <c r="P7" s="40" t="s">
        <v>439</v>
      </c>
      <c r="Q7" s="40" t="s">
        <v>439</v>
      </c>
      <c r="R7" s="40" t="s">
        <v>439</v>
      </c>
      <c r="S7" s="40" t="s">
        <v>439</v>
      </c>
      <c r="T7" s="40" t="s">
        <v>439</v>
      </c>
      <c r="U7" s="40" t="s">
        <v>439</v>
      </c>
      <c r="V7" s="40" t="s">
        <v>439</v>
      </c>
      <c r="W7" s="40" t="s">
        <v>439</v>
      </c>
    </row>
    <row r="8" spans="1:23" x14ac:dyDescent="0.4">
      <c r="A8" s="36" t="s">
        <v>445</v>
      </c>
      <c r="B8" s="36" t="s">
        <v>446</v>
      </c>
      <c r="C8" s="36" t="s">
        <v>372</v>
      </c>
      <c r="D8" s="36" t="s">
        <v>442</v>
      </c>
      <c r="E8" s="37">
        <v>0.4521</v>
      </c>
      <c r="F8" s="37">
        <v>-0.57409999999999795</v>
      </c>
      <c r="G8" s="37">
        <v>9.23</v>
      </c>
      <c r="H8" s="37">
        <v>13.9</v>
      </c>
      <c r="I8" s="37">
        <v>8.7899999999999991</v>
      </c>
      <c r="J8" s="37">
        <f t="shared" si="0"/>
        <v>8.7899999999999991</v>
      </c>
      <c r="K8" s="38">
        <v>1.4E-2</v>
      </c>
      <c r="L8" s="39">
        <v>1.45</v>
      </c>
      <c r="M8" s="39">
        <v>1.89</v>
      </c>
      <c r="N8" s="39">
        <v>0.63400000000000001</v>
      </c>
      <c r="O8" s="39">
        <v>1.962</v>
      </c>
      <c r="P8" s="39">
        <v>2.1762999999999999</v>
      </c>
      <c r="Q8" s="39">
        <v>10.625</v>
      </c>
      <c r="R8" s="40" t="s">
        <v>439</v>
      </c>
      <c r="S8" s="40" t="s">
        <v>439</v>
      </c>
      <c r="T8" s="40" t="s">
        <v>439</v>
      </c>
      <c r="U8" s="40" t="s">
        <v>439</v>
      </c>
      <c r="V8" s="40" t="s">
        <v>439</v>
      </c>
      <c r="W8" s="40" t="s">
        <v>439</v>
      </c>
    </row>
    <row r="9" spans="1:23" x14ac:dyDescent="0.4">
      <c r="A9" s="36" t="s">
        <v>447</v>
      </c>
      <c r="B9" s="36" t="s">
        <v>448</v>
      </c>
      <c r="C9" s="36" t="s">
        <v>373</v>
      </c>
      <c r="D9" s="36" t="s">
        <v>442</v>
      </c>
      <c r="E9" s="37">
        <v>1.9007000000000001</v>
      </c>
      <c r="F9" s="37">
        <f>E9</f>
        <v>1.9007000000000001</v>
      </c>
      <c r="G9" s="37">
        <v>9.5299999999999994</v>
      </c>
      <c r="H9" s="37"/>
      <c r="I9" s="37">
        <v>8.74</v>
      </c>
      <c r="J9" s="37">
        <f t="shared" si="0"/>
        <v>8.74</v>
      </c>
      <c r="K9" s="38">
        <v>2.2620000000000001E-2</v>
      </c>
      <c r="L9" s="39">
        <v>2.242</v>
      </c>
      <c r="M9" s="39">
        <v>3.2</v>
      </c>
      <c r="N9" s="39">
        <v>1.19</v>
      </c>
      <c r="O9" s="39">
        <v>4.9000000000000004</v>
      </c>
      <c r="P9" s="39">
        <v>5.9980000000000002</v>
      </c>
      <c r="Q9" s="39">
        <v>22.899000000000001</v>
      </c>
      <c r="R9" s="39">
        <v>1.81</v>
      </c>
      <c r="S9" s="39">
        <v>2.5499999999999998</v>
      </c>
      <c r="T9" s="39">
        <v>1.53</v>
      </c>
      <c r="U9" s="39">
        <v>5.36</v>
      </c>
      <c r="V9" s="39">
        <v>5.9980000000000002</v>
      </c>
      <c r="W9" s="39">
        <v>22.899000000000001</v>
      </c>
    </row>
    <row r="10" spans="1:23" x14ac:dyDescent="0.4">
      <c r="A10" s="36" t="s">
        <v>449</v>
      </c>
      <c r="B10" s="36" t="s">
        <v>450</v>
      </c>
      <c r="C10" s="36" t="s">
        <v>72</v>
      </c>
      <c r="D10" s="36" t="s">
        <v>66</v>
      </c>
      <c r="E10" s="37">
        <v>3.5545</v>
      </c>
      <c r="F10" s="37">
        <v>2.21979999999999</v>
      </c>
      <c r="G10" s="37">
        <v>9.4600000000000009</v>
      </c>
      <c r="H10" s="37">
        <v>4.25</v>
      </c>
      <c r="I10" s="37">
        <v>-2.06</v>
      </c>
      <c r="J10" s="37">
        <f t="shared" si="0"/>
        <v>4.25</v>
      </c>
      <c r="K10" s="38">
        <v>1.86</v>
      </c>
      <c r="L10" s="40" t="s">
        <v>439</v>
      </c>
      <c r="M10" s="40" t="s">
        <v>439</v>
      </c>
      <c r="N10" s="40" t="s">
        <v>439</v>
      </c>
      <c r="O10" s="40" t="s">
        <v>439</v>
      </c>
      <c r="P10" s="40" t="s">
        <v>439</v>
      </c>
      <c r="Q10" s="40" t="s">
        <v>439</v>
      </c>
      <c r="R10" s="40" t="s">
        <v>439</v>
      </c>
      <c r="S10" s="40" t="s">
        <v>439</v>
      </c>
      <c r="T10" s="40" t="s">
        <v>439</v>
      </c>
      <c r="U10" s="40" t="s">
        <v>439</v>
      </c>
      <c r="V10" s="40" t="s">
        <v>439</v>
      </c>
      <c r="W10" s="40" t="s">
        <v>439</v>
      </c>
    </row>
    <row r="11" spans="1:23" x14ac:dyDescent="0.4">
      <c r="A11" s="36" t="s">
        <v>451</v>
      </c>
      <c r="B11" s="36" t="s">
        <v>452</v>
      </c>
      <c r="C11" s="36" t="s">
        <v>373</v>
      </c>
      <c r="D11" s="36" t="s">
        <v>442</v>
      </c>
      <c r="E11" s="37">
        <v>-1.0293000000000001</v>
      </c>
      <c r="F11" s="37">
        <v>-1.6101999999999901</v>
      </c>
      <c r="G11" s="37">
        <v>8.52</v>
      </c>
      <c r="H11" s="37"/>
      <c r="I11" s="37">
        <v>1.48</v>
      </c>
      <c r="J11" s="37">
        <f t="shared" si="0"/>
        <v>1.48</v>
      </c>
      <c r="K11" s="38">
        <v>2.18E-2</v>
      </c>
      <c r="L11" s="39">
        <v>1.511133333333333</v>
      </c>
      <c r="M11" s="39">
        <v>1.7141333333333331</v>
      </c>
      <c r="N11" s="39">
        <v>4.1666666666666671E-2</v>
      </c>
      <c r="O11" s="39">
        <v>1.274933333333333</v>
      </c>
      <c r="P11" s="39">
        <v>1.3631999999999991</v>
      </c>
      <c r="Q11" s="39">
        <v>7.6390000000000002</v>
      </c>
      <c r="R11" s="39">
        <v>1.43</v>
      </c>
      <c r="S11" s="39">
        <v>1.82</v>
      </c>
      <c r="T11" s="39">
        <v>0</v>
      </c>
      <c r="U11" s="39">
        <v>1.27</v>
      </c>
      <c r="V11" s="39">
        <v>1.3632</v>
      </c>
      <c r="W11" s="39">
        <v>7.7210000000000001</v>
      </c>
    </row>
    <row r="12" spans="1:23" x14ac:dyDescent="0.4">
      <c r="A12" s="36" t="s">
        <v>453</v>
      </c>
      <c r="B12" s="36" t="s">
        <v>454</v>
      </c>
      <c r="C12" s="36" t="s">
        <v>373</v>
      </c>
      <c r="D12" s="36" t="s">
        <v>455</v>
      </c>
      <c r="E12" s="37">
        <v>3.3872</v>
      </c>
      <c r="F12" s="37">
        <f>E12</f>
        <v>3.3872</v>
      </c>
      <c r="G12" s="37">
        <v>11</v>
      </c>
      <c r="H12" s="37">
        <v>9.51</v>
      </c>
      <c r="I12" s="37">
        <v>-0.49</v>
      </c>
      <c r="J12" s="37">
        <f t="shared" si="0"/>
        <v>9.51</v>
      </c>
      <c r="K12" s="38">
        <v>0.14990000000000001</v>
      </c>
      <c r="L12" s="39">
        <v>2.1513333333333331</v>
      </c>
      <c r="M12" s="39">
        <v>1.938317142857142</v>
      </c>
      <c r="N12" s="39">
        <v>0.51389428571428575</v>
      </c>
      <c r="O12" s="39">
        <v>1.0697642857142859</v>
      </c>
      <c r="P12" s="39">
        <v>1.8106000000000011</v>
      </c>
      <c r="Q12" s="39">
        <v>9.7896649999999994</v>
      </c>
      <c r="R12" s="40" t="s">
        <v>439</v>
      </c>
      <c r="S12" s="40" t="s">
        <v>439</v>
      </c>
      <c r="T12" s="40" t="s">
        <v>439</v>
      </c>
      <c r="U12" s="40" t="s">
        <v>439</v>
      </c>
      <c r="V12" s="40" t="s">
        <v>439</v>
      </c>
      <c r="W12" s="40" t="s">
        <v>439</v>
      </c>
    </row>
    <row r="13" spans="1:23" x14ac:dyDescent="0.4">
      <c r="A13" s="36" t="s">
        <v>456</v>
      </c>
      <c r="B13" s="36" t="s">
        <v>457</v>
      </c>
      <c r="C13" s="36" t="s">
        <v>371</v>
      </c>
      <c r="D13" s="36" t="s">
        <v>442</v>
      </c>
      <c r="E13" s="37">
        <v>3.5139200000000002</v>
      </c>
      <c r="F13" s="37">
        <v>2.93302</v>
      </c>
      <c r="G13" s="37">
        <v>10.87</v>
      </c>
      <c r="H13" s="37">
        <v>11.3</v>
      </c>
      <c r="I13" s="37">
        <v>-1.47</v>
      </c>
      <c r="J13" s="37">
        <f t="shared" si="0"/>
        <v>-1.47</v>
      </c>
      <c r="K13" s="38">
        <v>6.68</v>
      </c>
      <c r="L13" s="39">
        <v>2.04</v>
      </c>
      <c r="M13" s="39">
        <v>2.44</v>
      </c>
      <c r="N13" s="39">
        <v>0.6</v>
      </c>
      <c r="O13" s="39">
        <v>1.26</v>
      </c>
      <c r="P13" s="39">
        <v>2.4674999999999998</v>
      </c>
      <c r="Q13" s="39">
        <v>13.04</v>
      </c>
      <c r="R13" s="40" t="s">
        <v>439</v>
      </c>
      <c r="S13" s="40" t="s">
        <v>439</v>
      </c>
      <c r="T13" s="40" t="s">
        <v>439</v>
      </c>
      <c r="U13" s="40" t="s">
        <v>439</v>
      </c>
      <c r="V13" s="40" t="s">
        <v>439</v>
      </c>
      <c r="W13" s="40" t="s">
        <v>439</v>
      </c>
    </row>
    <row r="14" spans="1:23" x14ac:dyDescent="0.4">
      <c r="A14" s="36" t="s">
        <v>458</v>
      </c>
      <c r="B14" s="36" t="s">
        <v>459</v>
      </c>
      <c r="C14" s="36" t="s">
        <v>373</v>
      </c>
      <c r="D14" s="36" t="s">
        <v>455</v>
      </c>
      <c r="E14" s="37">
        <v>0.90899999999999903</v>
      </c>
      <c r="F14" s="37">
        <f>E14</f>
        <v>0.90899999999999903</v>
      </c>
      <c r="G14" s="37">
        <v>9.24</v>
      </c>
      <c r="H14" s="37">
        <v>10.4</v>
      </c>
      <c r="I14" s="37">
        <v>-1.73</v>
      </c>
      <c r="J14" s="37">
        <f t="shared" si="0"/>
        <v>10.4</v>
      </c>
      <c r="K14" s="38">
        <v>6.0600000000000003E-3</v>
      </c>
      <c r="L14" s="39">
        <v>1.85</v>
      </c>
      <c r="M14" s="39">
        <v>1.91</v>
      </c>
      <c r="N14" s="39">
        <v>0.68</v>
      </c>
      <c r="O14" s="39">
        <v>1.72</v>
      </c>
      <c r="P14" s="39">
        <v>2.0728</v>
      </c>
      <c r="Q14" s="39">
        <v>10.82</v>
      </c>
      <c r="R14" s="40" t="s">
        <v>439</v>
      </c>
      <c r="S14" s="40" t="s">
        <v>439</v>
      </c>
      <c r="T14" s="40" t="s">
        <v>439</v>
      </c>
      <c r="U14" s="40" t="s">
        <v>439</v>
      </c>
      <c r="V14" s="40" t="s">
        <v>439</v>
      </c>
      <c r="W14" s="40" t="s">
        <v>439</v>
      </c>
    </row>
    <row r="15" spans="1:23" x14ac:dyDescent="0.4">
      <c r="A15" s="36" t="s">
        <v>460</v>
      </c>
      <c r="B15" s="36" t="s">
        <v>461</v>
      </c>
      <c r="C15" s="36" t="s">
        <v>72</v>
      </c>
      <c r="D15" s="36" t="s">
        <v>66</v>
      </c>
      <c r="E15" s="37">
        <v>1.5832999999999999</v>
      </c>
      <c r="F15" s="37">
        <v>0.24859999999999899</v>
      </c>
      <c r="G15" s="37">
        <v>9.43</v>
      </c>
      <c r="H15" s="37">
        <v>2.74</v>
      </c>
      <c r="I15" s="37">
        <v>8.3000000000000007</v>
      </c>
      <c r="J15" s="37">
        <f t="shared" si="0"/>
        <v>2.74</v>
      </c>
      <c r="K15" s="38">
        <v>2.0299999999999999E-2</v>
      </c>
      <c r="L15" s="40" t="s">
        <v>439</v>
      </c>
      <c r="M15" s="40" t="s">
        <v>439</v>
      </c>
      <c r="N15" s="40" t="s">
        <v>439</v>
      </c>
      <c r="O15" s="40" t="s">
        <v>439</v>
      </c>
      <c r="P15" s="40" t="s">
        <v>439</v>
      </c>
      <c r="Q15" s="40" t="s">
        <v>439</v>
      </c>
      <c r="R15" s="40" t="s">
        <v>439</v>
      </c>
      <c r="S15" s="40" t="s">
        <v>439</v>
      </c>
      <c r="T15" s="40" t="s">
        <v>439</v>
      </c>
      <c r="U15" s="40" t="s">
        <v>439</v>
      </c>
      <c r="V15" s="40" t="s">
        <v>439</v>
      </c>
      <c r="W15" s="40" t="s">
        <v>439</v>
      </c>
    </row>
    <row r="16" spans="1:23" x14ac:dyDescent="0.4">
      <c r="A16" s="36" t="s">
        <v>462</v>
      </c>
      <c r="B16" s="36" t="s">
        <v>463</v>
      </c>
      <c r="C16" s="36" t="s">
        <v>373</v>
      </c>
      <c r="D16" s="36" t="s">
        <v>442</v>
      </c>
      <c r="E16" s="37">
        <v>3.81298</v>
      </c>
      <c r="F16" s="37">
        <v>2.39588</v>
      </c>
      <c r="G16" s="37">
        <v>10.63</v>
      </c>
      <c r="H16" s="37"/>
      <c r="I16" s="37">
        <v>8.4600000000000009</v>
      </c>
      <c r="J16" s="37">
        <f t="shared" si="0"/>
        <v>8.4600000000000009</v>
      </c>
      <c r="K16" s="38">
        <v>0.69099999999999995</v>
      </c>
      <c r="L16" s="39">
        <v>1.83</v>
      </c>
      <c r="M16" s="39">
        <v>1.99</v>
      </c>
      <c r="N16" s="39">
        <v>0</v>
      </c>
      <c r="O16" s="39">
        <v>1.53</v>
      </c>
      <c r="P16" s="39">
        <v>2.5327999999999999</v>
      </c>
      <c r="Q16" s="39">
        <v>12.14</v>
      </c>
      <c r="R16" s="40" t="s">
        <v>439</v>
      </c>
      <c r="S16" s="40" t="s">
        <v>439</v>
      </c>
      <c r="T16" s="40" t="s">
        <v>439</v>
      </c>
      <c r="U16" s="40" t="s">
        <v>439</v>
      </c>
      <c r="V16" s="40" t="s">
        <v>439</v>
      </c>
      <c r="W16" s="40" t="s">
        <v>439</v>
      </c>
    </row>
    <row r="17" spans="1:23" x14ac:dyDescent="0.4">
      <c r="A17" s="36" t="s">
        <v>464</v>
      </c>
      <c r="B17" s="36" t="s">
        <v>465</v>
      </c>
      <c r="C17" s="36" t="s">
        <v>373</v>
      </c>
      <c r="D17" s="36" t="s">
        <v>442</v>
      </c>
      <c r="E17" s="37">
        <v>2.4397000000000002</v>
      </c>
      <c r="F17" s="37">
        <v>1.0226</v>
      </c>
      <c r="G17" s="37">
        <v>9.52</v>
      </c>
      <c r="H17" s="37">
        <v>13.1</v>
      </c>
      <c r="I17" s="37">
        <v>7.31</v>
      </c>
      <c r="J17" s="37">
        <f t="shared" si="0"/>
        <v>7.31</v>
      </c>
      <c r="K17" s="38">
        <v>3.9800000000000002E-2</v>
      </c>
      <c r="L17" s="39">
        <v>2.72</v>
      </c>
      <c r="M17" s="39">
        <v>3.65</v>
      </c>
      <c r="N17" s="39">
        <v>1</v>
      </c>
      <c r="O17" s="39">
        <v>4.9800000000000004</v>
      </c>
      <c r="P17" s="39">
        <v>5.9138999999999999</v>
      </c>
      <c r="Q17" s="39">
        <v>26.8</v>
      </c>
      <c r="R17" s="40" t="s">
        <v>439</v>
      </c>
      <c r="S17" s="40" t="s">
        <v>439</v>
      </c>
      <c r="T17" s="40" t="s">
        <v>439</v>
      </c>
      <c r="U17" s="40" t="s">
        <v>439</v>
      </c>
      <c r="V17" s="40" t="s">
        <v>439</v>
      </c>
      <c r="W17" s="40" t="s">
        <v>439</v>
      </c>
    </row>
    <row r="18" spans="1:23" x14ac:dyDescent="0.4">
      <c r="A18" s="36" t="s">
        <v>466</v>
      </c>
      <c r="B18" s="36" t="s">
        <v>467</v>
      </c>
      <c r="C18" s="36" t="s">
        <v>372</v>
      </c>
      <c r="D18" s="36" t="s">
        <v>442</v>
      </c>
      <c r="E18" s="37">
        <v>3.7227000000000001</v>
      </c>
      <c r="F18" s="37">
        <v>1.8032999999999999</v>
      </c>
      <c r="G18" s="37">
        <v>10.5</v>
      </c>
      <c r="H18" s="37"/>
      <c r="I18" s="37">
        <v>8.49</v>
      </c>
      <c r="J18" s="37">
        <f t="shared" si="0"/>
        <v>8.49</v>
      </c>
      <c r="K18" s="38">
        <v>0.81299999999999994</v>
      </c>
      <c r="L18" s="39">
        <v>2.56</v>
      </c>
      <c r="M18" s="39">
        <v>1.52</v>
      </c>
      <c r="N18" s="39">
        <v>0.25</v>
      </c>
      <c r="O18" s="39">
        <v>1.7</v>
      </c>
      <c r="P18" s="39">
        <v>2.431</v>
      </c>
      <c r="Q18" s="39">
        <v>12.38</v>
      </c>
      <c r="R18" s="40" t="s">
        <v>439</v>
      </c>
      <c r="S18" s="40" t="s">
        <v>439</v>
      </c>
      <c r="T18" s="40" t="s">
        <v>439</v>
      </c>
      <c r="U18" s="40" t="s">
        <v>439</v>
      </c>
      <c r="V18" s="40" t="s">
        <v>439</v>
      </c>
      <c r="W18" s="40" t="s">
        <v>439</v>
      </c>
    </row>
    <row r="19" spans="1:23" x14ac:dyDescent="0.4">
      <c r="A19" s="36" t="s">
        <v>24</v>
      </c>
      <c r="B19" s="36" t="s">
        <v>468</v>
      </c>
      <c r="C19" s="36" t="s">
        <v>72</v>
      </c>
      <c r="D19" s="36" t="s">
        <v>66</v>
      </c>
      <c r="E19" s="37">
        <v>4.3640999999999996</v>
      </c>
      <c r="F19" s="37">
        <v>3.0293999999999999</v>
      </c>
      <c r="G19" s="37">
        <v>9.3000000000000007</v>
      </c>
      <c r="H19" s="37">
        <v>4.13</v>
      </c>
      <c r="I19" s="37">
        <v>-2.25</v>
      </c>
      <c r="J19" s="37">
        <f t="shared" si="0"/>
        <v>4.13</v>
      </c>
      <c r="K19" s="38">
        <v>6.13</v>
      </c>
      <c r="L19" s="39">
        <v>1.965714285714286</v>
      </c>
      <c r="M19" s="39">
        <v>1.6742857142857139</v>
      </c>
      <c r="N19" s="39">
        <v>0.60571428571428587</v>
      </c>
      <c r="O19" s="39">
        <v>0.83857142857142841</v>
      </c>
      <c r="P19" s="39">
        <v>2.024999999999999</v>
      </c>
      <c r="Q19" s="39">
        <v>11.025</v>
      </c>
      <c r="R19" s="40" t="s">
        <v>439</v>
      </c>
      <c r="S19" s="40" t="s">
        <v>439</v>
      </c>
      <c r="T19" s="40" t="s">
        <v>439</v>
      </c>
      <c r="U19" s="40" t="s">
        <v>439</v>
      </c>
      <c r="V19" s="40" t="s">
        <v>439</v>
      </c>
      <c r="W19" s="40" t="s">
        <v>439</v>
      </c>
    </row>
    <row r="20" spans="1:23" x14ac:dyDescent="0.4">
      <c r="A20" s="36" t="s">
        <v>469</v>
      </c>
      <c r="B20" s="36" t="s">
        <v>470</v>
      </c>
      <c r="C20" s="36" t="s">
        <v>373</v>
      </c>
      <c r="D20" s="36" t="s">
        <v>442</v>
      </c>
      <c r="E20" s="37">
        <v>3.3685</v>
      </c>
      <c r="F20" s="37">
        <v>1.95139999999999</v>
      </c>
      <c r="G20" s="37">
        <v>11.68</v>
      </c>
      <c r="H20" s="37"/>
      <c r="I20" s="37">
        <v>6.48</v>
      </c>
      <c r="J20" s="37">
        <f t="shared" si="0"/>
        <v>6.48</v>
      </c>
      <c r="K20" s="38">
        <v>2.3599999999999999E-2</v>
      </c>
      <c r="L20" s="39">
        <v>2.660333333333333</v>
      </c>
      <c r="M20" s="39">
        <v>2.14</v>
      </c>
      <c r="N20" s="39">
        <v>0</v>
      </c>
      <c r="O20" s="39">
        <v>2.2200000000000002</v>
      </c>
      <c r="P20" s="39">
        <v>3.1364999999999998</v>
      </c>
      <c r="Q20" s="39">
        <v>15.56</v>
      </c>
      <c r="R20" s="40" t="s">
        <v>439</v>
      </c>
      <c r="S20" s="40" t="s">
        <v>439</v>
      </c>
      <c r="T20" s="40" t="s">
        <v>439</v>
      </c>
      <c r="U20" s="40" t="s">
        <v>439</v>
      </c>
      <c r="V20" s="40" t="s">
        <v>439</v>
      </c>
      <c r="W20" s="40" t="s">
        <v>439</v>
      </c>
    </row>
    <row r="21" spans="1:23" x14ac:dyDescent="0.4">
      <c r="A21" s="36" t="s">
        <v>471</v>
      </c>
      <c r="B21" s="36" t="s">
        <v>472</v>
      </c>
      <c r="C21" s="36" t="s">
        <v>373</v>
      </c>
      <c r="D21" s="36" t="s">
        <v>442</v>
      </c>
      <c r="E21" s="37">
        <v>3.3542000000000001</v>
      </c>
      <c r="F21" s="37">
        <v>1.9371</v>
      </c>
      <c r="G21" s="37">
        <v>8.5299999999999994</v>
      </c>
      <c r="H21" s="37"/>
      <c r="I21" s="37">
        <v>8.77</v>
      </c>
      <c r="J21" s="37">
        <f t="shared" si="0"/>
        <v>8.77</v>
      </c>
      <c r="K21" s="38">
        <v>4.8399999999999999E-2</v>
      </c>
      <c r="L21" s="39">
        <v>1.357615</v>
      </c>
      <c r="M21" s="39">
        <v>1.1947825000000001</v>
      </c>
      <c r="N21" s="39">
        <v>0</v>
      </c>
      <c r="O21" s="39">
        <v>1.1511100000000001</v>
      </c>
      <c r="P21" s="39">
        <v>2.1871999999999998</v>
      </c>
      <c r="Q21" s="39">
        <v>9.31</v>
      </c>
      <c r="R21" s="40" t="s">
        <v>439</v>
      </c>
      <c r="S21" s="40" t="s">
        <v>439</v>
      </c>
      <c r="T21" s="40" t="s">
        <v>439</v>
      </c>
      <c r="U21" s="40" t="s">
        <v>439</v>
      </c>
      <c r="V21" s="40" t="s">
        <v>439</v>
      </c>
      <c r="W21" s="40" t="s">
        <v>439</v>
      </c>
    </row>
    <row r="22" spans="1:23" x14ac:dyDescent="0.4">
      <c r="A22" s="36" t="s">
        <v>473</v>
      </c>
      <c r="B22" s="36" t="s">
        <v>474</v>
      </c>
      <c r="C22" s="36" t="s">
        <v>370</v>
      </c>
      <c r="D22" s="36" t="s">
        <v>66</v>
      </c>
      <c r="E22" s="37">
        <v>-8.2399999999999501E-2</v>
      </c>
      <c r="F22" s="37">
        <v>-3.3291999999999899</v>
      </c>
      <c r="G22" s="37">
        <v>9.4499999999999993</v>
      </c>
      <c r="H22" s="37">
        <v>3.4</v>
      </c>
      <c r="I22" s="37">
        <v>9.6999999999999993</v>
      </c>
      <c r="J22" s="37">
        <f t="shared" si="0"/>
        <v>3.4</v>
      </c>
      <c r="K22" s="38">
        <v>1.3720000000000001E-5</v>
      </c>
      <c r="L22" s="40" t="s">
        <v>439</v>
      </c>
      <c r="M22" s="40" t="s">
        <v>439</v>
      </c>
      <c r="N22" s="40" t="s">
        <v>439</v>
      </c>
      <c r="O22" s="40" t="s">
        <v>439</v>
      </c>
      <c r="P22" s="40" t="s">
        <v>439</v>
      </c>
      <c r="Q22" s="40" t="s">
        <v>439</v>
      </c>
      <c r="R22" s="39">
        <v>3.45</v>
      </c>
      <c r="S22" s="39">
        <v>3.35</v>
      </c>
      <c r="T22" s="39">
        <v>1.89</v>
      </c>
      <c r="U22" s="39">
        <v>3.52</v>
      </c>
      <c r="V22" s="39">
        <v>3.0992000000000002</v>
      </c>
      <c r="W22" s="39">
        <v>16.116</v>
      </c>
    </row>
    <row r="23" spans="1:23" x14ac:dyDescent="0.4">
      <c r="A23" s="36" t="s">
        <v>475</v>
      </c>
      <c r="B23" s="36" t="s">
        <v>476</v>
      </c>
      <c r="C23" s="36" t="s">
        <v>372</v>
      </c>
      <c r="D23" s="36" t="s">
        <v>442</v>
      </c>
      <c r="E23" s="37">
        <v>4.6308999999999996</v>
      </c>
      <c r="F23" s="37">
        <v>3.6046999999999998</v>
      </c>
      <c r="G23" s="37">
        <v>11.3</v>
      </c>
      <c r="H23" s="37"/>
      <c r="I23" s="37">
        <v>10</v>
      </c>
      <c r="J23" s="37">
        <f t="shared" si="0"/>
        <v>10</v>
      </c>
      <c r="K23" s="38">
        <v>7.76</v>
      </c>
      <c r="L23" s="40" t="s">
        <v>439</v>
      </c>
      <c r="M23" s="40" t="s">
        <v>439</v>
      </c>
      <c r="N23" s="40" t="s">
        <v>439</v>
      </c>
      <c r="O23" s="40" t="s">
        <v>439</v>
      </c>
      <c r="P23" s="40" t="s">
        <v>439</v>
      </c>
      <c r="Q23" s="40" t="s">
        <v>439</v>
      </c>
      <c r="R23" s="40" t="s">
        <v>439</v>
      </c>
      <c r="S23" s="40" t="s">
        <v>439</v>
      </c>
      <c r="T23" s="40" t="s">
        <v>439</v>
      </c>
      <c r="U23" s="40" t="s">
        <v>439</v>
      </c>
      <c r="V23" s="40" t="s">
        <v>439</v>
      </c>
      <c r="W23" s="40" t="s">
        <v>439</v>
      </c>
    </row>
    <row r="24" spans="1:23" x14ac:dyDescent="0.4">
      <c r="A24" s="36" t="s">
        <v>477</v>
      </c>
      <c r="B24" s="36" t="s">
        <v>478</v>
      </c>
      <c r="C24" s="36" t="s">
        <v>72</v>
      </c>
      <c r="D24" s="36" t="s">
        <v>66</v>
      </c>
      <c r="E24" s="37">
        <v>0.663299999999999</v>
      </c>
      <c r="F24" s="37">
        <v>-0.671399999999999</v>
      </c>
      <c r="G24" s="37">
        <v>9.42</v>
      </c>
      <c r="H24" s="37">
        <v>3.37</v>
      </c>
      <c r="I24" s="37">
        <v>6.57</v>
      </c>
      <c r="J24" s="37">
        <f t="shared" si="0"/>
        <v>3.37</v>
      </c>
      <c r="K24" s="38">
        <v>1.2099999999999999E-3</v>
      </c>
      <c r="L24" s="40" t="s">
        <v>439</v>
      </c>
      <c r="M24" s="40" t="s">
        <v>439</v>
      </c>
      <c r="N24" s="40" t="s">
        <v>439</v>
      </c>
      <c r="O24" s="40" t="s">
        <v>439</v>
      </c>
      <c r="P24" s="40" t="s">
        <v>439</v>
      </c>
      <c r="Q24" s="40" t="s">
        <v>439</v>
      </c>
      <c r="R24" s="40" t="s">
        <v>439</v>
      </c>
      <c r="S24" s="40" t="s">
        <v>439</v>
      </c>
      <c r="T24" s="40" t="s">
        <v>439</v>
      </c>
      <c r="U24" s="40" t="s">
        <v>439</v>
      </c>
      <c r="V24" s="40" t="s">
        <v>439</v>
      </c>
      <c r="W24" s="40" t="s">
        <v>439</v>
      </c>
    </row>
    <row r="25" spans="1:23" x14ac:dyDescent="0.4">
      <c r="A25" s="36" t="s">
        <v>479</v>
      </c>
      <c r="B25" s="36" t="s">
        <v>480</v>
      </c>
      <c r="C25" s="36" t="s">
        <v>72</v>
      </c>
      <c r="D25" s="36" t="s">
        <v>66</v>
      </c>
      <c r="E25" s="37">
        <v>2.3155999999999999</v>
      </c>
      <c r="F25" s="37">
        <v>0.98089999999999899</v>
      </c>
      <c r="G25" s="37">
        <v>10.38</v>
      </c>
      <c r="H25" s="37">
        <v>2.68</v>
      </c>
      <c r="I25" s="37">
        <v>7.65</v>
      </c>
      <c r="J25" s="37">
        <f t="shared" si="0"/>
        <v>2.68</v>
      </c>
      <c r="K25" s="38">
        <v>2.7899999999999999E-3</v>
      </c>
      <c r="L25" s="40" t="s">
        <v>439</v>
      </c>
      <c r="M25" s="40" t="s">
        <v>439</v>
      </c>
      <c r="N25" s="40" t="s">
        <v>439</v>
      </c>
      <c r="O25" s="40" t="s">
        <v>439</v>
      </c>
      <c r="P25" s="40" t="s">
        <v>439</v>
      </c>
      <c r="Q25" s="40" t="s">
        <v>439</v>
      </c>
      <c r="R25" s="40" t="s">
        <v>439</v>
      </c>
      <c r="S25" s="40" t="s">
        <v>439</v>
      </c>
      <c r="T25" s="40" t="s">
        <v>439</v>
      </c>
      <c r="U25" s="40" t="s">
        <v>439</v>
      </c>
      <c r="V25" s="40" t="s">
        <v>439</v>
      </c>
      <c r="W25" s="40" t="s">
        <v>439</v>
      </c>
    </row>
    <row r="26" spans="1:23" x14ac:dyDescent="0.4">
      <c r="A26" s="36" t="s">
        <v>481</v>
      </c>
      <c r="B26" s="36" t="s">
        <v>482</v>
      </c>
      <c r="C26" s="36" t="s">
        <v>373</v>
      </c>
      <c r="D26" s="36" t="s">
        <v>442</v>
      </c>
      <c r="E26" s="37">
        <v>1.7856000000000001</v>
      </c>
      <c r="F26" s="37">
        <f>E26</f>
        <v>1.7856000000000001</v>
      </c>
      <c r="G26" s="37">
        <v>9.5299999999999994</v>
      </c>
      <c r="H26" s="37">
        <v>13.1</v>
      </c>
      <c r="I26" s="37">
        <v>7.14</v>
      </c>
      <c r="J26" s="37">
        <f t="shared" si="0"/>
        <v>7.14</v>
      </c>
      <c r="K26" s="38">
        <v>2.29E-2</v>
      </c>
      <c r="L26" s="39">
        <v>2.899999999999999</v>
      </c>
      <c r="M26" s="39">
        <v>3.73</v>
      </c>
      <c r="N26" s="39">
        <v>1.25</v>
      </c>
      <c r="O26" s="39">
        <v>4.96</v>
      </c>
      <c r="P26" s="39">
        <v>5.7729999999999997</v>
      </c>
      <c r="Q26" s="39">
        <v>26.13</v>
      </c>
      <c r="R26" s="40" t="s">
        <v>439</v>
      </c>
      <c r="S26" s="40" t="s">
        <v>439</v>
      </c>
      <c r="T26" s="40" t="s">
        <v>439</v>
      </c>
      <c r="U26" s="40" t="s">
        <v>439</v>
      </c>
      <c r="V26" s="40" t="s">
        <v>439</v>
      </c>
      <c r="W26" s="40" t="s">
        <v>439</v>
      </c>
    </row>
    <row r="27" spans="1:23" x14ac:dyDescent="0.4">
      <c r="A27" s="36" t="s">
        <v>483</v>
      </c>
      <c r="B27" s="36" t="s">
        <v>484</v>
      </c>
      <c r="C27" s="36" t="s">
        <v>370</v>
      </c>
      <c r="D27" s="36" t="s">
        <v>66</v>
      </c>
      <c r="E27" s="37">
        <v>3.6092</v>
      </c>
      <c r="F27" s="37">
        <v>2.9771999999999998</v>
      </c>
      <c r="G27" s="37">
        <v>9.15</v>
      </c>
      <c r="H27" s="37">
        <v>11</v>
      </c>
      <c r="I27" s="37"/>
      <c r="J27" s="37">
        <f t="shared" si="0"/>
        <v>11</v>
      </c>
      <c r="K27" s="38">
        <v>8.3400000000000002E-2</v>
      </c>
      <c r="L27" s="39">
        <v>1.8</v>
      </c>
      <c r="M27" s="39">
        <v>1.961250000000001</v>
      </c>
      <c r="N27" s="39">
        <v>0.86249999999999982</v>
      </c>
      <c r="O27" s="39">
        <v>1.08125</v>
      </c>
      <c r="P27" s="39">
        <v>2.198799999999999</v>
      </c>
      <c r="Q27" s="39">
        <v>11.09131</v>
      </c>
      <c r="R27" s="40" t="s">
        <v>439</v>
      </c>
      <c r="S27" s="40" t="s">
        <v>439</v>
      </c>
      <c r="T27" s="40" t="s">
        <v>439</v>
      </c>
      <c r="U27" s="40" t="s">
        <v>439</v>
      </c>
      <c r="V27" s="40" t="s">
        <v>439</v>
      </c>
      <c r="W27" s="40" t="s">
        <v>439</v>
      </c>
    </row>
    <row r="28" spans="1:23" x14ac:dyDescent="0.4">
      <c r="A28" s="36" t="s">
        <v>485</v>
      </c>
      <c r="B28" s="36" t="s">
        <v>486</v>
      </c>
      <c r="C28" s="36" t="s">
        <v>72</v>
      </c>
      <c r="D28" s="36" t="s">
        <v>66</v>
      </c>
      <c r="E28" s="37">
        <v>2.3460000000000001</v>
      </c>
      <c r="F28" s="37">
        <v>1.0112999999999901</v>
      </c>
      <c r="G28" s="37">
        <v>10.62</v>
      </c>
      <c r="H28" s="37">
        <v>2.54</v>
      </c>
      <c r="I28" s="37">
        <v>-1.98</v>
      </c>
      <c r="J28" s="37">
        <f t="shared" si="0"/>
        <v>2.54</v>
      </c>
      <c r="K28" s="38">
        <v>7.4999999999999997E-2</v>
      </c>
      <c r="L28" s="40" t="s">
        <v>439</v>
      </c>
      <c r="M28" s="40" t="s">
        <v>439</v>
      </c>
      <c r="N28" s="40" t="s">
        <v>439</v>
      </c>
      <c r="O28" s="40" t="s">
        <v>439</v>
      </c>
      <c r="P28" s="40" t="s">
        <v>439</v>
      </c>
      <c r="Q28" s="40" t="s">
        <v>439</v>
      </c>
      <c r="R28" s="40" t="s">
        <v>439</v>
      </c>
      <c r="S28" s="40" t="s">
        <v>439</v>
      </c>
      <c r="T28" s="40" t="s">
        <v>439</v>
      </c>
      <c r="U28" s="40" t="s">
        <v>439</v>
      </c>
      <c r="V28" s="40" t="s">
        <v>439</v>
      </c>
      <c r="W28" s="40" t="s">
        <v>439</v>
      </c>
    </row>
    <row r="29" spans="1:23" x14ac:dyDescent="0.4">
      <c r="A29" s="36" t="s">
        <v>487</v>
      </c>
      <c r="B29" s="36" t="s">
        <v>488</v>
      </c>
      <c r="C29" s="36" t="s">
        <v>372</v>
      </c>
      <c r="D29" s="36" t="s">
        <v>442</v>
      </c>
      <c r="E29" s="37">
        <v>4.4349999999999996</v>
      </c>
      <c r="F29" s="37">
        <v>3.4087999999999998</v>
      </c>
      <c r="G29" s="37">
        <v>9.7899999999999991</v>
      </c>
      <c r="H29" s="37"/>
      <c r="I29" s="37">
        <v>11.3</v>
      </c>
      <c r="J29" s="37">
        <f t="shared" si="0"/>
        <v>11.3</v>
      </c>
      <c r="K29" s="38">
        <v>3.11</v>
      </c>
      <c r="L29" s="39">
        <v>1.0920000000000001</v>
      </c>
      <c r="M29" s="39">
        <v>1.3</v>
      </c>
      <c r="N29" s="39">
        <v>0.108</v>
      </c>
      <c r="O29" s="39">
        <v>0.97</v>
      </c>
      <c r="P29" s="39">
        <v>2.2403</v>
      </c>
      <c r="Q29" s="39">
        <v>9.968</v>
      </c>
      <c r="R29" s="40" t="s">
        <v>439</v>
      </c>
      <c r="S29" s="40" t="s">
        <v>439</v>
      </c>
      <c r="T29" s="40" t="s">
        <v>439</v>
      </c>
      <c r="U29" s="40" t="s">
        <v>439</v>
      </c>
      <c r="V29" s="40" t="s">
        <v>439</v>
      </c>
      <c r="W29" s="40" t="s">
        <v>439</v>
      </c>
    </row>
    <row r="30" spans="1:23" x14ac:dyDescent="0.4">
      <c r="A30" s="36" t="s">
        <v>489</v>
      </c>
      <c r="B30" s="36" t="s">
        <v>490</v>
      </c>
      <c r="C30" s="36" t="s">
        <v>371</v>
      </c>
      <c r="D30" s="36" t="s">
        <v>442</v>
      </c>
      <c r="E30" s="37">
        <v>3.2014999999999998</v>
      </c>
      <c r="F30" s="37">
        <v>2.4847000000000001</v>
      </c>
      <c r="G30" s="37">
        <v>9.3000000000000007</v>
      </c>
      <c r="H30" s="37"/>
      <c r="I30" s="37">
        <v>7.05</v>
      </c>
      <c r="J30" s="37">
        <f t="shared" si="0"/>
        <v>7.05</v>
      </c>
      <c r="K30" s="38">
        <v>4.42</v>
      </c>
      <c r="L30" s="39">
        <v>0.78</v>
      </c>
      <c r="M30" s="39">
        <v>1.1000000000000001</v>
      </c>
      <c r="N30" s="39">
        <v>0.16</v>
      </c>
      <c r="O30" s="39">
        <v>1.36</v>
      </c>
      <c r="P30" s="39">
        <v>2.3115999999999999</v>
      </c>
      <c r="Q30" s="39">
        <v>9.26</v>
      </c>
      <c r="R30" s="40" t="s">
        <v>439</v>
      </c>
      <c r="S30" s="40" t="s">
        <v>439</v>
      </c>
      <c r="T30" s="40" t="s">
        <v>439</v>
      </c>
      <c r="U30" s="40" t="s">
        <v>439</v>
      </c>
      <c r="V30" s="40" t="s">
        <v>439</v>
      </c>
      <c r="W30" s="40" t="s">
        <v>439</v>
      </c>
    </row>
    <row r="31" spans="1:23" x14ac:dyDescent="0.4">
      <c r="A31" s="36" t="s">
        <v>491</v>
      </c>
      <c r="B31" s="36" t="s">
        <v>492</v>
      </c>
      <c r="C31" s="36" t="s">
        <v>373</v>
      </c>
      <c r="D31" s="36" t="s">
        <v>442</v>
      </c>
      <c r="E31" s="37">
        <v>3.0558999999999998</v>
      </c>
      <c r="F31" s="37">
        <v>1.6388</v>
      </c>
      <c r="G31" s="37">
        <v>10.41</v>
      </c>
      <c r="H31" s="37">
        <v>14.4</v>
      </c>
      <c r="I31" s="37">
        <v>6.61</v>
      </c>
      <c r="J31" s="37">
        <f t="shared" si="0"/>
        <v>6.61</v>
      </c>
      <c r="K31" s="38">
        <v>8.1700000000000002E-3</v>
      </c>
      <c r="L31" s="39">
        <v>2</v>
      </c>
      <c r="M31" s="39">
        <v>2.1850000000000001</v>
      </c>
      <c r="N31" s="39">
        <v>9.9999999999999992E-2</v>
      </c>
      <c r="O31" s="39">
        <v>1.885</v>
      </c>
      <c r="P31" s="39">
        <v>2.9230999999999989</v>
      </c>
      <c r="Q31" s="39">
        <v>13.88</v>
      </c>
      <c r="R31" s="40" t="s">
        <v>439</v>
      </c>
      <c r="S31" s="40" t="s">
        <v>439</v>
      </c>
      <c r="T31" s="40" t="s">
        <v>439</v>
      </c>
      <c r="U31" s="40" t="s">
        <v>439</v>
      </c>
      <c r="V31" s="40" t="s">
        <v>439</v>
      </c>
      <c r="W31" s="40" t="s">
        <v>439</v>
      </c>
    </row>
    <row r="32" spans="1:23" x14ac:dyDescent="0.4">
      <c r="A32" s="36" t="s">
        <v>493</v>
      </c>
      <c r="B32" s="36" t="s">
        <v>494</v>
      </c>
      <c r="C32" s="36" t="s">
        <v>72</v>
      </c>
      <c r="D32" s="36" t="s">
        <v>66</v>
      </c>
      <c r="E32" s="37">
        <v>3.0731999999999999</v>
      </c>
      <c r="F32" s="37">
        <v>1.7384999999999999</v>
      </c>
      <c r="G32" s="37">
        <v>8.76</v>
      </c>
      <c r="H32" s="37">
        <v>4.66</v>
      </c>
      <c r="I32" s="37"/>
      <c r="J32" s="37">
        <f t="shared" si="0"/>
        <v>4.66</v>
      </c>
      <c r="K32" s="38">
        <v>1.87</v>
      </c>
      <c r="L32" s="39">
        <v>0.72625000000000017</v>
      </c>
      <c r="M32" s="39">
        <v>0.69874999999999998</v>
      </c>
      <c r="N32" s="39">
        <v>0.57499999999999996</v>
      </c>
      <c r="O32" s="39">
        <v>0.77124999999999999</v>
      </c>
      <c r="P32" s="39">
        <v>1.777100000000001</v>
      </c>
      <c r="Q32" s="39">
        <v>7.1269319999999992</v>
      </c>
      <c r="R32" s="40" t="s">
        <v>439</v>
      </c>
      <c r="S32" s="40" t="s">
        <v>439</v>
      </c>
      <c r="T32" s="40" t="s">
        <v>439</v>
      </c>
      <c r="U32" s="40" t="s">
        <v>439</v>
      </c>
      <c r="V32" s="40" t="s">
        <v>439</v>
      </c>
      <c r="W32" s="40" t="s">
        <v>439</v>
      </c>
    </row>
    <row r="33" spans="1:23" x14ac:dyDescent="0.4">
      <c r="A33" s="36" t="s">
        <v>495</v>
      </c>
      <c r="B33" s="36" t="s">
        <v>496</v>
      </c>
      <c r="C33" s="36" t="s">
        <v>373</v>
      </c>
      <c r="D33" s="36" t="s">
        <v>442</v>
      </c>
      <c r="E33" s="37">
        <v>4.2058</v>
      </c>
      <c r="F33" s="37">
        <v>2.7887</v>
      </c>
      <c r="G33" s="37">
        <v>11.68</v>
      </c>
      <c r="H33" s="37">
        <v>7.97</v>
      </c>
      <c r="I33" s="37">
        <v>6.73</v>
      </c>
      <c r="J33" s="37">
        <f t="shared" si="0"/>
        <v>6.73</v>
      </c>
      <c r="K33" s="38">
        <v>0.98399999999999999</v>
      </c>
      <c r="L33" s="39">
        <v>3.14</v>
      </c>
      <c r="M33" s="39">
        <v>3.68</v>
      </c>
      <c r="N33" s="39">
        <v>0</v>
      </c>
      <c r="O33" s="39">
        <v>2.6</v>
      </c>
      <c r="P33" s="39">
        <v>3.7208000000000001</v>
      </c>
      <c r="Q33" s="39">
        <v>19.71</v>
      </c>
      <c r="R33" s="40" t="s">
        <v>439</v>
      </c>
      <c r="S33" s="40" t="s">
        <v>439</v>
      </c>
      <c r="T33" s="40" t="s">
        <v>439</v>
      </c>
      <c r="U33" s="40" t="s">
        <v>439</v>
      </c>
      <c r="V33" s="40" t="s">
        <v>439</v>
      </c>
      <c r="W33" s="40" t="s">
        <v>439</v>
      </c>
    </row>
    <row r="34" spans="1:23" x14ac:dyDescent="0.4">
      <c r="A34" s="36" t="s">
        <v>497</v>
      </c>
      <c r="B34" s="36" t="s">
        <v>498</v>
      </c>
      <c r="C34" s="36" t="s">
        <v>72</v>
      </c>
      <c r="D34" s="36" t="s">
        <v>66</v>
      </c>
      <c r="E34" s="37">
        <v>3.1057000000000001</v>
      </c>
      <c r="F34" s="37">
        <v>1.7709999999999999</v>
      </c>
      <c r="G34" s="37">
        <v>10.57</v>
      </c>
      <c r="H34" s="37">
        <v>4.1900000000000004</v>
      </c>
      <c r="I34" s="37"/>
      <c r="J34" s="37">
        <f t="shared" si="0"/>
        <v>4.1900000000000004</v>
      </c>
      <c r="K34" s="38">
        <v>0.74</v>
      </c>
      <c r="L34" s="39">
        <v>1.6339999999999999</v>
      </c>
      <c r="M34" s="39">
        <v>2.0888</v>
      </c>
      <c r="N34" s="39">
        <v>0.54920000000000002</v>
      </c>
      <c r="O34" s="39">
        <v>0.88759999999999972</v>
      </c>
      <c r="P34" s="39">
        <v>1.9779</v>
      </c>
      <c r="Q34" s="39">
        <v>10.526999999999999</v>
      </c>
      <c r="R34" s="40" t="s">
        <v>439</v>
      </c>
      <c r="S34" s="40" t="s">
        <v>439</v>
      </c>
      <c r="T34" s="40" t="s">
        <v>439</v>
      </c>
      <c r="U34" s="40" t="s">
        <v>439</v>
      </c>
      <c r="V34" s="40" t="s">
        <v>439</v>
      </c>
      <c r="W34" s="40" t="s">
        <v>439</v>
      </c>
    </row>
    <row r="35" spans="1:23" x14ac:dyDescent="0.4">
      <c r="A35" s="36" t="s">
        <v>499</v>
      </c>
      <c r="B35" s="36" t="s">
        <v>500</v>
      </c>
      <c r="C35" s="36" t="s">
        <v>72</v>
      </c>
      <c r="D35" s="36" t="s">
        <v>66</v>
      </c>
      <c r="E35" s="37">
        <v>1.7959000000000001</v>
      </c>
      <c r="F35" s="37">
        <v>0.461199999999999</v>
      </c>
      <c r="G35" s="37">
        <v>9.2799999999999994</v>
      </c>
      <c r="H35" s="37">
        <v>3.01</v>
      </c>
      <c r="I35" s="37">
        <v>7.64</v>
      </c>
      <c r="J35" s="37">
        <f t="shared" si="0"/>
        <v>3.01</v>
      </c>
      <c r="K35" s="38">
        <v>2.0580000000000001E-2</v>
      </c>
      <c r="L35" s="40" t="s">
        <v>439</v>
      </c>
      <c r="M35" s="40" t="s">
        <v>439</v>
      </c>
      <c r="N35" s="40" t="s">
        <v>439</v>
      </c>
      <c r="O35" s="40" t="s">
        <v>439</v>
      </c>
      <c r="P35" s="40" t="s">
        <v>439</v>
      </c>
      <c r="Q35" s="40" t="s">
        <v>439</v>
      </c>
      <c r="R35" s="39">
        <v>2.0699999999999998</v>
      </c>
      <c r="S35" s="39">
        <v>2.48</v>
      </c>
      <c r="T35" s="39">
        <v>0.53</v>
      </c>
      <c r="U35" s="39">
        <v>1.89</v>
      </c>
      <c r="V35" s="39">
        <v>2.431</v>
      </c>
      <c r="W35" s="39">
        <v>11.851000000000001</v>
      </c>
    </row>
    <row r="36" spans="1:23" x14ac:dyDescent="0.4">
      <c r="A36" s="36" t="s">
        <v>501</v>
      </c>
      <c r="B36" s="36" t="s">
        <v>502</v>
      </c>
      <c r="C36" s="36" t="s">
        <v>372</v>
      </c>
      <c r="D36" s="36" t="s">
        <v>442</v>
      </c>
      <c r="E36" s="37">
        <v>1.61319999999999</v>
      </c>
      <c r="F36" s="37">
        <v>0.58699999999999997</v>
      </c>
      <c r="G36" s="37">
        <v>8.4</v>
      </c>
      <c r="H36" s="37">
        <v>13.9</v>
      </c>
      <c r="I36" s="37">
        <v>9.93</v>
      </c>
      <c r="J36" s="37">
        <f t="shared" si="0"/>
        <v>9.93</v>
      </c>
      <c r="K36" s="38">
        <v>0.32500000000000001</v>
      </c>
      <c r="L36" s="39">
        <v>1.1619999999999999</v>
      </c>
      <c r="M36" s="39">
        <v>1.3</v>
      </c>
      <c r="N36" s="39">
        <v>0.156</v>
      </c>
      <c r="O36" s="39">
        <v>1.6960000000000011</v>
      </c>
      <c r="P36" s="39">
        <v>2.2604000000000002</v>
      </c>
      <c r="Q36" s="39">
        <v>9.83</v>
      </c>
      <c r="R36" s="40" t="s">
        <v>439</v>
      </c>
      <c r="S36" s="40" t="s">
        <v>439</v>
      </c>
      <c r="T36" s="40" t="s">
        <v>439</v>
      </c>
      <c r="U36" s="40" t="s">
        <v>439</v>
      </c>
      <c r="V36" s="40" t="s">
        <v>439</v>
      </c>
      <c r="W36" s="40" t="s">
        <v>439</v>
      </c>
    </row>
    <row r="37" spans="1:23" x14ac:dyDescent="0.4">
      <c r="A37" s="36" t="s">
        <v>503</v>
      </c>
      <c r="B37" s="36" t="s">
        <v>504</v>
      </c>
      <c r="C37" s="36" t="s">
        <v>72</v>
      </c>
      <c r="D37" s="36" t="s">
        <v>66</v>
      </c>
      <c r="E37" s="37">
        <v>3.0365000000000002</v>
      </c>
      <c r="F37" s="37">
        <v>1.7018</v>
      </c>
      <c r="G37" s="37">
        <v>9.75</v>
      </c>
      <c r="H37" s="37">
        <v>4.7</v>
      </c>
      <c r="I37" s="37"/>
      <c r="J37" s="37">
        <f t="shared" ref="J37:J65" si="1">IF(D37="Acidic",H37,IF(D37="Basic",I37,IF(ABS(H37-7.4)&lt;=ABS(I37-7.4),H37,I37)))</f>
        <v>4.7</v>
      </c>
      <c r="K37" s="38">
        <v>1.74</v>
      </c>
      <c r="L37" s="39">
        <v>1.51</v>
      </c>
      <c r="M37" s="39">
        <v>2.0003333333333329</v>
      </c>
      <c r="N37" s="39">
        <v>0.59999999999999987</v>
      </c>
      <c r="O37" s="39">
        <v>0.67549999999999999</v>
      </c>
      <c r="P37" s="39">
        <v>1.7821</v>
      </c>
      <c r="Q37" s="39">
        <v>9.2070000000000007</v>
      </c>
      <c r="R37" s="40" t="s">
        <v>439</v>
      </c>
      <c r="S37" s="40" t="s">
        <v>439</v>
      </c>
      <c r="T37" s="40" t="s">
        <v>439</v>
      </c>
      <c r="U37" s="40" t="s">
        <v>439</v>
      </c>
      <c r="V37" s="40" t="s">
        <v>439</v>
      </c>
      <c r="W37" s="40" t="s">
        <v>439</v>
      </c>
    </row>
    <row r="38" spans="1:23" x14ac:dyDescent="0.4">
      <c r="A38" s="36" t="s">
        <v>505</v>
      </c>
      <c r="B38" s="36" t="s">
        <v>506</v>
      </c>
      <c r="C38" s="36" t="s">
        <v>72</v>
      </c>
      <c r="D38" s="36" t="s">
        <v>66</v>
      </c>
      <c r="E38" s="37">
        <v>1.2683</v>
      </c>
      <c r="F38" s="37">
        <v>-6.6400000000000195E-2</v>
      </c>
      <c r="G38" s="37">
        <v>9.3800000000000008</v>
      </c>
      <c r="H38" s="37">
        <v>2.23</v>
      </c>
      <c r="I38" s="37">
        <v>8.69</v>
      </c>
      <c r="J38" s="37">
        <f t="shared" si="1"/>
        <v>2.23</v>
      </c>
      <c r="K38" s="38">
        <v>0.01</v>
      </c>
      <c r="L38" s="40" t="s">
        <v>439</v>
      </c>
      <c r="M38" s="40" t="s">
        <v>439</v>
      </c>
      <c r="N38" s="40" t="s">
        <v>439</v>
      </c>
      <c r="O38" s="40" t="s">
        <v>439</v>
      </c>
      <c r="P38" s="40" t="s">
        <v>439</v>
      </c>
      <c r="Q38" s="40" t="s">
        <v>439</v>
      </c>
      <c r="R38" s="40" t="s">
        <v>439</v>
      </c>
      <c r="S38" s="40" t="s">
        <v>439</v>
      </c>
      <c r="T38" s="40" t="s">
        <v>439</v>
      </c>
      <c r="U38" s="40" t="s">
        <v>439</v>
      </c>
      <c r="V38" s="40" t="s">
        <v>439</v>
      </c>
      <c r="W38" s="40" t="s">
        <v>439</v>
      </c>
    </row>
    <row r="39" spans="1:23" x14ac:dyDescent="0.4">
      <c r="A39" s="36" t="s">
        <v>507</v>
      </c>
      <c r="B39" s="36" t="s">
        <v>508</v>
      </c>
      <c r="C39" s="36" t="s">
        <v>72</v>
      </c>
      <c r="D39" s="36" t="s">
        <v>66</v>
      </c>
      <c r="E39" s="37">
        <v>1.544</v>
      </c>
      <c r="F39" s="37">
        <v>0.20930000000000001</v>
      </c>
      <c r="G39" s="37">
        <v>10.42</v>
      </c>
      <c r="H39" s="37">
        <v>3.59</v>
      </c>
      <c r="I39" s="37">
        <v>7.38</v>
      </c>
      <c r="J39" s="37">
        <f t="shared" si="1"/>
        <v>3.59</v>
      </c>
      <c r="K39" s="38">
        <v>7.8200000000000003E-4</v>
      </c>
      <c r="L39" s="40" t="s">
        <v>439</v>
      </c>
      <c r="M39" s="40" t="s">
        <v>439</v>
      </c>
      <c r="N39" s="40" t="s">
        <v>439</v>
      </c>
      <c r="O39" s="40" t="s">
        <v>439</v>
      </c>
      <c r="P39" s="40" t="s">
        <v>439</v>
      </c>
      <c r="Q39" s="40" t="s">
        <v>439</v>
      </c>
      <c r="R39" s="40" t="s">
        <v>439</v>
      </c>
      <c r="S39" s="40" t="s">
        <v>439</v>
      </c>
      <c r="T39" s="40" t="s">
        <v>439</v>
      </c>
      <c r="U39" s="40" t="s">
        <v>439</v>
      </c>
      <c r="V39" s="40" t="s">
        <v>439</v>
      </c>
      <c r="W39" s="40" t="s">
        <v>439</v>
      </c>
    </row>
    <row r="40" spans="1:23" x14ac:dyDescent="0.4">
      <c r="A40" s="36" t="s">
        <v>509</v>
      </c>
      <c r="B40" s="36" t="s">
        <v>510</v>
      </c>
      <c r="C40" s="36" t="s">
        <v>234</v>
      </c>
      <c r="D40" s="36" t="s">
        <v>455</v>
      </c>
      <c r="E40" s="37">
        <v>6.8818999999999999</v>
      </c>
      <c r="F40" s="37">
        <f>E40</f>
        <v>6.8818999999999999</v>
      </c>
      <c r="G40" s="37">
        <v>10.199999999999999</v>
      </c>
      <c r="H40" s="37">
        <v>2.66</v>
      </c>
      <c r="I40" s="37">
        <v>12.7</v>
      </c>
      <c r="J40" s="37">
        <f t="shared" si="1"/>
        <v>2.66</v>
      </c>
      <c r="K40" s="38">
        <v>3.2000000000000001E-2</v>
      </c>
      <c r="L40" s="40" t="s">
        <v>439</v>
      </c>
      <c r="M40" s="40" t="s">
        <v>439</v>
      </c>
      <c r="N40" s="40" t="s">
        <v>439</v>
      </c>
      <c r="O40" s="40" t="s">
        <v>439</v>
      </c>
      <c r="P40" s="40" t="s">
        <v>439</v>
      </c>
      <c r="Q40" s="40" t="s">
        <v>439</v>
      </c>
      <c r="R40" s="39">
        <v>0.36</v>
      </c>
      <c r="S40" s="39">
        <v>1.32</v>
      </c>
      <c r="T40" s="39">
        <v>0.27</v>
      </c>
      <c r="U40" s="39">
        <v>1.61</v>
      </c>
      <c r="V40" s="39">
        <v>4.3503999999999996</v>
      </c>
      <c r="W40" s="39">
        <v>15.795</v>
      </c>
    </row>
    <row r="41" spans="1:23" x14ac:dyDescent="0.4">
      <c r="A41" s="36" t="s">
        <v>511</v>
      </c>
      <c r="B41" s="36" t="s">
        <v>512</v>
      </c>
      <c r="C41" s="36" t="s">
        <v>234</v>
      </c>
      <c r="D41" s="36" t="s">
        <v>455</v>
      </c>
      <c r="E41" s="37">
        <v>2.4479000000000002</v>
      </c>
      <c r="F41" s="37">
        <f>E41</f>
        <v>2.4479000000000002</v>
      </c>
      <c r="G41" s="37">
        <v>9.23</v>
      </c>
      <c r="H41" s="37">
        <v>9.9700000000000006</v>
      </c>
      <c r="I41" s="37">
        <v>-0.16</v>
      </c>
      <c r="J41" s="37">
        <f t="shared" si="1"/>
        <v>9.9700000000000006</v>
      </c>
      <c r="K41" s="38">
        <v>0.20899999999999999</v>
      </c>
      <c r="L41" s="39">
        <v>2.35</v>
      </c>
      <c r="M41" s="39">
        <v>1.113333333333334</v>
      </c>
      <c r="N41" s="39">
        <v>0.28333333333333333</v>
      </c>
      <c r="O41" s="39">
        <v>1.6133333333333331</v>
      </c>
      <c r="P41" s="39">
        <v>1.9917</v>
      </c>
      <c r="Q41" s="39">
        <v>10.27</v>
      </c>
      <c r="R41" s="39">
        <v>2.4500000000000002</v>
      </c>
      <c r="S41" s="39">
        <v>1.83</v>
      </c>
      <c r="T41" s="39">
        <v>0.63</v>
      </c>
      <c r="U41" s="39">
        <v>1.52</v>
      </c>
      <c r="V41" s="39">
        <v>1.9917</v>
      </c>
      <c r="W41" s="39">
        <v>10.621</v>
      </c>
    </row>
    <row r="42" spans="1:23" x14ac:dyDescent="0.4">
      <c r="A42" s="36" t="s">
        <v>513</v>
      </c>
      <c r="B42" s="36" t="s">
        <v>514</v>
      </c>
      <c r="C42" s="36" t="s">
        <v>370</v>
      </c>
      <c r="D42" s="36" t="s">
        <v>66</v>
      </c>
      <c r="E42" s="37">
        <v>-1.4001999999999899</v>
      </c>
      <c r="F42" s="37">
        <v>-2.0321999999999898</v>
      </c>
      <c r="G42" s="37">
        <v>9.5</v>
      </c>
      <c r="H42" s="37">
        <v>3.3</v>
      </c>
      <c r="I42" s="37">
        <v>9.1</v>
      </c>
      <c r="J42" s="37">
        <f t="shared" si="1"/>
        <v>3.3</v>
      </c>
      <c r="K42" s="38">
        <v>4.1790000000000001E-6</v>
      </c>
      <c r="L42" s="39">
        <v>3.6</v>
      </c>
      <c r="M42" s="39">
        <v>3.05</v>
      </c>
      <c r="N42" s="39">
        <v>1.65</v>
      </c>
      <c r="O42" s="39">
        <v>3.5</v>
      </c>
      <c r="P42" s="39">
        <v>3.1579000000000002</v>
      </c>
      <c r="Q42" s="39">
        <v>18.11</v>
      </c>
      <c r="R42" s="39">
        <v>3.65</v>
      </c>
      <c r="S42" s="39">
        <v>3.09</v>
      </c>
      <c r="T42" s="39">
        <v>2.2599999999999998</v>
      </c>
      <c r="U42" s="39">
        <v>4.12</v>
      </c>
      <c r="V42" s="39">
        <v>3.1579000000000002</v>
      </c>
      <c r="W42" s="39">
        <v>16.766999999999999</v>
      </c>
    </row>
    <row r="43" spans="1:23" x14ac:dyDescent="0.4">
      <c r="A43" s="36" t="s">
        <v>515</v>
      </c>
      <c r="B43" s="36" t="s">
        <v>516</v>
      </c>
      <c r="C43" s="36" t="s">
        <v>372</v>
      </c>
      <c r="D43" s="36" t="s">
        <v>442</v>
      </c>
      <c r="E43" s="37">
        <v>2.5775000000000001</v>
      </c>
      <c r="F43" s="37">
        <v>1.5512999999999999</v>
      </c>
      <c r="G43" s="37">
        <v>8.4</v>
      </c>
      <c r="H43" s="37">
        <v>13.8</v>
      </c>
      <c r="I43" s="37">
        <v>8.9700000000000006</v>
      </c>
      <c r="J43" s="37">
        <f t="shared" si="1"/>
        <v>8.9700000000000006</v>
      </c>
      <c r="K43" s="38">
        <v>2.76</v>
      </c>
      <c r="L43" s="39">
        <v>1.826111111111111</v>
      </c>
      <c r="M43" s="39">
        <v>1.4788888888888889</v>
      </c>
      <c r="N43" s="39">
        <v>0.44333333333333341</v>
      </c>
      <c r="O43" s="39">
        <v>1.3</v>
      </c>
      <c r="P43" s="39">
        <v>2.148000000000001</v>
      </c>
      <c r="Q43" s="39">
        <v>10.5</v>
      </c>
      <c r="R43" s="40" t="s">
        <v>439</v>
      </c>
      <c r="S43" s="40" t="s">
        <v>439</v>
      </c>
      <c r="T43" s="40" t="s">
        <v>439</v>
      </c>
      <c r="U43" s="40" t="s">
        <v>439</v>
      </c>
      <c r="V43" s="40" t="s">
        <v>439</v>
      </c>
      <c r="W43" s="40" t="s">
        <v>439</v>
      </c>
    </row>
    <row r="44" spans="1:23" x14ac:dyDescent="0.4">
      <c r="A44" s="36" t="s">
        <v>517</v>
      </c>
      <c r="B44" s="36" t="s">
        <v>518</v>
      </c>
      <c r="C44" s="36" t="s">
        <v>373</v>
      </c>
      <c r="D44" s="36" t="s">
        <v>442</v>
      </c>
      <c r="E44" s="37">
        <v>2.8559999999999999</v>
      </c>
      <c r="F44" s="37">
        <v>-1.1124999999999901</v>
      </c>
      <c r="G44" s="37">
        <v>10.35</v>
      </c>
      <c r="H44" s="37">
        <v>14.4</v>
      </c>
      <c r="I44" s="37">
        <v>7.1</v>
      </c>
      <c r="J44" s="37">
        <f t="shared" si="1"/>
        <v>7.1</v>
      </c>
      <c r="K44" s="38">
        <v>0.20599999999999999</v>
      </c>
      <c r="L44" s="39">
        <v>2.72</v>
      </c>
      <c r="M44" s="39">
        <v>1.91</v>
      </c>
      <c r="N44" s="39">
        <v>0.28000000000000003</v>
      </c>
      <c r="O44" s="39">
        <v>2.2400000000000002</v>
      </c>
      <c r="P44" s="39">
        <v>2.9123999999999999</v>
      </c>
      <c r="Q44" s="39">
        <v>14.573333333333331</v>
      </c>
      <c r="R44" s="40" t="s">
        <v>439</v>
      </c>
      <c r="S44" s="40" t="s">
        <v>439</v>
      </c>
      <c r="T44" s="40" t="s">
        <v>439</v>
      </c>
      <c r="U44" s="40" t="s">
        <v>439</v>
      </c>
      <c r="V44" s="40" t="s">
        <v>439</v>
      </c>
      <c r="W44" s="40" t="s">
        <v>439</v>
      </c>
    </row>
    <row r="45" spans="1:23" x14ac:dyDescent="0.4">
      <c r="A45" s="36" t="s">
        <v>519</v>
      </c>
      <c r="B45" s="36" t="s">
        <v>520</v>
      </c>
      <c r="C45" s="36" t="s">
        <v>373</v>
      </c>
      <c r="D45" s="36" t="s">
        <v>442</v>
      </c>
      <c r="E45" s="37">
        <v>2.2096</v>
      </c>
      <c r="F45" s="37">
        <f>E45</f>
        <v>2.2096</v>
      </c>
      <c r="G45" s="37">
        <v>9.5399999999999991</v>
      </c>
      <c r="H45" s="37">
        <v>13</v>
      </c>
      <c r="I45" s="37">
        <v>7.76</v>
      </c>
      <c r="J45" s="37">
        <f t="shared" si="1"/>
        <v>7.76</v>
      </c>
      <c r="K45" s="38">
        <v>3.1480000000000001E-2</v>
      </c>
      <c r="L45" s="40" t="s">
        <v>439</v>
      </c>
      <c r="M45" s="40" t="s">
        <v>439</v>
      </c>
      <c r="N45" s="40" t="s">
        <v>439</v>
      </c>
      <c r="O45" s="40" t="s">
        <v>439</v>
      </c>
      <c r="P45" s="40" t="s">
        <v>439</v>
      </c>
      <c r="Q45" s="40" t="s">
        <v>439</v>
      </c>
      <c r="R45" s="39">
        <v>1.93</v>
      </c>
      <c r="S45" s="39">
        <v>2.75</v>
      </c>
      <c r="T45" s="39">
        <v>1.53</v>
      </c>
      <c r="U45" s="39">
        <v>5.78</v>
      </c>
      <c r="V45" s="39">
        <v>6.5537999999999998</v>
      </c>
      <c r="W45" s="39">
        <v>25.364000000000001</v>
      </c>
    </row>
    <row r="46" spans="1:23" x14ac:dyDescent="0.4">
      <c r="A46" s="36" t="s">
        <v>521</v>
      </c>
      <c r="B46" s="36" t="s">
        <v>522</v>
      </c>
      <c r="C46" s="36" t="s">
        <v>72</v>
      </c>
      <c r="D46" s="36" t="s">
        <v>66</v>
      </c>
      <c r="E46" s="37">
        <v>1.09039999999999</v>
      </c>
      <c r="F46" s="37">
        <v>0.45839999999999897</v>
      </c>
      <c r="G46" s="37">
        <v>7.44</v>
      </c>
      <c r="H46" s="37">
        <v>3.27</v>
      </c>
      <c r="I46" s="37"/>
      <c r="J46" s="37">
        <f t="shared" si="1"/>
        <v>3.27</v>
      </c>
      <c r="K46" s="38">
        <v>9.2999999999999999E-2</v>
      </c>
      <c r="L46" s="39">
        <v>0.90466666666666673</v>
      </c>
      <c r="M46" s="39">
        <v>0.83400000000000019</v>
      </c>
      <c r="N46" s="39">
        <v>0.72200000000000031</v>
      </c>
      <c r="O46" s="39">
        <v>0.37266666666666659</v>
      </c>
      <c r="P46" s="39">
        <v>0.99040000000000039</v>
      </c>
      <c r="Q46" s="39">
        <v>4.7320000000000002</v>
      </c>
      <c r="R46" s="40" t="s">
        <v>439</v>
      </c>
      <c r="S46" s="40" t="s">
        <v>439</v>
      </c>
      <c r="T46" s="40" t="s">
        <v>439</v>
      </c>
      <c r="U46" s="40" t="s">
        <v>439</v>
      </c>
      <c r="V46" s="40" t="s">
        <v>439</v>
      </c>
      <c r="W46" s="40" t="s">
        <v>439</v>
      </c>
    </row>
    <row r="47" spans="1:23" x14ac:dyDescent="0.4">
      <c r="A47" s="36" t="s">
        <v>523</v>
      </c>
      <c r="B47" s="36" t="s">
        <v>524</v>
      </c>
      <c r="C47" s="36" t="s">
        <v>72</v>
      </c>
      <c r="D47" s="36" t="s">
        <v>66</v>
      </c>
      <c r="E47" s="37">
        <v>2.3767</v>
      </c>
      <c r="F47" s="37">
        <v>1.04199999999999</v>
      </c>
      <c r="G47" s="37">
        <v>9.49</v>
      </c>
      <c r="H47" s="37">
        <v>3</v>
      </c>
      <c r="I47" s="37">
        <v>8.67</v>
      </c>
      <c r="J47" s="37">
        <f t="shared" si="1"/>
        <v>3</v>
      </c>
      <c r="K47" s="38">
        <v>0.13200000000000001</v>
      </c>
      <c r="L47" s="40" t="s">
        <v>439</v>
      </c>
      <c r="M47" s="40" t="s">
        <v>439</v>
      </c>
      <c r="N47" s="40" t="s">
        <v>439</v>
      </c>
      <c r="O47" s="40" t="s">
        <v>439</v>
      </c>
      <c r="P47" s="40" t="s">
        <v>439</v>
      </c>
      <c r="Q47" s="40" t="s">
        <v>439</v>
      </c>
      <c r="R47" s="39">
        <v>2.62</v>
      </c>
      <c r="S47" s="39">
        <v>2.68</v>
      </c>
      <c r="T47" s="39">
        <v>0.61</v>
      </c>
      <c r="U47" s="39">
        <v>2.13</v>
      </c>
      <c r="V47" s="39">
        <v>2.6160999999999999</v>
      </c>
      <c r="W47" s="39">
        <v>13.196</v>
      </c>
    </row>
    <row r="48" spans="1:23" x14ac:dyDescent="0.4">
      <c r="A48" s="36" t="s">
        <v>525</v>
      </c>
      <c r="B48" s="36" t="s">
        <v>526</v>
      </c>
      <c r="C48" s="36" t="s">
        <v>372</v>
      </c>
      <c r="D48" s="36" t="s">
        <v>442</v>
      </c>
      <c r="E48" s="37">
        <v>5.1795999999999998</v>
      </c>
      <c r="F48" s="37">
        <v>4.1534000000000004</v>
      </c>
      <c r="G48" s="37">
        <v>11.44</v>
      </c>
      <c r="H48" s="37"/>
      <c r="I48" s="37">
        <v>8.16</v>
      </c>
      <c r="J48" s="37">
        <f t="shared" si="1"/>
        <v>8.16</v>
      </c>
      <c r="K48" s="38">
        <v>45.8</v>
      </c>
      <c r="L48" s="39">
        <v>1.83</v>
      </c>
      <c r="M48" s="39">
        <v>1.5</v>
      </c>
      <c r="N48" s="39">
        <v>0.1</v>
      </c>
      <c r="O48" s="39">
        <v>0.82</v>
      </c>
      <c r="P48" s="39">
        <v>2.2646999999999999</v>
      </c>
      <c r="Q48" s="39">
        <v>10.84</v>
      </c>
      <c r="R48" s="39">
        <v>1.95</v>
      </c>
      <c r="S48" s="39">
        <v>1.29</v>
      </c>
      <c r="T48" s="39">
        <v>0.11</v>
      </c>
      <c r="U48" s="39">
        <v>0.73</v>
      </c>
      <c r="V48" s="39">
        <v>2.2646999999999999</v>
      </c>
      <c r="W48" s="39">
        <v>10.394</v>
      </c>
    </row>
    <row r="49" spans="1:23" x14ac:dyDescent="0.4">
      <c r="A49" s="36" t="s">
        <v>527</v>
      </c>
      <c r="B49" s="36" t="s">
        <v>528</v>
      </c>
      <c r="C49" s="36" t="s">
        <v>371</v>
      </c>
      <c r="D49" s="36" t="s">
        <v>66</v>
      </c>
      <c r="E49" s="37">
        <v>9.3600000000000003E-2</v>
      </c>
      <c r="F49" s="37">
        <v>-0.61519999999999997</v>
      </c>
      <c r="G49" s="37">
        <v>8.14</v>
      </c>
      <c r="H49" s="37">
        <v>5.54</v>
      </c>
      <c r="I49" s="37">
        <v>0.93</v>
      </c>
      <c r="J49" s="37">
        <f t="shared" si="1"/>
        <v>5.54</v>
      </c>
      <c r="K49" s="38">
        <v>1.6299999999999999E-2</v>
      </c>
      <c r="L49" s="39">
        <v>1.48</v>
      </c>
      <c r="M49" s="39">
        <v>2.73</v>
      </c>
      <c r="N49" s="39">
        <v>0.42</v>
      </c>
      <c r="O49" s="39">
        <v>1.3</v>
      </c>
      <c r="P49" s="39">
        <v>1.4944</v>
      </c>
      <c r="Q49" s="39">
        <v>8.7300000000000022</v>
      </c>
      <c r="R49" s="40" t="s">
        <v>439</v>
      </c>
      <c r="S49" s="40" t="s">
        <v>439</v>
      </c>
      <c r="T49" s="40" t="s">
        <v>439</v>
      </c>
      <c r="U49" s="40" t="s">
        <v>439</v>
      </c>
      <c r="V49" s="40" t="s">
        <v>439</v>
      </c>
      <c r="W49" s="40" t="s">
        <v>439</v>
      </c>
    </row>
    <row r="50" spans="1:23" x14ac:dyDescent="0.4">
      <c r="A50" s="36" t="s">
        <v>529</v>
      </c>
      <c r="B50" s="36" t="s">
        <v>530</v>
      </c>
      <c r="C50" s="36" t="s">
        <v>371</v>
      </c>
      <c r="D50" s="36" t="s">
        <v>66</v>
      </c>
      <c r="E50" s="37">
        <v>0.85959999999999903</v>
      </c>
      <c r="F50" s="37">
        <v>0.29109999999999903</v>
      </c>
      <c r="G50" s="37">
        <v>9.1300000000000008</v>
      </c>
      <c r="H50" s="37">
        <v>6.93</v>
      </c>
      <c r="I50" s="37">
        <v>1.74</v>
      </c>
      <c r="J50" s="37">
        <f t="shared" si="1"/>
        <v>6.93</v>
      </c>
      <c r="K50" s="38">
        <v>8.7400000000000005E-2</v>
      </c>
      <c r="L50" s="39">
        <v>2.08</v>
      </c>
      <c r="M50" s="39">
        <v>2.5499999999999998</v>
      </c>
      <c r="N50" s="39">
        <v>0.65</v>
      </c>
      <c r="O50" s="39">
        <v>1.37</v>
      </c>
      <c r="P50" s="39">
        <v>1.7224999999999999</v>
      </c>
      <c r="Q50" s="39">
        <v>10.504</v>
      </c>
      <c r="R50" s="40" t="s">
        <v>439</v>
      </c>
      <c r="S50" s="40" t="s">
        <v>439</v>
      </c>
      <c r="T50" s="40" t="s">
        <v>439</v>
      </c>
      <c r="U50" s="40" t="s">
        <v>439</v>
      </c>
      <c r="V50" s="40" t="s">
        <v>439</v>
      </c>
      <c r="W50" s="40" t="s">
        <v>439</v>
      </c>
    </row>
    <row r="51" spans="1:23" x14ac:dyDescent="0.4">
      <c r="A51" s="36" t="s">
        <v>531</v>
      </c>
      <c r="B51" s="36" t="s">
        <v>532</v>
      </c>
      <c r="C51" s="36" t="s">
        <v>371</v>
      </c>
      <c r="D51" s="36" t="s">
        <v>66</v>
      </c>
      <c r="E51" s="37">
        <v>1.47644</v>
      </c>
      <c r="F51" s="37">
        <v>0.90793999999999997</v>
      </c>
      <c r="G51" s="37">
        <v>9.26</v>
      </c>
      <c r="H51" s="37">
        <v>7.71</v>
      </c>
      <c r="I51" s="37">
        <v>1.08</v>
      </c>
      <c r="J51" s="37">
        <f t="shared" si="1"/>
        <v>7.71</v>
      </c>
      <c r="K51" s="38">
        <v>4.02E-2</v>
      </c>
      <c r="L51" s="39">
        <v>2.13</v>
      </c>
      <c r="M51" s="39">
        <v>2.5299999999999998</v>
      </c>
      <c r="N51" s="39">
        <v>0.59</v>
      </c>
      <c r="O51" s="39">
        <v>1.53</v>
      </c>
      <c r="P51" s="39">
        <v>2.0043000000000002</v>
      </c>
      <c r="Q51" s="39">
        <v>11.504</v>
      </c>
      <c r="R51" s="40" t="s">
        <v>439</v>
      </c>
      <c r="S51" s="40" t="s">
        <v>439</v>
      </c>
      <c r="T51" s="40" t="s">
        <v>439</v>
      </c>
      <c r="U51" s="40" t="s">
        <v>439</v>
      </c>
      <c r="V51" s="40" t="s">
        <v>439</v>
      </c>
      <c r="W51" s="40" t="s">
        <v>439</v>
      </c>
    </row>
    <row r="52" spans="1:23" x14ac:dyDescent="0.4">
      <c r="A52" s="36" t="s">
        <v>533</v>
      </c>
      <c r="B52" s="36" t="s">
        <v>534</v>
      </c>
      <c r="C52" s="36" t="s">
        <v>371</v>
      </c>
      <c r="D52" s="36" t="s">
        <v>66</v>
      </c>
      <c r="E52" s="37">
        <v>1.1680200000000001</v>
      </c>
      <c r="F52" s="37">
        <v>0.59952000000000005</v>
      </c>
      <c r="G52" s="37">
        <v>9.1999999999999993</v>
      </c>
      <c r="H52" s="37">
        <v>6.94</v>
      </c>
      <c r="I52" s="37">
        <v>1.58</v>
      </c>
      <c r="J52" s="37">
        <f t="shared" si="1"/>
        <v>6.94</v>
      </c>
      <c r="K52" s="38">
        <v>6.3200000000000006E-2</v>
      </c>
      <c r="L52" s="39">
        <v>2.1</v>
      </c>
      <c r="M52" s="39">
        <v>2.65</v>
      </c>
      <c r="N52" s="39">
        <v>0.65</v>
      </c>
      <c r="O52" s="39">
        <v>1.42</v>
      </c>
      <c r="P52" s="39">
        <v>1.8633999999999999</v>
      </c>
      <c r="Q52" s="39">
        <v>11.026999999999999</v>
      </c>
      <c r="R52" s="39">
        <v>2.04</v>
      </c>
      <c r="S52" s="39">
        <v>2.59</v>
      </c>
      <c r="T52" s="39">
        <v>0.53</v>
      </c>
      <c r="U52" s="39">
        <v>1.46</v>
      </c>
      <c r="V52" s="39">
        <v>1.8633999999999999</v>
      </c>
      <c r="W52" s="39">
        <v>9.6969999999999992</v>
      </c>
    </row>
    <row r="53" spans="1:23" x14ac:dyDescent="0.4">
      <c r="A53" s="36" t="s">
        <v>535</v>
      </c>
      <c r="B53" s="36" t="s">
        <v>532</v>
      </c>
      <c r="C53" s="36" t="s">
        <v>371</v>
      </c>
      <c r="D53" s="36" t="s">
        <v>66</v>
      </c>
      <c r="E53" s="37">
        <v>1.47644</v>
      </c>
      <c r="F53" s="37">
        <v>0.90793999999999997</v>
      </c>
      <c r="G53" s="37">
        <v>9.26</v>
      </c>
      <c r="H53" s="37">
        <v>7.2</v>
      </c>
      <c r="I53" s="37"/>
      <c r="J53" s="37">
        <f t="shared" si="1"/>
        <v>7.2</v>
      </c>
      <c r="K53" s="38">
        <v>4.0230000000000002E-2</v>
      </c>
      <c r="L53" s="39">
        <v>2.13</v>
      </c>
      <c r="M53" s="39">
        <v>2.5299999999999998</v>
      </c>
      <c r="N53" s="39">
        <v>0.59</v>
      </c>
      <c r="O53" s="39">
        <v>1.53</v>
      </c>
      <c r="P53" s="39">
        <v>2.0043000000000002</v>
      </c>
      <c r="Q53" s="39">
        <v>11.504</v>
      </c>
      <c r="R53" s="39">
        <v>2.08</v>
      </c>
      <c r="S53" s="39">
        <v>2.5099999999999998</v>
      </c>
      <c r="T53" s="39">
        <v>0.53</v>
      </c>
      <c r="U53" s="39">
        <v>1.61</v>
      </c>
      <c r="V53" s="39">
        <v>2.0043000000000002</v>
      </c>
      <c r="W53" s="39">
        <v>10.031000000000001</v>
      </c>
    </row>
    <row r="54" spans="1:23" x14ac:dyDescent="0.4">
      <c r="A54" s="36" t="s">
        <v>536</v>
      </c>
      <c r="B54" s="36" t="s">
        <v>537</v>
      </c>
      <c r="C54" s="36" t="s">
        <v>371</v>
      </c>
      <c r="D54" s="36" t="s">
        <v>66</v>
      </c>
      <c r="E54" s="37">
        <v>1.36601999999999</v>
      </c>
      <c r="F54" s="37">
        <v>0.65721999999999903</v>
      </c>
      <c r="G54" s="37">
        <v>9.02</v>
      </c>
      <c r="H54" s="37">
        <v>6</v>
      </c>
      <c r="I54" s="37">
        <v>1.39</v>
      </c>
      <c r="J54" s="37">
        <f t="shared" si="1"/>
        <v>6</v>
      </c>
      <c r="K54" s="38">
        <v>6.2100000000000002E-2</v>
      </c>
      <c r="L54" s="39">
        <v>1.89</v>
      </c>
      <c r="M54" s="39">
        <v>2.23</v>
      </c>
      <c r="N54" s="39">
        <v>0.57999999999999996</v>
      </c>
      <c r="O54" s="39">
        <v>1.29</v>
      </c>
      <c r="P54" s="39">
        <v>1.7243999999999999</v>
      </c>
      <c r="Q54" s="39">
        <v>9.76</v>
      </c>
      <c r="R54" s="40" t="s">
        <v>439</v>
      </c>
      <c r="S54" s="40" t="s">
        <v>439</v>
      </c>
      <c r="T54" s="40" t="s">
        <v>439</v>
      </c>
      <c r="U54" s="40" t="s">
        <v>439</v>
      </c>
      <c r="V54" s="40" t="s">
        <v>439</v>
      </c>
      <c r="W54" s="40" t="s">
        <v>439</v>
      </c>
    </row>
    <row r="55" spans="1:23" x14ac:dyDescent="0.4">
      <c r="A55" s="36" t="s">
        <v>538</v>
      </c>
      <c r="B55" s="36" t="s">
        <v>539</v>
      </c>
      <c r="C55" s="36" t="s">
        <v>371</v>
      </c>
      <c r="D55" s="36" t="s">
        <v>66</v>
      </c>
      <c r="E55" s="37">
        <v>0.86819999999999997</v>
      </c>
      <c r="F55" s="37">
        <v>0.287299999999999</v>
      </c>
      <c r="G55" s="37">
        <v>9.23</v>
      </c>
      <c r="H55" s="37">
        <v>6.01</v>
      </c>
      <c r="I55" s="37">
        <v>3.39</v>
      </c>
      <c r="J55" s="37">
        <f t="shared" si="1"/>
        <v>6.01</v>
      </c>
      <c r="K55" s="38">
        <v>0.104</v>
      </c>
      <c r="L55" s="39">
        <v>2.120000000000001</v>
      </c>
      <c r="M55" s="39">
        <v>2.73</v>
      </c>
      <c r="N55" s="39">
        <v>0.54999999999999993</v>
      </c>
      <c r="O55" s="39">
        <v>1.45</v>
      </c>
      <c r="P55" s="39">
        <v>1.9220999999999999</v>
      </c>
      <c r="Q55" s="39">
        <v>11.26</v>
      </c>
      <c r="R55" s="40" t="s">
        <v>439</v>
      </c>
      <c r="S55" s="40" t="s">
        <v>439</v>
      </c>
      <c r="T55" s="40" t="s">
        <v>439</v>
      </c>
      <c r="U55" s="40" t="s">
        <v>439</v>
      </c>
      <c r="V55" s="40" t="s">
        <v>439</v>
      </c>
      <c r="W55" s="40" t="s">
        <v>439</v>
      </c>
    </row>
    <row r="56" spans="1:23" x14ac:dyDescent="0.4">
      <c r="A56" s="36" t="s">
        <v>540</v>
      </c>
      <c r="B56" s="36" t="s">
        <v>541</v>
      </c>
      <c r="C56" s="36" t="s">
        <v>371</v>
      </c>
      <c r="D56" s="36" t="s">
        <v>66</v>
      </c>
      <c r="E56" s="37">
        <v>1.4645999999999999</v>
      </c>
      <c r="F56" s="37">
        <v>0.88370000000000004</v>
      </c>
      <c r="G56" s="37">
        <v>9.09</v>
      </c>
      <c r="H56" s="37">
        <v>8.57</v>
      </c>
      <c r="I56" s="37">
        <v>2.41</v>
      </c>
      <c r="J56" s="37">
        <f t="shared" si="1"/>
        <v>8.57</v>
      </c>
      <c r="K56" s="38">
        <v>2.7799999999999998E-2</v>
      </c>
      <c r="L56" s="39">
        <v>2.04</v>
      </c>
      <c r="M56" s="39">
        <v>2.23</v>
      </c>
      <c r="N56" s="39">
        <v>0.59</v>
      </c>
      <c r="O56" s="39">
        <v>1.48</v>
      </c>
      <c r="P56" s="39">
        <v>1.7636000000000001</v>
      </c>
      <c r="Q56" s="39">
        <v>10.27</v>
      </c>
      <c r="R56" s="40" t="s">
        <v>439</v>
      </c>
      <c r="S56" s="40" t="s">
        <v>439</v>
      </c>
      <c r="T56" s="40" t="s">
        <v>439</v>
      </c>
      <c r="U56" s="40" t="s">
        <v>439</v>
      </c>
      <c r="V56" s="40" t="s">
        <v>439</v>
      </c>
      <c r="W56" s="40" t="s">
        <v>439</v>
      </c>
    </row>
    <row r="57" spans="1:23" x14ac:dyDescent="0.4">
      <c r="A57" s="36" t="s">
        <v>542</v>
      </c>
      <c r="B57" s="36" t="s">
        <v>543</v>
      </c>
      <c r="C57" s="36" t="s">
        <v>371</v>
      </c>
      <c r="D57" s="36" t="s">
        <v>66</v>
      </c>
      <c r="E57" s="37">
        <v>2.0127999999999902</v>
      </c>
      <c r="F57" s="37">
        <v>1.31639999999999</v>
      </c>
      <c r="G57" s="37">
        <v>9.39</v>
      </c>
      <c r="H57" s="37">
        <v>7.52</v>
      </c>
      <c r="I57" s="37">
        <v>1.95</v>
      </c>
      <c r="J57" s="37">
        <f t="shared" si="1"/>
        <v>7.52</v>
      </c>
      <c r="K57" s="38">
        <v>5.4199999999999998E-2</v>
      </c>
      <c r="L57" s="39">
        <v>2.84</v>
      </c>
      <c r="M57" s="39">
        <v>2.35</v>
      </c>
      <c r="N57" s="39">
        <v>0.4</v>
      </c>
      <c r="O57" s="39">
        <v>1.6</v>
      </c>
      <c r="P57" s="39">
        <v>2.0914999999999999</v>
      </c>
      <c r="Q57" s="39">
        <v>12.39</v>
      </c>
      <c r="R57" s="40" t="s">
        <v>439</v>
      </c>
      <c r="S57" s="40" t="s">
        <v>439</v>
      </c>
      <c r="T57" s="40" t="s">
        <v>439</v>
      </c>
      <c r="U57" s="40" t="s">
        <v>439</v>
      </c>
      <c r="V57" s="40" t="s">
        <v>439</v>
      </c>
      <c r="W57" s="40" t="s">
        <v>439</v>
      </c>
    </row>
    <row r="58" spans="1:23" x14ac:dyDescent="0.4">
      <c r="A58" s="36" t="s">
        <v>544</v>
      </c>
      <c r="B58" s="36" t="s">
        <v>545</v>
      </c>
      <c r="C58" s="36" t="s">
        <v>371</v>
      </c>
      <c r="D58" s="36" t="s">
        <v>66</v>
      </c>
      <c r="E58" s="37">
        <v>1.52609999999999</v>
      </c>
      <c r="F58" s="37">
        <v>0.94519999999999904</v>
      </c>
      <c r="G58" s="37">
        <v>9.07</v>
      </c>
      <c r="H58" s="37">
        <v>7.13</v>
      </c>
      <c r="I58" s="37">
        <v>2.17</v>
      </c>
      <c r="J58" s="37">
        <f t="shared" si="1"/>
        <v>7.13</v>
      </c>
      <c r="K58" s="38">
        <v>1.84E-2</v>
      </c>
      <c r="L58" s="39">
        <v>2.11</v>
      </c>
      <c r="M58" s="39">
        <v>2.5</v>
      </c>
      <c r="N58" s="39">
        <v>0.68</v>
      </c>
      <c r="O58" s="39">
        <v>1.4</v>
      </c>
      <c r="P58" s="39">
        <v>1.6882999999999999</v>
      </c>
      <c r="Q58" s="39">
        <v>10.18333333333333</v>
      </c>
      <c r="R58" s="40" t="s">
        <v>439</v>
      </c>
      <c r="S58" s="40" t="s">
        <v>439</v>
      </c>
      <c r="T58" s="40" t="s">
        <v>439</v>
      </c>
      <c r="U58" s="40" t="s">
        <v>439</v>
      </c>
      <c r="V58" s="40" t="s">
        <v>439</v>
      </c>
      <c r="W58" s="40" t="s">
        <v>439</v>
      </c>
    </row>
    <row r="59" spans="1:23" x14ac:dyDescent="0.4">
      <c r="A59" s="36" t="s">
        <v>546</v>
      </c>
      <c r="B59" s="36" t="s">
        <v>547</v>
      </c>
      <c r="C59" s="36" t="s">
        <v>370</v>
      </c>
      <c r="D59" s="36" t="s">
        <v>66</v>
      </c>
      <c r="E59" s="37">
        <v>-0.370999999999999</v>
      </c>
      <c r="F59" s="37">
        <v>-3.05209999999999</v>
      </c>
      <c r="G59" s="37">
        <v>9.4499999999999993</v>
      </c>
      <c r="H59" s="37">
        <v>3.3</v>
      </c>
      <c r="I59" s="37">
        <v>9.6999999999999993</v>
      </c>
      <c r="J59" s="37">
        <f t="shared" si="1"/>
        <v>3.3</v>
      </c>
      <c r="K59" s="38">
        <v>1.906E-5</v>
      </c>
      <c r="L59" s="39">
        <v>3.5</v>
      </c>
      <c r="M59" s="39">
        <v>3.6</v>
      </c>
      <c r="N59" s="39">
        <v>1.35</v>
      </c>
      <c r="O59" s="39">
        <v>3.29</v>
      </c>
      <c r="P59" s="39">
        <v>3.0992000000000002</v>
      </c>
      <c r="Q59" s="39">
        <v>18.190000000000001</v>
      </c>
      <c r="R59" s="39">
        <v>3.46</v>
      </c>
      <c r="S59" s="39">
        <v>3.94</v>
      </c>
      <c r="T59" s="39">
        <v>2.0299999999999998</v>
      </c>
      <c r="U59" s="39">
        <v>3.31</v>
      </c>
      <c r="V59" s="39">
        <v>3.0992000000000002</v>
      </c>
      <c r="W59" s="39">
        <v>16.254000000000001</v>
      </c>
    </row>
    <row r="60" spans="1:23" x14ac:dyDescent="0.4">
      <c r="A60" s="36" t="s">
        <v>548</v>
      </c>
      <c r="B60" s="36" t="s">
        <v>549</v>
      </c>
      <c r="C60" s="36" t="s">
        <v>373</v>
      </c>
      <c r="D60" s="36" t="s">
        <v>442</v>
      </c>
      <c r="E60" s="37">
        <v>2.6863999999999999</v>
      </c>
      <c r="F60" s="37">
        <v>2.1054999999999899</v>
      </c>
      <c r="G60" s="37">
        <v>10.050000000000001</v>
      </c>
      <c r="H60" s="37">
        <v>9.8699999999999992</v>
      </c>
      <c r="I60" s="37">
        <v>4.1500000000000004</v>
      </c>
      <c r="J60" s="37">
        <f t="shared" si="1"/>
        <v>4.1500000000000004</v>
      </c>
      <c r="K60" s="38">
        <v>0.193</v>
      </c>
      <c r="L60" s="39">
        <v>2.2200000000000002</v>
      </c>
      <c r="M60" s="39">
        <v>1.9</v>
      </c>
      <c r="N60" s="39">
        <v>0.35</v>
      </c>
      <c r="O60" s="39">
        <v>0.64</v>
      </c>
      <c r="P60" s="39">
        <v>1.3913249999999999</v>
      </c>
      <c r="Q60" s="39">
        <v>8.7089999999999996</v>
      </c>
      <c r="R60" s="39">
        <v>2.12</v>
      </c>
      <c r="S60" s="39">
        <v>2.2200000000000002</v>
      </c>
      <c r="T60" s="39">
        <v>0.46</v>
      </c>
      <c r="U60" s="39">
        <v>0.74</v>
      </c>
      <c r="V60" s="39">
        <v>1.3967000000000001</v>
      </c>
      <c r="W60" s="39">
        <v>8.2360000000000007</v>
      </c>
    </row>
    <row r="61" spans="1:23" x14ac:dyDescent="0.4">
      <c r="A61" s="36" t="s">
        <v>550</v>
      </c>
      <c r="B61" s="36" t="s">
        <v>551</v>
      </c>
      <c r="C61" s="36" t="s">
        <v>373</v>
      </c>
      <c r="D61" s="36" t="s">
        <v>442</v>
      </c>
      <c r="E61" s="37">
        <v>3.3414000000000001</v>
      </c>
      <c r="F61" s="37">
        <v>-0.124799999999992</v>
      </c>
      <c r="G61" s="37">
        <v>9.56</v>
      </c>
      <c r="H61" s="37">
        <v>13.2</v>
      </c>
      <c r="I61" s="37">
        <v>10.4</v>
      </c>
      <c r="J61" s="37">
        <f t="shared" si="1"/>
        <v>10.4</v>
      </c>
      <c r="K61" s="38">
        <v>5.7299999999999997E-2</v>
      </c>
      <c r="L61" s="40" t="s">
        <v>439</v>
      </c>
      <c r="M61" s="40" t="s">
        <v>439</v>
      </c>
      <c r="N61" s="40" t="s">
        <v>439</v>
      </c>
      <c r="O61" s="40" t="s">
        <v>439</v>
      </c>
      <c r="P61" s="40" t="s">
        <v>439</v>
      </c>
      <c r="Q61" s="40" t="s">
        <v>439</v>
      </c>
      <c r="R61" s="39">
        <v>2.66</v>
      </c>
      <c r="S61" s="39">
        <v>3.28</v>
      </c>
      <c r="T61" s="39">
        <v>0.95</v>
      </c>
      <c r="U61" s="39">
        <v>5.37</v>
      </c>
      <c r="V61" s="39">
        <v>6.9462999999999999</v>
      </c>
      <c r="W61" s="39">
        <v>28.048999999999999</v>
      </c>
    </row>
    <row r="62" spans="1:23" x14ac:dyDescent="0.4">
      <c r="A62" s="36" t="s">
        <v>552</v>
      </c>
      <c r="B62" s="36" t="s">
        <v>553</v>
      </c>
      <c r="C62" s="36" t="s">
        <v>370</v>
      </c>
      <c r="D62" s="36" t="s">
        <v>66</v>
      </c>
      <c r="E62" s="37">
        <v>5.1447000000000003</v>
      </c>
      <c r="F62" s="37">
        <v>4.5126999999999997</v>
      </c>
      <c r="G62" s="37">
        <v>10.55</v>
      </c>
      <c r="H62" s="37">
        <v>8.23</v>
      </c>
      <c r="I62" s="37"/>
      <c r="J62" s="37">
        <f t="shared" si="1"/>
        <v>8.23</v>
      </c>
      <c r="K62" s="38">
        <v>3.29</v>
      </c>
      <c r="L62" s="39">
        <v>1.77</v>
      </c>
      <c r="M62" s="39">
        <v>1.5415840000000001</v>
      </c>
      <c r="N62" s="39">
        <v>0.60330399999999995</v>
      </c>
      <c r="O62" s="39">
        <v>0.42351800000000012</v>
      </c>
      <c r="P62" s="39">
        <v>1.8088000000000011</v>
      </c>
      <c r="Q62" s="39">
        <v>9.0949960000000019</v>
      </c>
      <c r="R62" s="40" t="s">
        <v>439</v>
      </c>
      <c r="S62" s="40" t="s">
        <v>439</v>
      </c>
      <c r="T62" s="40" t="s">
        <v>439</v>
      </c>
      <c r="U62" s="40" t="s">
        <v>439</v>
      </c>
      <c r="V62" s="40" t="s">
        <v>439</v>
      </c>
      <c r="W62" s="40" t="s">
        <v>439</v>
      </c>
    </row>
    <row r="63" spans="1:23" x14ac:dyDescent="0.4">
      <c r="A63" s="36" t="s">
        <v>554</v>
      </c>
      <c r="B63" s="36" t="s">
        <v>555</v>
      </c>
      <c r="C63" s="36" t="s">
        <v>371</v>
      </c>
      <c r="D63" s="36" t="s">
        <v>442</v>
      </c>
      <c r="E63" s="37">
        <v>1.2575999999999901</v>
      </c>
      <c r="F63" s="37">
        <v>0.67669999999999997</v>
      </c>
      <c r="G63" s="37">
        <v>9.34</v>
      </c>
      <c r="H63" s="37"/>
      <c r="I63" s="37">
        <v>7.13</v>
      </c>
      <c r="J63" s="37">
        <f t="shared" si="1"/>
        <v>7.13</v>
      </c>
      <c r="K63" s="38">
        <v>1.4500000000000001E-2</v>
      </c>
      <c r="L63" s="39">
        <v>1.962428571428571</v>
      </c>
      <c r="M63" s="39">
        <v>2.3297142857142861</v>
      </c>
      <c r="N63" s="39">
        <v>0.184</v>
      </c>
      <c r="O63" s="39">
        <v>1.8641428571428571</v>
      </c>
      <c r="P63" s="39">
        <v>2.1812999999999998</v>
      </c>
      <c r="Q63" s="39">
        <v>11.189</v>
      </c>
      <c r="R63" s="40" t="s">
        <v>439</v>
      </c>
      <c r="S63" s="40" t="s">
        <v>439</v>
      </c>
      <c r="T63" s="40" t="s">
        <v>439</v>
      </c>
      <c r="U63" s="40" t="s">
        <v>439</v>
      </c>
      <c r="V63" s="40" t="s">
        <v>439</v>
      </c>
      <c r="W63" s="40" t="s">
        <v>439</v>
      </c>
    </row>
    <row r="64" spans="1:23" x14ac:dyDescent="0.4">
      <c r="A64" s="36" t="s">
        <v>556</v>
      </c>
      <c r="B64" s="36" t="s">
        <v>557</v>
      </c>
      <c r="C64" s="36" t="s">
        <v>373</v>
      </c>
      <c r="D64" s="36" t="s">
        <v>442</v>
      </c>
      <c r="E64" s="37">
        <v>1.8334999999999999</v>
      </c>
      <c r="F64" s="37">
        <f>E64</f>
        <v>1.8334999999999999</v>
      </c>
      <c r="G64" s="37">
        <v>9.57</v>
      </c>
      <c r="H64" s="37"/>
      <c r="I64" s="37">
        <v>7.2</v>
      </c>
      <c r="J64" s="37">
        <f t="shared" si="1"/>
        <v>7.2</v>
      </c>
      <c r="K64" s="38">
        <v>1.6570000000000001E-2</v>
      </c>
      <c r="L64" s="40" t="s">
        <v>439</v>
      </c>
      <c r="M64" s="40" t="s">
        <v>439</v>
      </c>
      <c r="N64" s="40" t="s">
        <v>439</v>
      </c>
      <c r="O64" s="40" t="s">
        <v>439</v>
      </c>
      <c r="P64" s="40" t="s">
        <v>439</v>
      </c>
      <c r="Q64" s="40" t="s">
        <v>439</v>
      </c>
      <c r="R64" s="39">
        <v>3</v>
      </c>
      <c r="S64" s="39">
        <v>4.07</v>
      </c>
      <c r="T64" s="39">
        <v>1.32</v>
      </c>
      <c r="U64" s="39">
        <v>6.52</v>
      </c>
      <c r="V64" s="39">
        <v>7.0382999999999996</v>
      </c>
      <c r="W64" s="39">
        <v>29.562000000000001</v>
      </c>
    </row>
    <row r="65" spans="1:23" x14ac:dyDescent="0.4">
      <c r="A65" s="36" t="s">
        <v>558</v>
      </c>
      <c r="B65" s="36" t="s">
        <v>559</v>
      </c>
      <c r="C65" s="36" t="s">
        <v>373</v>
      </c>
      <c r="D65" s="36" t="s">
        <v>442</v>
      </c>
      <c r="E65" s="37">
        <v>3.0356000000000001</v>
      </c>
      <c r="F65" s="37">
        <v>1.6184999999999901</v>
      </c>
      <c r="G65" s="37">
        <v>10.57</v>
      </c>
      <c r="H65" s="37">
        <v>14.8</v>
      </c>
      <c r="I65" s="37">
        <v>9.24</v>
      </c>
      <c r="J65" s="37">
        <f t="shared" si="1"/>
        <v>9.24</v>
      </c>
      <c r="K65" s="38">
        <v>0.151</v>
      </c>
      <c r="L65" s="39">
        <v>1.31</v>
      </c>
      <c r="M65" s="39">
        <v>1.3</v>
      </c>
      <c r="N65" s="39">
        <v>0.32</v>
      </c>
      <c r="O65" s="39">
        <v>1.52</v>
      </c>
      <c r="P65" s="39">
        <v>2.3748999999999998</v>
      </c>
      <c r="Q65" s="39">
        <v>10.4</v>
      </c>
      <c r="R65" s="40" t="s">
        <v>439</v>
      </c>
      <c r="S65" s="40" t="s">
        <v>439</v>
      </c>
      <c r="T65" s="40" t="s">
        <v>439</v>
      </c>
      <c r="U65" s="40" t="s">
        <v>439</v>
      </c>
      <c r="V65" s="40" t="s">
        <v>439</v>
      </c>
      <c r="W65" s="40" t="s">
        <v>439</v>
      </c>
    </row>
  </sheetData>
  <mergeCells count="5">
    <mergeCell ref="C3:F3"/>
    <mergeCell ref="G3:J3"/>
    <mergeCell ref="R3:W3"/>
    <mergeCell ref="L3:Q3"/>
    <mergeCell ref="A3:B3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Model</vt:lpstr>
      <vt:lpstr>Chemical Data</vt:lpstr>
      <vt:lpstr>Model!Print_Area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Charlie Davey</cp:lastModifiedBy>
  <dcterms:created xsi:type="dcterms:W3CDTF">2026-10-21T12:42:17Z</dcterms:created>
  <dcterms:modified xsi:type="dcterms:W3CDTF">2026-10-22T13:48:10Z</dcterms:modified>
</cp:coreProperties>
</file>