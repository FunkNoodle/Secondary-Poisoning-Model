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6a2b608891fd93/!PostDoc1/(STUDY2) Secondary Poisoning Model/"/>
    </mc:Choice>
  </mc:AlternateContent>
  <xr:revisionPtr revIDLastSave="45" documentId="8_{8FE62E58-18C3-4F47-B4A6-A17935EC02DE}" xr6:coauthVersionLast="47" xr6:coauthVersionMax="47" xr10:uidLastSave="{CD55B76A-E760-436E-B666-E8951D5357C9}"/>
  <bookViews>
    <workbookView xWindow="-103" yWindow="-103" windowWidth="27634" windowHeight="16629" xr2:uid="{0D05FD41-323C-473A-8255-484C48D7921A}"/>
  </bookViews>
  <sheets>
    <sheet name="Input and Output" sheetId="2" r:id="rId1"/>
    <sheet name="Calculations" sheetId="3" r:id="rId2"/>
    <sheet name="Kinetic Model" sheetId="4" r:id="rId3"/>
  </sheets>
  <externalReferences>
    <externalReference r:id="rId4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2" i="3" l="1"/>
  <c r="L32" i="3"/>
  <c r="M32" i="3"/>
  <c r="J32" i="3"/>
  <c r="B29" i="2" a="1"/>
  <c r="B29" i="2"/>
  <c r="C3" i="4"/>
  <c r="H3" i="4"/>
  <c r="C4" i="4"/>
  <c r="B1" i="4" a="1"/>
  <c r="B1" i="4"/>
  <c r="B4" i="4"/>
  <c r="H4" i="4"/>
  <c r="C29" i="2" a="1"/>
  <c r="C29" i="2"/>
  <c r="D3" i="4"/>
  <c r="I3" i="4"/>
  <c r="D4" i="4"/>
  <c r="I4" i="4"/>
  <c r="C5" i="4"/>
  <c r="B5" i="4"/>
  <c r="H5" i="4"/>
  <c r="D5" i="4"/>
  <c r="I5" i="4"/>
  <c r="C6" i="4"/>
  <c r="B6" i="4"/>
  <c r="H6" i="4"/>
  <c r="D6" i="4"/>
  <c r="I6" i="4"/>
  <c r="C7" i="4"/>
  <c r="B7" i="4"/>
  <c r="H7" i="4"/>
  <c r="D7" i="4"/>
  <c r="I7" i="4"/>
  <c r="C8" i="4"/>
  <c r="B8" i="4"/>
  <c r="H8" i="4"/>
  <c r="D8" i="4"/>
  <c r="I8" i="4"/>
  <c r="C9" i="4"/>
  <c r="B9" i="4"/>
  <c r="H9" i="4"/>
  <c r="D9" i="4"/>
  <c r="I9" i="4"/>
  <c r="C10" i="4"/>
  <c r="B10" i="4"/>
  <c r="H10" i="4"/>
  <c r="D10" i="4"/>
  <c r="I10" i="4"/>
  <c r="C11" i="4"/>
  <c r="B11" i="4"/>
  <c r="H11" i="4"/>
  <c r="D11" i="4"/>
  <c r="I11" i="4"/>
  <c r="C12" i="4"/>
  <c r="B12" i="4"/>
  <c r="H12" i="4"/>
  <c r="D12" i="4"/>
  <c r="I12" i="4"/>
  <c r="C13" i="4"/>
  <c r="B13" i="4"/>
  <c r="H13" i="4"/>
  <c r="D13" i="4"/>
  <c r="I13" i="4"/>
  <c r="C14" i="4"/>
  <c r="B14" i="4"/>
  <c r="H14" i="4"/>
  <c r="D14" i="4"/>
  <c r="I14" i="4"/>
  <c r="C15" i="4"/>
  <c r="B15" i="4"/>
  <c r="H15" i="4"/>
  <c r="D15" i="4"/>
  <c r="I15" i="4"/>
  <c r="C16" i="4"/>
  <c r="B16" i="4"/>
  <c r="H16" i="4"/>
  <c r="D16" i="4"/>
  <c r="I16" i="4"/>
  <c r="C17" i="4"/>
  <c r="B17" i="4"/>
  <c r="H17" i="4"/>
  <c r="D17" i="4"/>
  <c r="I17" i="4"/>
  <c r="C18" i="4"/>
  <c r="B18" i="4"/>
  <c r="H18" i="4"/>
  <c r="D18" i="4"/>
  <c r="I18" i="4"/>
  <c r="C19" i="4"/>
  <c r="B19" i="4"/>
  <c r="H19" i="4"/>
  <c r="D19" i="4"/>
  <c r="I19" i="4"/>
  <c r="C20" i="4"/>
  <c r="B20" i="4"/>
  <c r="H20" i="4"/>
  <c r="D20" i="4"/>
  <c r="I20" i="4"/>
  <c r="C21" i="4"/>
  <c r="B21" i="4"/>
  <c r="H21" i="4"/>
  <c r="D21" i="4"/>
  <c r="I21" i="4"/>
  <c r="C22" i="4"/>
  <c r="B22" i="4"/>
  <c r="H22" i="4"/>
  <c r="D22" i="4"/>
  <c r="I22" i="4"/>
  <c r="C23" i="4"/>
  <c r="B23" i="4"/>
  <c r="H23" i="4"/>
  <c r="D23" i="4"/>
  <c r="I23" i="4"/>
  <c r="C24" i="4"/>
  <c r="B24" i="4"/>
  <c r="H24" i="4"/>
  <c r="D24" i="4"/>
  <c r="I24" i="4"/>
  <c r="C25" i="4"/>
  <c r="B25" i="4"/>
  <c r="H25" i="4"/>
  <c r="D25" i="4"/>
  <c r="I25" i="4"/>
  <c r="C26" i="4"/>
  <c r="B26" i="4"/>
  <c r="H26" i="4"/>
  <c r="D26" i="4"/>
  <c r="I26" i="4"/>
  <c r="C27" i="4"/>
  <c r="B27" i="4"/>
  <c r="H27" i="4"/>
  <c r="D27" i="4"/>
  <c r="I27" i="4"/>
  <c r="C28" i="4"/>
  <c r="B28" i="4"/>
  <c r="H28" i="4"/>
  <c r="D28" i="4"/>
  <c r="I28" i="4"/>
  <c r="C29" i="4"/>
  <c r="B29" i="4"/>
  <c r="H29" i="4"/>
  <c r="D29" i="4"/>
  <c r="I29" i="4"/>
  <c r="C30" i="4"/>
  <c r="B30" i="4"/>
  <c r="H30" i="4"/>
  <c r="D30" i="4"/>
  <c r="I30" i="4"/>
  <c r="C31" i="4"/>
  <c r="B31" i="4"/>
  <c r="H31" i="4"/>
  <c r="D31" i="4"/>
  <c r="I31" i="4"/>
  <c r="C32" i="4"/>
  <c r="B32" i="4"/>
  <c r="H32" i="4"/>
  <c r="D32" i="4"/>
  <c r="I32" i="4"/>
  <c r="C33" i="4"/>
  <c r="B33" i="4"/>
  <c r="H33" i="4"/>
  <c r="D33" i="4"/>
  <c r="I33" i="4"/>
  <c r="C34" i="4"/>
  <c r="B34" i="4"/>
  <c r="H34" i="4"/>
  <c r="D34" i="4"/>
  <c r="I34" i="4"/>
  <c r="C35" i="4"/>
  <c r="B35" i="4"/>
  <c r="H35" i="4"/>
  <c r="D35" i="4"/>
  <c r="I35" i="4"/>
  <c r="C36" i="4"/>
  <c r="B36" i="4"/>
  <c r="H36" i="4"/>
  <c r="D36" i="4"/>
  <c r="I36" i="4"/>
  <c r="C37" i="4"/>
  <c r="B37" i="4"/>
  <c r="H37" i="4"/>
  <c r="D37" i="4"/>
  <c r="I37" i="4"/>
  <c r="C38" i="4"/>
  <c r="B38" i="4"/>
  <c r="H38" i="4"/>
  <c r="D38" i="4"/>
  <c r="I38" i="4"/>
  <c r="C39" i="4"/>
  <c r="B39" i="4"/>
  <c r="H39" i="4"/>
  <c r="D39" i="4"/>
  <c r="I39" i="4"/>
  <c r="C40" i="4"/>
  <c r="B40" i="4"/>
  <c r="H40" i="4"/>
  <c r="D40" i="4"/>
  <c r="I40" i="4"/>
  <c r="C41" i="4"/>
  <c r="B41" i="4"/>
  <c r="H41" i="4"/>
  <c r="D41" i="4"/>
  <c r="I41" i="4"/>
  <c r="C42" i="4"/>
  <c r="B42" i="4"/>
  <c r="H42" i="4"/>
  <c r="D42" i="4"/>
  <c r="I42" i="4"/>
  <c r="C43" i="4"/>
  <c r="B43" i="4"/>
  <c r="H43" i="4"/>
  <c r="D43" i="4"/>
  <c r="I43" i="4"/>
  <c r="C44" i="4"/>
  <c r="B44" i="4"/>
  <c r="H44" i="4"/>
  <c r="D44" i="4"/>
  <c r="I44" i="4"/>
  <c r="C45" i="4"/>
  <c r="B45" i="4"/>
  <c r="H45" i="4"/>
  <c r="D45" i="4"/>
  <c r="I45" i="4"/>
  <c r="C46" i="4"/>
  <c r="B46" i="4"/>
  <c r="H46" i="4"/>
  <c r="D46" i="4"/>
  <c r="I46" i="4"/>
  <c r="C47" i="4"/>
  <c r="B47" i="4"/>
  <c r="H47" i="4"/>
  <c r="D47" i="4"/>
  <c r="I47" i="4"/>
  <c r="C48" i="4"/>
  <c r="B48" i="4"/>
  <c r="H48" i="4"/>
  <c r="D48" i="4"/>
  <c r="I48" i="4"/>
  <c r="C49" i="4"/>
  <c r="B49" i="4"/>
  <c r="H49" i="4"/>
  <c r="D49" i="4"/>
  <c r="I49" i="4"/>
  <c r="C50" i="4"/>
  <c r="B50" i="4"/>
  <c r="H50" i="4"/>
  <c r="D50" i="4"/>
  <c r="I50" i="4"/>
  <c r="C51" i="4"/>
  <c r="B51" i="4"/>
  <c r="H51" i="4"/>
  <c r="D51" i="4"/>
  <c r="I51" i="4"/>
  <c r="C52" i="4"/>
  <c r="B52" i="4"/>
  <c r="H52" i="4"/>
  <c r="D52" i="4"/>
  <c r="I52" i="4"/>
  <c r="C53" i="4"/>
  <c r="B53" i="4"/>
  <c r="H53" i="4"/>
  <c r="D53" i="4"/>
  <c r="I53" i="4"/>
  <c r="C54" i="4"/>
  <c r="B54" i="4"/>
  <c r="H54" i="4"/>
  <c r="D54" i="4"/>
  <c r="I54" i="4"/>
  <c r="C55" i="4"/>
  <c r="B55" i="4"/>
  <c r="H55" i="4"/>
  <c r="D55" i="4"/>
  <c r="I55" i="4"/>
  <c r="C56" i="4"/>
  <c r="B56" i="4"/>
  <c r="H56" i="4"/>
  <c r="D56" i="4"/>
  <c r="I56" i="4"/>
  <c r="C57" i="4"/>
  <c r="B57" i="4"/>
  <c r="H57" i="4"/>
  <c r="D57" i="4"/>
  <c r="I57" i="4"/>
  <c r="C58" i="4"/>
  <c r="B58" i="4"/>
  <c r="H58" i="4"/>
  <c r="D58" i="4"/>
  <c r="I58" i="4"/>
  <c r="C59" i="4"/>
  <c r="B59" i="4"/>
  <c r="H59" i="4"/>
  <c r="D59" i="4"/>
  <c r="I59" i="4"/>
  <c r="C60" i="4"/>
  <c r="B60" i="4"/>
  <c r="H60" i="4"/>
  <c r="D60" i="4"/>
  <c r="I60" i="4"/>
  <c r="C61" i="4"/>
  <c r="B61" i="4"/>
  <c r="H61" i="4"/>
  <c r="D61" i="4"/>
  <c r="I61" i="4"/>
  <c r="C62" i="4"/>
  <c r="B62" i="4"/>
  <c r="H62" i="4"/>
  <c r="D62" i="4"/>
  <c r="I62" i="4"/>
  <c r="C63" i="4"/>
  <c r="B63" i="4"/>
  <c r="H63" i="4"/>
  <c r="D63" i="4"/>
  <c r="I63" i="4"/>
  <c r="C64" i="4"/>
  <c r="B64" i="4"/>
  <c r="H64" i="4"/>
  <c r="D64" i="4"/>
  <c r="I64" i="4"/>
  <c r="C65" i="4"/>
  <c r="B65" i="4"/>
  <c r="H65" i="4"/>
  <c r="D65" i="4"/>
  <c r="I65" i="4"/>
  <c r="C66" i="4"/>
  <c r="B66" i="4"/>
  <c r="H66" i="4"/>
  <c r="D66" i="4"/>
  <c r="I66" i="4"/>
  <c r="C67" i="4"/>
  <c r="B67" i="4"/>
  <c r="H67" i="4"/>
  <c r="D67" i="4"/>
  <c r="I67" i="4"/>
  <c r="C68" i="4"/>
  <c r="B68" i="4"/>
  <c r="H68" i="4"/>
  <c r="D68" i="4"/>
  <c r="I68" i="4"/>
  <c r="C69" i="4"/>
  <c r="B69" i="4"/>
  <c r="H69" i="4"/>
  <c r="D69" i="4"/>
  <c r="I69" i="4"/>
  <c r="C70" i="4"/>
  <c r="B70" i="4"/>
  <c r="H70" i="4"/>
  <c r="D70" i="4"/>
  <c r="I70" i="4"/>
  <c r="C71" i="4"/>
  <c r="B71" i="4"/>
  <c r="H71" i="4"/>
  <c r="D71" i="4"/>
  <c r="I71" i="4"/>
  <c r="C72" i="4"/>
  <c r="B72" i="4"/>
  <c r="H72" i="4"/>
  <c r="D72" i="4"/>
  <c r="I72" i="4"/>
  <c r="C73" i="4"/>
  <c r="B73" i="4"/>
  <c r="H73" i="4"/>
  <c r="D73" i="4"/>
  <c r="I73" i="4"/>
  <c r="C74" i="4"/>
  <c r="B74" i="4"/>
  <c r="H74" i="4"/>
  <c r="D74" i="4"/>
  <c r="I74" i="4"/>
  <c r="C75" i="4"/>
  <c r="B75" i="4"/>
  <c r="H75" i="4"/>
  <c r="D75" i="4"/>
  <c r="I75" i="4"/>
  <c r="C76" i="4"/>
  <c r="B76" i="4"/>
  <c r="H76" i="4"/>
  <c r="D76" i="4"/>
  <c r="I76" i="4"/>
  <c r="C77" i="4"/>
  <c r="B77" i="4"/>
  <c r="H77" i="4"/>
  <c r="D77" i="4"/>
  <c r="I77" i="4"/>
  <c r="C78" i="4"/>
  <c r="B78" i="4"/>
  <c r="H78" i="4"/>
  <c r="D78" i="4"/>
  <c r="I78" i="4"/>
  <c r="C79" i="4"/>
  <c r="B79" i="4"/>
  <c r="H79" i="4"/>
  <c r="D79" i="4"/>
  <c r="I79" i="4"/>
  <c r="C80" i="4"/>
  <c r="B80" i="4"/>
  <c r="H80" i="4"/>
  <c r="D80" i="4"/>
  <c r="I80" i="4"/>
  <c r="C81" i="4"/>
  <c r="B81" i="4"/>
  <c r="H81" i="4"/>
  <c r="D81" i="4"/>
  <c r="I81" i="4"/>
  <c r="C82" i="4"/>
  <c r="B82" i="4"/>
  <c r="H82" i="4"/>
  <c r="D82" i="4"/>
  <c r="I82" i="4"/>
  <c r="C83" i="4"/>
  <c r="B83" i="4"/>
  <c r="H83" i="4"/>
  <c r="D83" i="4"/>
  <c r="I83" i="4"/>
  <c r="C84" i="4"/>
  <c r="B84" i="4"/>
  <c r="H84" i="4"/>
  <c r="D84" i="4"/>
  <c r="I84" i="4"/>
  <c r="C85" i="4"/>
  <c r="B85" i="4"/>
  <c r="H85" i="4"/>
  <c r="D85" i="4"/>
  <c r="I85" i="4"/>
  <c r="C86" i="4"/>
  <c r="B86" i="4"/>
  <c r="H86" i="4"/>
  <c r="D86" i="4"/>
  <c r="I86" i="4"/>
  <c r="C87" i="4"/>
  <c r="B87" i="4"/>
  <c r="H87" i="4"/>
  <c r="D87" i="4"/>
  <c r="I87" i="4"/>
  <c r="C88" i="4"/>
  <c r="B88" i="4"/>
  <c r="H88" i="4"/>
  <c r="D88" i="4"/>
  <c r="I88" i="4"/>
  <c r="C89" i="4"/>
  <c r="B89" i="4"/>
  <c r="H89" i="4"/>
  <c r="D89" i="4"/>
  <c r="I89" i="4"/>
  <c r="C90" i="4"/>
  <c r="B90" i="4"/>
  <c r="H90" i="4"/>
  <c r="D90" i="4"/>
  <c r="I90" i="4"/>
  <c r="C91" i="4"/>
  <c r="B91" i="4"/>
  <c r="H91" i="4"/>
  <c r="D91" i="4"/>
  <c r="I91" i="4"/>
  <c r="C92" i="4"/>
  <c r="B92" i="4"/>
  <c r="H92" i="4"/>
  <c r="D92" i="4"/>
  <c r="I92" i="4"/>
  <c r="C93" i="4"/>
  <c r="B93" i="4"/>
  <c r="H93" i="4"/>
  <c r="D93" i="4"/>
  <c r="I93" i="4"/>
  <c r="C94" i="4"/>
  <c r="B94" i="4"/>
  <c r="H94" i="4"/>
  <c r="D94" i="4"/>
  <c r="I94" i="4"/>
  <c r="C95" i="4"/>
  <c r="B95" i="4"/>
  <c r="H95" i="4"/>
  <c r="D95" i="4"/>
  <c r="I95" i="4"/>
  <c r="C96" i="4"/>
  <c r="B96" i="4"/>
  <c r="H96" i="4"/>
  <c r="D96" i="4"/>
  <c r="I96" i="4"/>
  <c r="C97" i="4"/>
  <c r="B97" i="4"/>
  <c r="H97" i="4"/>
  <c r="D97" i="4"/>
  <c r="I97" i="4"/>
  <c r="C98" i="4"/>
  <c r="B98" i="4"/>
  <c r="H98" i="4"/>
  <c r="D98" i="4"/>
  <c r="I98" i="4"/>
  <c r="C99" i="4"/>
  <c r="B99" i="4"/>
  <c r="H99" i="4"/>
  <c r="D99" i="4"/>
  <c r="I99" i="4"/>
  <c r="C100" i="4"/>
  <c r="B100" i="4"/>
  <c r="H100" i="4"/>
  <c r="D100" i="4"/>
  <c r="I100" i="4"/>
  <c r="C101" i="4"/>
  <c r="B101" i="4"/>
  <c r="H101" i="4"/>
  <c r="D101" i="4"/>
  <c r="I101" i="4"/>
  <c r="C102" i="4"/>
  <c r="B102" i="4"/>
  <c r="H102" i="4"/>
  <c r="D102" i="4"/>
  <c r="I102" i="4"/>
  <c r="C103" i="4"/>
  <c r="B103" i="4"/>
  <c r="H103" i="4"/>
  <c r="D103" i="4"/>
  <c r="I103" i="4"/>
  <c r="C104" i="4"/>
  <c r="B104" i="4"/>
  <c r="H104" i="4"/>
  <c r="D104" i="4"/>
  <c r="I104" i="4"/>
  <c r="C105" i="4"/>
  <c r="B105" i="4"/>
  <c r="H105" i="4"/>
  <c r="D105" i="4"/>
  <c r="I105" i="4"/>
  <c r="C106" i="4"/>
  <c r="B106" i="4"/>
  <c r="H106" i="4"/>
  <c r="D106" i="4"/>
  <c r="I106" i="4"/>
  <c r="C107" i="4"/>
  <c r="B107" i="4"/>
  <c r="H107" i="4"/>
  <c r="D107" i="4"/>
  <c r="I107" i="4"/>
  <c r="C108" i="4"/>
  <c r="B108" i="4"/>
  <c r="H108" i="4"/>
  <c r="D108" i="4"/>
  <c r="I108" i="4"/>
  <c r="C109" i="4"/>
  <c r="B109" i="4"/>
  <c r="H109" i="4"/>
  <c r="D109" i="4"/>
  <c r="I109" i="4"/>
  <c r="C110" i="4"/>
  <c r="B110" i="4"/>
  <c r="H110" i="4"/>
  <c r="D110" i="4"/>
  <c r="I110" i="4"/>
  <c r="C111" i="4"/>
  <c r="B111" i="4"/>
  <c r="H111" i="4"/>
  <c r="D111" i="4"/>
  <c r="I111" i="4"/>
  <c r="C112" i="4"/>
  <c r="B112" i="4"/>
  <c r="H112" i="4"/>
  <c r="D112" i="4"/>
  <c r="I112" i="4"/>
  <c r="C113" i="4"/>
  <c r="B113" i="4"/>
  <c r="H113" i="4"/>
  <c r="D113" i="4"/>
  <c r="I113" i="4"/>
  <c r="C114" i="4"/>
  <c r="B114" i="4"/>
  <c r="H114" i="4"/>
  <c r="D114" i="4"/>
  <c r="I114" i="4"/>
  <c r="C115" i="4"/>
  <c r="B115" i="4"/>
  <c r="H115" i="4"/>
  <c r="D115" i="4"/>
  <c r="I115" i="4"/>
  <c r="C116" i="4"/>
  <c r="B116" i="4"/>
  <c r="H116" i="4"/>
  <c r="D116" i="4"/>
  <c r="I116" i="4"/>
  <c r="C117" i="4"/>
  <c r="B117" i="4"/>
  <c r="H117" i="4"/>
  <c r="D117" i="4"/>
  <c r="I117" i="4"/>
  <c r="C118" i="4"/>
  <c r="B118" i="4"/>
  <c r="H118" i="4"/>
  <c r="D118" i="4"/>
  <c r="I118" i="4"/>
  <c r="C119" i="4"/>
  <c r="B119" i="4"/>
  <c r="H119" i="4"/>
  <c r="D119" i="4"/>
  <c r="I119" i="4"/>
  <c r="C120" i="4"/>
  <c r="B120" i="4"/>
  <c r="H120" i="4"/>
  <c r="D120" i="4"/>
  <c r="I120" i="4"/>
  <c r="C121" i="4"/>
  <c r="B121" i="4"/>
  <c r="H121" i="4"/>
  <c r="D121" i="4"/>
  <c r="I121" i="4"/>
  <c r="C122" i="4"/>
  <c r="B122" i="4"/>
  <c r="H122" i="4"/>
  <c r="D122" i="4"/>
  <c r="I122" i="4"/>
  <c r="C123" i="4"/>
  <c r="B123" i="4"/>
  <c r="H123" i="4"/>
  <c r="D123" i="4"/>
  <c r="I123" i="4"/>
  <c r="C124" i="4"/>
  <c r="B124" i="4"/>
  <c r="H124" i="4"/>
  <c r="D124" i="4"/>
  <c r="I124" i="4"/>
  <c r="C125" i="4"/>
  <c r="B125" i="4"/>
  <c r="H125" i="4"/>
  <c r="D125" i="4"/>
  <c r="I125" i="4"/>
  <c r="C126" i="4"/>
  <c r="B126" i="4"/>
  <c r="H126" i="4"/>
  <c r="D126" i="4"/>
  <c r="I126" i="4"/>
  <c r="C127" i="4"/>
  <c r="B127" i="4"/>
  <c r="H127" i="4"/>
  <c r="D127" i="4"/>
  <c r="I127" i="4"/>
  <c r="C128" i="4"/>
  <c r="B128" i="4"/>
  <c r="H128" i="4"/>
  <c r="D128" i="4"/>
  <c r="I128" i="4"/>
  <c r="C129" i="4"/>
  <c r="B129" i="4"/>
  <c r="H129" i="4"/>
  <c r="D129" i="4"/>
  <c r="I129" i="4"/>
  <c r="C130" i="4"/>
  <c r="B130" i="4"/>
  <c r="H130" i="4"/>
  <c r="D130" i="4"/>
  <c r="I130" i="4"/>
  <c r="C131" i="4"/>
  <c r="B131" i="4"/>
  <c r="H131" i="4"/>
  <c r="D131" i="4"/>
  <c r="I131" i="4"/>
  <c r="C132" i="4"/>
  <c r="B132" i="4"/>
  <c r="H132" i="4"/>
  <c r="D132" i="4"/>
  <c r="I132" i="4"/>
  <c r="C133" i="4"/>
  <c r="B133" i="4"/>
  <c r="H133" i="4"/>
  <c r="D133" i="4"/>
  <c r="I133" i="4"/>
  <c r="C134" i="4"/>
  <c r="B134" i="4"/>
  <c r="H134" i="4"/>
  <c r="D134" i="4"/>
  <c r="I134" i="4"/>
  <c r="C135" i="4"/>
  <c r="B135" i="4"/>
  <c r="H135" i="4"/>
  <c r="D135" i="4"/>
  <c r="I135" i="4"/>
  <c r="C136" i="4"/>
  <c r="B136" i="4"/>
  <c r="H136" i="4"/>
  <c r="D136" i="4"/>
  <c r="I136" i="4"/>
  <c r="C137" i="4"/>
  <c r="B137" i="4"/>
  <c r="H137" i="4"/>
  <c r="D137" i="4"/>
  <c r="I137" i="4"/>
  <c r="C138" i="4"/>
  <c r="B138" i="4"/>
  <c r="H138" i="4"/>
  <c r="D138" i="4"/>
  <c r="I138" i="4"/>
  <c r="C139" i="4"/>
  <c r="B139" i="4"/>
  <c r="H139" i="4"/>
  <c r="D139" i="4"/>
  <c r="I139" i="4"/>
  <c r="C140" i="4"/>
  <c r="B140" i="4"/>
  <c r="H140" i="4"/>
  <c r="D140" i="4"/>
  <c r="I140" i="4"/>
  <c r="C141" i="4"/>
  <c r="B141" i="4"/>
  <c r="H141" i="4"/>
  <c r="D141" i="4"/>
  <c r="I141" i="4"/>
  <c r="C142" i="4"/>
  <c r="B142" i="4"/>
  <c r="H142" i="4"/>
  <c r="D142" i="4"/>
  <c r="I142" i="4"/>
  <c r="C143" i="4"/>
  <c r="B143" i="4"/>
  <c r="H143" i="4"/>
  <c r="D143" i="4"/>
  <c r="I143" i="4"/>
  <c r="C144" i="4"/>
  <c r="B144" i="4"/>
  <c r="H144" i="4"/>
  <c r="D144" i="4"/>
  <c r="I144" i="4"/>
  <c r="C145" i="4"/>
  <c r="B145" i="4"/>
  <c r="H145" i="4"/>
  <c r="D145" i="4"/>
  <c r="I145" i="4"/>
  <c r="C146" i="4"/>
  <c r="B146" i="4"/>
  <c r="H146" i="4"/>
  <c r="D146" i="4"/>
  <c r="I146" i="4"/>
  <c r="C147" i="4"/>
  <c r="B147" i="4"/>
  <c r="H147" i="4"/>
  <c r="D147" i="4"/>
  <c r="I147" i="4"/>
  <c r="C148" i="4"/>
  <c r="B148" i="4"/>
  <c r="H148" i="4"/>
  <c r="D148" i="4"/>
  <c r="I148" i="4"/>
  <c r="C149" i="4"/>
  <c r="B149" i="4"/>
  <c r="H149" i="4"/>
  <c r="D149" i="4"/>
  <c r="I149" i="4"/>
  <c r="C150" i="4"/>
  <c r="B150" i="4"/>
  <c r="H150" i="4"/>
  <c r="D150" i="4"/>
  <c r="I150" i="4"/>
  <c r="C151" i="4"/>
  <c r="B151" i="4"/>
  <c r="H151" i="4"/>
  <c r="D151" i="4"/>
  <c r="I151" i="4"/>
  <c r="C152" i="4"/>
  <c r="B152" i="4"/>
  <c r="H152" i="4"/>
  <c r="D152" i="4"/>
  <c r="I152" i="4"/>
  <c r="C153" i="4"/>
  <c r="B153" i="4"/>
  <c r="H153" i="4"/>
  <c r="D153" i="4"/>
  <c r="I153" i="4"/>
  <c r="C154" i="4"/>
  <c r="B154" i="4"/>
  <c r="H154" i="4"/>
  <c r="D154" i="4"/>
  <c r="I154" i="4"/>
  <c r="C155" i="4"/>
  <c r="B155" i="4"/>
  <c r="H155" i="4"/>
  <c r="D155" i="4"/>
  <c r="I155" i="4"/>
  <c r="C156" i="4"/>
  <c r="B156" i="4"/>
  <c r="H156" i="4"/>
  <c r="D156" i="4"/>
  <c r="I156" i="4"/>
  <c r="C157" i="4"/>
  <c r="B157" i="4"/>
  <c r="H157" i="4"/>
  <c r="D157" i="4"/>
  <c r="I157" i="4"/>
  <c r="C158" i="4"/>
  <c r="B158" i="4"/>
  <c r="H158" i="4"/>
  <c r="D158" i="4"/>
  <c r="I158" i="4"/>
  <c r="C159" i="4"/>
  <c r="B159" i="4"/>
  <c r="H159" i="4"/>
  <c r="D159" i="4"/>
  <c r="I159" i="4"/>
  <c r="C160" i="4"/>
  <c r="B160" i="4"/>
  <c r="H160" i="4"/>
  <c r="D160" i="4"/>
  <c r="I160" i="4"/>
  <c r="C161" i="4"/>
  <c r="B161" i="4"/>
  <c r="H161" i="4"/>
  <c r="D161" i="4"/>
  <c r="I161" i="4"/>
  <c r="C162" i="4"/>
  <c r="B162" i="4"/>
  <c r="H162" i="4"/>
  <c r="D162" i="4"/>
  <c r="I162" i="4"/>
  <c r="C163" i="4"/>
  <c r="B163" i="4"/>
  <c r="H163" i="4"/>
  <c r="D163" i="4"/>
  <c r="I163" i="4"/>
  <c r="C164" i="4"/>
  <c r="B164" i="4"/>
  <c r="H164" i="4"/>
  <c r="D164" i="4"/>
  <c r="I164" i="4"/>
  <c r="C165" i="4"/>
  <c r="B165" i="4"/>
  <c r="H165" i="4"/>
  <c r="D165" i="4"/>
  <c r="I165" i="4"/>
  <c r="C166" i="4"/>
  <c r="B166" i="4"/>
  <c r="H166" i="4"/>
  <c r="D166" i="4"/>
  <c r="I166" i="4"/>
  <c r="C167" i="4"/>
  <c r="B167" i="4"/>
  <c r="H167" i="4"/>
  <c r="D167" i="4"/>
  <c r="I167" i="4"/>
  <c r="C168" i="4"/>
  <c r="B168" i="4"/>
  <c r="H168" i="4"/>
  <c r="D168" i="4"/>
  <c r="I168" i="4"/>
  <c r="C169" i="4"/>
  <c r="B169" i="4"/>
  <c r="H169" i="4"/>
  <c r="D169" i="4"/>
  <c r="I169" i="4"/>
  <c r="C170" i="4"/>
  <c r="B170" i="4"/>
  <c r="H170" i="4"/>
  <c r="D170" i="4"/>
  <c r="I170" i="4"/>
  <c r="C171" i="4"/>
  <c r="B171" i="4"/>
  <c r="H171" i="4"/>
  <c r="D171" i="4"/>
  <c r="I171" i="4"/>
  <c r="C172" i="4"/>
  <c r="B172" i="4"/>
  <c r="H172" i="4"/>
  <c r="D172" i="4"/>
  <c r="I172" i="4"/>
  <c r="C173" i="4"/>
  <c r="B173" i="4"/>
  <c r="H173" i="4"/>
  <c r="D173" i="4"/>
  <c r="I173" i="4"/>
  <c r="C174" i="4"/>
  <c r="B174" i="4"/>
  <c r="H174" i="4"/>
  <c r="D174" i="4"/>
  <c r="I174" i="4"/>
  <c r="C175" i="4"/>
  <c r="B175" i="4"/>
  <c r="H175" i="4"/>
  <c r="D175" i="4"/>
  <c r="I175" i="4"/>
  <c r="C176" i="4"/>
  <c r="B176" i="4"/>
  <c r="H176" i="4"/>
  <c r="D176" i="4"/>
  <c r="I176" i="4"/>
  <c r="C177" i="4"/>
  <c r="B177" i="4"/>
  <c r="H177" i="4"/>
  <c r="D177" i="4"/>
  <c r="I177" i="4"/>
  <c r="C178" i="4"/>
  <c r="B178" i="4"/>
  <c r="H178" i="4"/>
  <c r="D178" i="4"/>
  <c r="I178" i="4"/>
  <c r="C179" i="4"/>
  <c r="B179" i="4"/>
  <c r="H179" i="4"/>
  <c r="D179" i="4"/>
  <c r="I179" i="4"/>
  <c r="C180" i="4"/>
  <c r="B180" i="4"/>
  <c r="H180" i="4"/>
  <c r="D180" i="4"/>
  <c r="I180" i="4"/>
  <c r="C181" i="4"/>
  <c r="B181" i="4"/>
  <c r="H181" i="4"/>
  <c r="D181" i="4"/>
  <c r="I181" i="4"/>
  <c r="C182" i="4"/>
  <c r="B182" i="4"/>
  <c r="H182" i="4"/>
  <c r="D182" i="4"/>
  <c r="I182" i="4"/>
  <c r="C183" i="4"/>
  <c r="B183" i="4"/>
  <c r="H183" i="4"/>
  <c r="D183" i="4"/>
  <c r="I183" i="4"/>
  <c r="C184" i="4"/>
  <c r="B184" i="4"/>
  <c r="H184" i="4"/>
  <c r="D184" i="4"/>
  <c r="I184" i="4"/>
  <c r="C185" i="4"/>
  <c r="B185" i="4"/>
  <c r="H185" i="4"/>
  <c r="D185" i="4"/>
  <c r="I185" i="4"/>
  <c r="C186" i="4"/>
  <c r="B186" i="4"/>
  <c r="H186" i="4"/>
  <c r="D186" i="4"/>
  <c r="I186" i="4"/>
  <c r="C187" i="4"/>
  <c r="B187" i="4"/>
  <c r="H187" i="4"/>
  <c r="D187" i="4"/>
  <c r="I187" i="4"/>
  <c r="C188" i="4"/>
  <c r="B188" i="4"/>
  <c r="H188" i="4"/>
  <c r="D188" i="4"/>
  <c r="I188" i="4"/>
  <c r="C189" i="4"/>
  <c r="B189" i="4"/>
  <c r="H189" i="4"/>
  <c r="D189" i="4"/>
  <c r="I189" i="4"/>
  <c r="C190" i="4"/>
  <c r="B190" i="4"/>
  <c r="H190" i="4"/>
  <c r="D190" i="4"/>
  <c r="I190" i="4"/>
  <c r="C191" i="4"/>
  <c r="B191" i="4"/>
  <c r="H191" i="4"/>
  <c r="D191" i="4"/>
  <c r="I191" i="4"/>
  <c r="C192" i="4"/>
  <c r="B192" i="4"/>
  <c r="H192" i="4"/>
  <c r="D192" i="4"/>
  <c r="I192" i="4"/>
  <c r="C193" i="4"/>
  <c r="B193" i="4"/>
  <c r="H193" i="4"/>
  <c r="D193" i="4"/>
  <c r="I193" i="4"/>
  <c r="C194" i="4"/>
  <c r="B194" i="4"/>
  <c r="H194" i="4"/>
  <c r="D194" i="4"/>
  <c r="I194" i="4"/>
  <c r="C195" i="4"/>
  <c r="B195" i="4"/>
  <c r="H195" i="4"/>
  <c r="D195" i="4"/>
  <c r="I195" i="4"/>
  <c r="C196" i="4"/>
  <c r="B196" i="4"/>
  <c r="H196" i="4"/>
  <c r="D196" i="4"/>
  <c r="I196" i="4"/>
  <c r="C197" i="4"/>
  <c r="B197" i="4"/>
  <c r="H197" i="4"/>
  <c r="D197" i="4"/>
  <c r="I197" i="4"/>
  <c r="C198" i="4"/>
  <c r="B198" i="4"/>
  <c r="H198" i="4"/>
  <c r="D198" i="4"/>
  <c r="I198" i="4"/>
  <c r="C199" i="4"/>
  <c r="B199" i="4"/>
  <c r="H199" i="4"/>
  <c r="D199" i="4"/>
  <c r="I199" i="4"/>
  <c r="C200" i="4"/>
  <c r="B200" i="4"/>
  <c r="H200" i="4"/>
  <c r="D200" i="4"/>
  <c r="I200" i="4"/>
  <c r="C201" i="4"/>
  <c r="B201" i="4"/>
  <c r="H201" i="4"/>
  <c r="D201" i="4"/>
  <c r="I201" i="4"/>
  <c r="C202" i="4"/>
  <c r="B202" i="4"/>
  <c r="H202" i="4"/>
  <c r="D202" i="4"/>
  <c r="I202" i="4"/>
  <c r="C203" i="4"/>
  <c r="B203" i="4"/>
  <c r="H203" i="4"/>
  <c r="D203" i="4"/>
  <c r="I203" i="4"/>
  <c r="C204" i="4"/>
  <c r="B204" i="4"/>
  <c r="H204" i="4"/>
  <c r="D204" i="4"/>
  <c r="I204" i="4"/>
  <c r="C205" i="4"/>
  <c r="B205" i="4"/>
  <c r="H205" i="4"/>
  <c r="D205" i="4"/>
  <c r="I205" i="4"/>
  <c r="C206" i="4"/>
  <c r="B206" i="4"/>
  <c r="H206" i="4"/>
  <c r="D206" i="4"/>
  <c r="I206" i="4"/>
  <c r="C207" i="4"/>
  <c r="B207" i="4"/>
  <c r="H207" i="4"/>
  <c r="D207" i="4"/>
  <c r="I207" i="4"/>
  <c r="C208" i="4"/>
  <c r="B208" i="4"/>
  <c r="H208" i="4"/>
  <c r="D208" i="4"/>
  <c r="I208" i="4"/>
  <c r="C209" i="4"/>
  <c r="B209" i="4"/>
  <c r="H209" i="4"/>
  <c r="D209" i="4"/>
  <c r="I209" i="4"/>
  <c r="C210" i="4"/>
  <c r="B210" i="4"/>
  <c r="H210" i="4"/>
  <c r="D210" i="4"/>
  <c r="I210" i="4"/>
  <c r="C211" i="4"/>
  <c r="B211" i="4"/>
  <c r="H211" i="4"/>
  <c r="D211" i="4"/>
  <c r="I211" i="4"/>
  <c r="C212" i="4"/>
  <c r="B212" i="4"/>
  <c r="H212" i="4"/>
  <c r="D212" i="4"/>
  <c r="I212" i="4"/>
  <c r="C213" i="4"/>
  <c r="B213" i="4"/>
  <c r="H213" i="4"/>
  <c r="D213" i="4"/>
  <c r="I213" i="4"/>
  <c r="C214" i="4"/>
  <c r="B214" i="4"/>
  <c r="H214" i="4"/>
  <c r="D214" i="4"/>
  <c r="I214" i="4"/>
  <c r="C215" i="4"/>
  <c r="B215" i="4"/>
  <c r="H215" i="4"/>
  <c r="D215" i="4"/>
  <c r="I215" i="4"/>
  <c r="C216" i="4"/>
  <c r="B216" i="4"/>
  <c r="H216" i="4"/>
  <c r="D216" i="4"/>
  <c r="I216" i="4"/>
  <c r="C217" i="4"/>
  <c r="B217" i="4"/>
  <c r="H217" i="4"/>
  <c r="D217" i="4"/>
  <c r="I217" i="4"/>
  <c r="C218" i="4"/>
  <c r="B218" i="4"/>
  <c r="H218" i="4"/>
  <c r="D218" i="4"/>
  <c r="I218" i="4"/>
  <c r="C219" i="4"/>
  <c r="B219" i="4"/>
  <c r="H219" i="4"/>
  <c r="D219" i="4"/>
  <c r="I219" i="4"/>
  <c r="C220" i="4"/>
  <c r="B220" i="4"/>
  <c r="H220" i="4"/>
  <c r="D220" i="4"/>
  <c r="I220" i="4"/>
  <c r="C221" i="4"/>
  <c r="B221" i="4"/>
  <c r="H221" i="4"/>
  <c r="D221" i="4"/>
  <c r="I221" i="4"/>
  <c r="C222" i="4"/>
  <c r="B222" i="4"/>
  <c r="H222" i="4"/>
  <c r="D222" i="4"/>
  <c r="I222" i="4"/>
  <c r="C223" i="4"/>
  <c r="B223" i="4"/>
  <c r="H223" i="4"/>
  <c r="D223" i="4"/>
  <c r="I223" i="4"/>
  <c r="C224" i="4"/>
  <c r="B224" i="4"/>
  <c r="H224" i="4"/>
  <c r="D224" i="4"/>
  <c r="I224" i="4"/>
  <c r="C225" i="4"/>
  <c r="B225" i="4"/>
  <c r="H225" i="4"/>
  <c r="D225" i="4"/>
  <c r="I225" i="4"/>
  <c r="C226" i="4"/>
  <c r="B226" i="4"/>
  <c r="H226" i="4"/>
  <c r="D226" i="4"/>
  <c r="I226" i="4"/>
  <c r="C227" i="4"/>
  <c r="B227" i="4"/>
  <c r="H227" i="4"/>
  <c r="D227" i="4"/>
  <c r="I227" i="4"/>
  <c r="C228" i="4"/>
  <c r="B228" i="4"/>
  <c r="H228" i="4"/>
  <c r="D228" i="4"/>
  <c r="I228" i="4"/>
  <c r="C229" i="4"/>
  <c r="B229" i="4"/>
  <c r="H229" i="4"/>
  <c r="D229" i="4"/>
  <c r="I229" i="4"/>
  <c r="C230" i="4"/>
  <c r="B230" i="4"/>
  <c r="H230" i="4"/>
  <c r="D230" i="4"/>
  <c r="I230" i="4"/>
  <c r="C231" i="4"/>
  <c r="B231" i="4"/>
  <c r="H231" i="4"/>
  <c r="D231" i="4"/>
  <c r="I231" i="4"/>
  <c r="C232" i="4"/>
  <c r="B232" i="4"/>
  <c r="H232" i="4"/>
  <c r="D232" i="4"/>
  <c r="I232" i="4"/>
  <c r="C233" i="4"/>
  <c r="B233" i="4"/>
  <c r="H233" i="4"/>
  <c r="D233" i="4"/>
  <c r="I233" i="4"/>
  <c r="C234" i="4"/>
  <c r="B234" i="4"/>
  <c r="H234" i="4"/>
  <c r="D234" i="4"/>
  <c r="I234" i="4"/>
  <c r="C235" i="4"/>
  <c r="B235" i="4"/>
  <c r="H235" i="4"/>
  <c r="D235" i="4"/>
  <c r="I235" i="4"/>
  <c r="C236" i="4"/>
  <c r="B236" i="4"/>
  <c r="H236" i="4"/>
  <c r="D236" i="4"/>
  <c r="I236" i="4"/>
  <c r="C237" i="4"/>
  <c r="B237" i="4"/>
  <c r="H237" i="4"/>
  <c r="D237" i="4"/>
  <c r="I237" i="4"/>
  <c r="C238" i="4"/>
  <c r="B238" i="4"/>
  <c r="H238" i="4"/>
  <c r="D238" i="4"/>
  <c r="I238" i="4"/>
  <c r="C239" i="4"/>
  <c r="B239" i="4"/>
  <c r="H239" i="4"/>
  <c r="D239" i="4"/>
  <c r="I239" i="4"/>
  <c r="C240" i="4"/>
  <c r="B240" i="4"/>
  <c r="H240" i="4"/>
  <c r="D240" i="4"/>
  <c r="I240" i="4"/>
  <c r="C241" i="4"/>
  <c r="B241" i="4"/>
  <c r="H241" i="4"/>
  <c r="D241" i="4"/>
  <c r="I241" i="4"/>
  <c r="C242" i="4"/>
  <c r="B242" i="4"/>
  <c r="H242" i="4"/>
  <c r="D242" i="4"/>
  <c r="I242" i="4"/>
  <c r="C243" i="4"/>
  <c r="B243" i="4"/>
  <c r="H243" i="4"/>
  <c r="D243" i="4"/>
  <c r="I243" i="4"/>
  <c r="C244" i="4"/>
  <c r="B244" i="4"/>
  <c r="H244" i="4"/>
  <c r="D244" i="4"/>
  <c r="I244" i="4"/>
  <c r="C245" i="4"/>
  <c r="B245" i="4"/>
  <c r="H245" i="4"/>
  <c r="D245" i="4"/>
  <c r="I245" i="4"/>
  <c r="C246" i="4"/>
  <c r="B246" i="4"/>
  <c r="H246" i="4"/>
  <c r="D246" i="4"/>
  <c r="I246" i="4"/>
  <c r="C247" i="4"/>
  <c r="B247" i="4"/>
  <c r="H247" i="4"/>
  <c r="D247" i="4"/>
  <c r="I247" i="4"/>
  <c r="C248" i="4"/>
  <c r="B248" i="4"/>
  <c r="H248" i="4"/>
  <c r="D248" i="4"/>
  <c r="I248" i="4"/>
  <c r="C249" i="4"/>
  <c r="B249" i="4"/>
  <c r="H249" i="4"/>
  <c r="D249" i="4"/>
  <c r="I249" i="4"/>
  <c r="C250" i="4"/>
  <c r="B250" i="4"/>
  <c r="H250" i="4"/>
  <c r="D250" i="4"/>
  <c r="I250" i="4"/>
  <c r="C251" i="4"/>
  <c r="B251" i="4"/>
  <c r="H251" i="4"/>
  <c r="D251" i="4"/>
  <c r="I251" i="4"/>
  <c r="C252" i="4"/>
  <c r="B252" i="4"/>
  <c r="H252" i="4"/>
  <c r="D252" i="4"/>
  <c r="I252" i="4"/>
  <c r="C253" i="4"/>
  <c r="B253" i="4"/>
  <c r="H253" i="4"/>
  <c r="D253" i="4"/>
  <c r="I253" i="4"/>
  <c r="C254" i="4"/>
  <c r="B254" i="4"/>
  <c r="H254" i="4"/>
  <c r="D254" i="4"/>
  <c r="I254" i="4"/>
  <c r="C255" i="4"/>
  <c r="B255" i="4"/>
  <c r="H255" i="4"/>
  <c r="D255" i="4"/>
  <c r="I255" i="4"/>
  <c r="C256" i="4"/>
  <c r="B256" i="4"/>
  <c r="H256" i="4"/>
  <c r="D256" i="4"/>
  <c r="I256" i="4"/>
  <c r="C257" i="4"/>
  <c r="B257" i="4"/>
  <c r="H257" i="4"/>
  <c r="D257" i="4"/>
  <c r="I257" i="4"/>
  <c r="C258" i="4"/>
  <c r="B258" i="4"/>
  <c r="H258" i="4"/>
  <c r="D258" i="4"/>
  <c r="I258" i="4"/>
  <c r="C259" i="4"/>
  <c r="B259" i="4"/>
  <c r="H259" i="4"/>
  <c r="D259" i="4"/>
  <c r="I259" i="4"/>
  <c r="C260" i="4"/>
  <c r="B260" i="4"/>
  <c r="H260" i="4"/>
  <c r="D260" i="4"/>
  <c r="I260" i="4"/>
  <c r="C261" i="4"/>
  <c r="B261" i="4"/>
  <c r="H261" i="4"/>
  <c r="D261" i="4"/>
  <c r="I261" i="4"/>
  <c r="C262" i="4"/>
  <c r="B262" i="4"/>
  <c r="H262" i="4"/>
  <c r="D262" i="4"/>
  <c r="I262" i="4"/>
  <c r="C263" i="4"/>
  <c r="B263" i="4"/>
  <c r="H263" i="4"/>
  <c r="D263" i="4"/>
  <c r="I263" i="4"/>
  <c r="C264" i="4"/>
  <c r="B264" i="4"/>
  <c r="H264" i="4"/>
  <c r="D264" i="4"/>
  <c r="I264" i="4"/>
  <c r="C265" i="4"/>
  <c r="B265" i="4"/>
  <c r="H265" i="4"/>
  <c r="D265" i="4"/>
  <c r="I265" i="4"/>
  <c r="C266" i="4"/>
  <c r="B266" i="4"/>
  <c r="H266" i="4"/>
  <c r="D266" i="4"/>
  <c r="I266" i="4"/>
  <c r="C267" i="4"/>
  <c r="B267" i="4"/>
  <c r="H267" i="4"/>
  <c r="D267" i="4"/>
  <c r="I267" i="4"/>
  <c r="C268" i="4"/>
  <c r="B268" i="4"/>
  <c r="H268" i="4"/>
  <c r="D268" i="4"/>
  <c r="I268" i="4"/>
  <c r="C269" i="4"/>
  <c r="B269" i="4"/>
  <c r="H269" i="4"/>
  <c r="D269" i="4"/>
  <c r="I269" i="4"/>
  <c r="C270" i="4"/>
  <c r="B270" i="4"/>
  <c r="H270" i="4"/>
  <c r="D270" i="4"/>
  <c r="I270" i="4"/>
  <c r="C271" i="4"/>
  <c r="B271" i="4"/>
  <c r="H271" i="4"/>
  <c r="D271" i="4"/>
  <c r="I271" i="4"/>
  <c r="C272" i="4"/>
  <c r="B272" i="4"/>
  <c r="H272" i="4"/>
  <c r="D272" i="4"/>
  <c r="I272" i="4"/>
  <c r="C273" i="4"/>
  <c r="B273" i="4"/>
  <c r="H273" i="4"/>
  <c r="D273" i="4"/>
  <c r="I273" i="4"/>
  <c r="C274" i="4"/>
  <c r="B274" i="4"/>
  <c r="H274" i="4"/>
  <c r="D274" i="4"/>
  <c r="I274" i="4"/>
  <c r="C275" i="4"/>
  <c r="B275" i="4"/>
  <c r="H275" i="4"/>
  <c r="D275" i="4"/>
  <c r="I275" i="4"/>
  <c r="C276" i="4"/>
  <c r="B276" i="4"/>
  <c r="H276" i="4"/>
  <c r="D276" i="4"/>
  <c r="I276" i="4"/>
  <c r="C277" i="4"/>
  <c r="B277" i="4"/>
  <c r="H277" i="4"/>
  <c r="D277" i="4"/>
  <c r="I277" i="4"/>
  <c r="C278" i="4"/>
  <c r="B278" i="4"/>
  <c r="H278" i="4"/>
  <c r="D278" i="4"/>
  <c r="I278" i="4"/>
  <c r="C279" i="4"/>
  <c r="B279" i="4"/>
  <c r="H279" i="4"/>
  <c r="D279" i="4"/>
  <c r="I279" i="4"/>
  <c r="C280" i="4"/>
  <c r="B280" i="4"/>
  <c r="H280" i="4"/>
  <c r="D280" i="4"/>
  <c r="I280" i="4"/>
  <c r="C281" i="4"/>
  <c r="B281" i="4"/>
  <c r="H281" i="4"/>
  <c r="D281" i="4"/>
  <c r="I281" i="4"/>
  <c r="C282" i="4"/>
  <c r="B282" i="4"/>
  <c r="H282" i="4"/>
  <c r="D282" i="4"/>
  <c r="I282" i="4"/>
  <c r="C283" i="4"/>
  <c r="B283" i="4"/>
  <c r="H283" i="4"/>
  <c r="D283" i="4"/>
  <c r="I283" i="4"/>
  <c r="C284" i="4"/>
  <c r="B284" i="4"/>
  <c r="H284" i="4"/>
  <c r="D284" i="4"/>
  <c r="I284" i="4"/>
  <c r="C285" i="4"/>
  <c r="B285" i="4"/>
  <c r="H285" i="4"/>
  <c r="D285" i="4"/>
  <c r="I285" i="4"/>
  <c r="C286" i="4"/>
  <c r="B286" i="4"/>
  <c r="H286" i="4"/>
  <c r="D286" i="4"/>
  <c r="I286" i="4"/>
  <c r="C287" i="4"/>
  <c r="B287" i="4"/>
  <c r="H287" i="4"/>
  <c r="D287" i="4"/>
  <c r="I287" i="4"/>
  <c r="C288" i="4"/>
  <c r="B288" i="4"/>
  <c r="H288" i="4"/>
  <c r="D288" i="4"/>
  <c r="I288" i="4"/>
  <c r="C289" i="4"/>
  <c r="B289" i="4"/>
  <c r="H289" i="4"/>
  <c r="D289" i="4"/>
  <c r="I289" i="4"/>
  <c r="C290" i="4"/>
  <c r="B290" i="4"/>
  <c r="H290" i="4"/>
  <c r="D290" i="4"/>
  <c r="I290" i="4"/>
  <c r="C291" i="4"/>
  <c r="B291" i="4"/>
  <c r="H291" i="4"/>
  <c r="D291" i="4"/>
  <c r="I291" i="4"/>
  <c r="C292" i="4"/>
  <c r="B292" i="4"/>
  <c r="H292" i="4"/>
  <c r="D292" i="4"/>
  <c r="I292" i="4"/>
  <c r="C293" i="4"/>
  <c r="B293" i="4"/>
  <c r="H293" i="4"/>
  <c r="D293" i="4"/>
  <c r="I293" i="4"/>
  <c r="C294" i="4"/>
  <c r="B294" i="4"/>
  <c r="H294" i="4"/>
  <c r="D294" i="4"/>
  <c r="I294" i="4"/>
  <c r="C295" i="4"/>
  <c r="B295" i="4"/>
  <c r="H295" i="4"/>
  <c r="D295" i="4"/>
  <c r="I295" i="4"/>
  <c r="C296" i="4"/>
  <c r="B296" i="4"/>
  <c r="H296" i="4"/>
  <c r="D296" i="4"/>
  <c r="I296" i="4"/>
  <c r="C297" i="4"/>
  <c r="B297" i="4"/>
  <c r="H297" i="4"/>
  <c r="D297" i="4"/>
  <c r="I297" i="4"/>
  <c r="C298" i="4"/>
  <c r="B298" i="4"/>
  <c r="H298" i="4"/>
  <c r="D298" i="4"/>
  <c r="I298" i="4"/>
  <c r="C299" i="4"/>
  <c r="B299" i="4"/>
  <c r="H299" i="4"/>
  <c r="D299" i="4"/>
  <c r="I299" i="4"/>
  <c r="C300" i="4"/>
  <c r="B300" i="4"/>
  <c r="H300" i="4"/>
  <c r="D300" i="4"/>
  <c r="I300" i="4"/>
  <c r="C301" i="4"/>
  <c r="B301" i="4"/>
  <c r="H301" i="4"/>
  <c r="D301" i="4"/>
  <c r="I301" i="4"/>
  <c r="C302" i="4"/>
  <c r="B302" i="4"/>
  <c r="H302" i="4"/>
  <c r="D302" i="4"/>
  <c r="I302" i="4"/>
  <c r="C303" i="4"/>
  <c r="B303" i="4"/>
  <c r="H303" i="4"/>
  <c r="D303" i="4"/>
  <c r="I303" i="4"/>
  <c r="C304" i="4"/>
  <c r="B304" i="4"/>
  <c r="H304" i="4"/>
  <c r="D304" i="4"/>
  <c r="I304" i="4"/>
  <c r="C305" i="4"/>
  <c r="B305" i="4"/>
  <c r="H305" i="4"/>
  <c r="D305" i="4"/>
  <c r="I305" i="4"/>
  <c r="C306" i="4"/>
  <c r="B306" i="4"/>
  <c r="H306" i="4"/>
  <c r="D306" i="4"/>
  <c r="I306" i="4"/>
  <c r="C307" i="4"/>
  <c r="B307" i="4"/>
  <c r="H307" i="4"/>
  <c r="D307" i="4"/>
  <c r="I307" i="4"/>
  <c r="C308" i="4"/>
  <c r="B308" i="4"/>
  <c r="H308" i="4"/>
  <c r="D308" i="4"/>
  <c r="I308" i="4"/>
  <c r="C309" i="4"/>
  <c r="B309" i="4"/>
  <c r="H309" i="4"/>
  <c r="D309" i="4"/>
  <c r="I309" i="4"/>
  <c r="C310" i="4"/>
  <c r="B310" i="4"/>
  <c r="H310" i="4"/>
  <c r="D310" i="4"/>
  <c r="I310" i="4"/>
  <c r="C311" i="4"/>
  <c r="B311" i="4"/>
  <c r="H311" i="4"/>
  <c r="D311" i="4"/>
  <c r="I311" i="4"/>
  <c r="C312" i="4"/>
  <c r="B312" i="4"/>
  <c r="H312" i="4"/>
  <c r="D312" i="4"/>
  <c r="I312" i="4"/>
  <c r="C313" i="4"/>
  <c r="B313" i="4"/>
  <c r="H313" i="4"/>
  <c r="D313" i="4"/>
  <c r="I313" i="4"/>
  <c r="C314" i="4"/>
  <c r="B314" i="4"/>
  <c r="H314" i="4"/>
  <c r="D314" i="4"/>
  <c r="I314" i="4"/>
  <c r="C315" i="4"/>
  <c r="B315" i="4"/>
  <c r="H315" i="4"/>
  <c r="D315" i="4"/>
  <c r="I315" i="4"/>
  <c r="C316" i="4"/>
  <c r="B316" i="4"/>
  <c r="H316" i="4"/>
  <c r="D316" i="4"/>
  <c r="I316" i="4"/>
  <c r="C317" i="4"/>
  <c r="B317" i="4"/>
  <c r="H317" i="4"/>
  <c r="D317" i="4"/>
  <c r="I317" i="4"/>
  <c r="C318" i="4"/>
  <c r="B318" i="4"/>
  <c r="H318" i="4"/>
  <c r="D318" i="4"/>
  <c r="I318" i="4"/>
  <c r="C319" i="4"/>
  <c r="B319" i="4"/>
  <c r="H319" i="4"/>
  <c r="D319" i="4"/>
  <c r="I319" i="4"/>
  <c r="C320" i="4"/>
  <c r="B320" i="4"/>
  <c r="H320" i="4"/>
  <c r="D320" i="4"/>
  <c r="I320" i="4"/>
  <c r="C321" i="4"/>
  <c r="B321" i="4"/>
  <c r="H321" i="4"/>
  <c r="D321" i="4"/>
  <c r="I321" i="4"/>
  <c r="C322" i="4"/>
  <c r="B322" i="4"/>
  <c r="H322" i="4"/>
  <c r="D322" i="4"/>
  <c r="I322" i="4"/>
  <c r="C323" i="4"/>
  <c r="B323" i="4"/>
  <c r="H323" i="4"/>
  <c r="D323" i="4"/>
  <c r="I323" i="4"/>
  <c r="C324" i="4"/>
  <c r="B324" i="4"/>
  <c r="H324" i="4"/>
  <c r="D324" i="4"/>
  <c r="I324" i="4"/>
  <c r="C325" i="4"/>
  <c r="B325" i="4"/>
  <c r="H325" i="4"/>
  <c r="D325" i="4"/>
  <c r="I325" i="4"/>
  <c r="C326" i="4"/>
  <c r="B326" i="4"/>
  <c r="H326" i="4"/>
  <c r="D326" i="4"/>
  <c r="I326" i="4"/>
  <c r="C327" i="4"/>
  <c r="B327" i="4"/>
  <c r="H327" i="4"/>
  <c r="D327" i="4"/>
  <c r="I327" i="4"/>
  <c r="C328" i="4"/>
  <c r="B328" i="4"/>
  <c r="H328" i="4"/>
  <c r="D328" i="4"/>
  <c r="I328" i="4"/>
  <c r="C329" i="4"/>
  <c r="B329" i="4"/>
  <c r="H329" i="4"/>
  <c r="D329" i="4"/>
  <c r="I329" i="4"/>
  <c r="C330" i="4"/>
  <c r="B330" i="4"/>
  <c r="H330" i="4"/>
  <c r="D330" i="4"/>
  <c r="I330" i="4"/>
  <c r="C331" i="4"/>
  <c r="B331" i="4"/>
  <c r="H331" i="4"/>
  <c r="D331" i="4"/>
  <c r="I331" i="4"/>
  <c r="C332" i="4"/>
  <c r="B332" i="4"/>
  <c r="H332" i="4"/>
  <c r="D332" i="4"/>
  <c r="I332" i="4"/>
  <c r="C333" i="4"/>
  <c r="B333" i="4"/>
  <c r="H333" i="4"/>
  <c r="D333" i="4"/>
  <c r="I333" i="4"/>
  <c r="C334" i="4"/>
  <c r="B334" i="4"/>
  <c r="H334" i="4"/>
  <c r="D334" i="4"/>
  <c r="I334" i="4"/>
  <c r="C335" i="4"/>
  <c r="B335" i="4"/>
  <c r="H335" i="4"/>
  <c r="D335" i="4"/>
  <c r="I335" i="4"/>
  <c r="C336" i="4"/>
  <c r="B336" i="4"/>
  <c r="H336" i="4"/>
  <c r="D336" i="4"/>
  <c r="I336" i="4"/>
  <c r="C337" i="4"/>
  <c r="B337" i="4"/>
  <c r="H337" i="4"/>
  <c r="D337" i="4"/>
  <c r="I337" i="4"/>
  <c r="C338" i="4"/>
  <c r="B338" i="4"/>
  <c r="H338" i="4"/>
  <c r="D338" i="4"/>
  <c r="I338" i="4"/>
  <c r="C339" i="4"/>
  <c r="B339" i="4"/>
  <c r="H339" i="4"/>
  <c r="D339" i="4"/>
  <c r="I339" i="4"/>
  <c r="C340" i="4"/>
  <c r="B340" i="4"/>
  <c r="H340" i="4"/>
  <c r="D340" i="4"/>
  <c r="I340" i="4"/>
  <c r="C341" i="4"/>
  <c r="B341" i="4"/>
  <c r="H341" i="4"/>
  <c r="D341" i="4"/>
  <c r="I341" i="4"/>
  <c r="C342" i="4"/>
  <c r="B342" i="4"/>
  <c r="H342" i="4"/>
  <c r="D342" i="4"/>
  <c r="I342" i="4"/>
  <c r="C343" i="4"/>
  <c r="B343" i="4"/>
  <c r="H343" i="4"/>
  <c r="D343" i="4"/>
  <c r="I343" i="4"/>
  <c r="C344" i="4"/>
  <c r="B344" i="4"/>
  <c r="H344" i="4"/>
  <c r="D344" i="4"/>
  <c r="I344" i="4"/>
  <c r="C345" i="4"/>
  <c r="B345" i="4"/>
  <c r="H345" i="4"/>
  <c r="D345" i="4"/>
  <c r="I345" i="4"/>
  <c r="C346" i="4"/>
  <c r="B346" i="4"/>
  <c r="H346" i="4"/>
  <c r="D346" i="4"/>
  <c r="I346" i="4"/>
  <c r="C347" i="4"/>
  <c r="B347" i="4"/>
  <c r="H347" i="4"/>
  <c r="D347" i="4"/>
  <c r="I347" i="4"/>
  <c r="C348" i="4"/>
  <c r="B348" i="4"/>
  <c r="H348" i="4"/>
  <c r="D348" i="4"/>
  <c r="I348" i="4"/>
  <c r="C349" i="4"/>
  <c r="B349" i="4"/>
  <c r="H349" i="4"/>
  <c r="D349" i="4"/>
  <c r="I349" i="4"/>
  <c r="C350" i="4"/>
  <c r="B350" i="4"/>
  <c r="H350" i="4"/>
  <c r="D350" i="4"/>
  <c r="I350" i="4"/>
  <c r="C351" i="4"/>
  <c r="B351" i="4"/>
  <c r="H351" i="4"/>
  <c r="D351" i="4"/>
  <c r="I351" i="4"/>
  <c r="C352" i="4"/>
  <c r="B352" i="4"/>
  <c r="H352" i="4"/>
  <c r="D352" i="4"/>
  <c r="I352" i="4"/>
  <c r="C353" i="4"/>
  <c r="B353" i="4"/>
  <c r="H353" i="4"/>
  <c r="D353" i="4"/>
  <c r="I353" i="4"/>
  <c r="C354" i="4"/>
  <c r="B354" i="4"/>
  <c r="H354" i="4"/>
  <c r="D354" i="4"/>
  <c r="I354" i="4"/>
  <c r="C355" i="4"/>
  <c r="B355" i="4"/>
  <c r="H355" i="4"/>
  <c r="D355" i="4"/>
  <c r="I355" i="4"/>
  <c r="C356" i="4"/>
  <c r="B356" i="4"/>
  <c r="H356" i="4"/>
  <c r="D356" i="4"/>
  <c r="I356" i="4"/>
  <c r="C357" i="4"/>
  <c r="B357" i="4"/>
  <c r="H357" i="4"/>
  <c r="D357" i="4"/>
  <c r="I357" i="4"/>
  <c r="C358" i="4"/>
  <c r="B358" i="4"/>
  <c r="H358" i="4"/>
  <c r="D358" i="4"/>
  <c r="I358" i="4"/>
  <c r="C359" i="4"/>
  <c r="B359" i="4"/>
  <c r="H359" i="4"/>
  <c r="D359" i="4"/>
  <c r="I359" i="4"/>
  <c r="C360" i="4"/>
  <c r="B360" i="4"/>
  <c r="H360" i="4"/>
  <c r="D360" i="4"/>
  <c r="I360" i="4"/>
  <c r="C361" i="4"/>
  <c r="B361" i="4"/>
  <c r="H361" i="4"/>
  <c r="D361" i="4"/>
  <c r="I361" i="4"/>
  <c r="C362" i="4"/>
  <c r="B362" i="4"/>
  <c r="H362" i="4"/>
  <c r="D362" i="4"/>
  <c r="I362" i="4"/>
  <c r="C363" i="4"/>
  <c r="B363" i="4"/>
  <c r="H363" i="4"/>
  <c r="D363" i="4"/>
  <c r="I363" i="4"/>
  <c r="C364" i="4"/>
  <c r="B364" i="4"/>
  <c r="H364" i="4"/>
  <c r="D364" i="4"/>
  <c r="I364" i="4"/>
  <c r="C365" i="4"/>
  <c r="B365" i="4"/>
  <c r="H365" i="4"/>
  <c r="D365" i="4"/>
  <c r="I365" i="4"/>
  <c r="C366" i="4"/>
  <c r="B366" i="4"/>
  <c r="H366" i="4"/>
  <c r="D366" i="4"/>
  <c r="I366" i="4"/>
  <c r="C367" i="4"/>
  <c r="B367" i="4"/>
  <c r="H367" i="4"/>
  <c r="D367" i="4"/>
  <c r="I367" i="4"/>
  <c r="C368" i="4"/>
  <c r="B368" i="4"/>
  <c r="H368" i="4"/>
  <c r="D368" i="4"/>
  <c r="I368" i="4"/>
  <c r="C369" i="4"/>
  <c r="B369" i="4"/>
  <c r="H369" i="4"/>
  <c r="D369" i="4"/>
  <c r="I369" i="4"/>
  <c r="C370" i="4"/>
  <c r="B370" i="4"/>
  <c r="H370" i="4"/>
  <c r="D370" i="4"/>
  <c r="I370" i="4"/>
  <c r="C371" i="4"/>
  <c r="B371" i="4"/>
  <c r="H371" i="4"/>
  <c r="D371" i="4"/>
  <c r="I371" i="4"/>
  <c r="C372" i="4"/>
  <c r="B372" i="4"/>
  <c r="H372" i="4"/>
  <c r="D372" i="4"/>
  <c r="I372" i="4"/>
  <c r="C373" i="4"/>
  <c r="B373" i="4"/>
  <c r="H373" i="4"/>
  <c r="D373" i="4"/>
  <c r="I373" i="4"/>
  <c r="C374" i="4"/>
  <c r="B374" i="4"/>
  <c r="H374" i="4"/>
  <c r="D374" i="4"/>
  <c r="I374" i="4"/>
  <c r="C375" i="4"/>
  <c r="B375" i="4"/>
  <c r="H375" i="4"/>
  <c r="D375" i="4"/>
  <c r="I375" i="4"/>
  <c r="C376" i="4"/>
  <c r="B376" i="4"/>
  <c r="H376" i="4"/>
  <c r="D376" i="4"/>
  <c r="I376" i="4"/>
  <c r="C377" i="4"/>
  <c r="B377" i="4"/>
  <c r="H377" i="4"/>
  <c r="D377" i="4"/>
  <c r="I377" i="4"/>
  <c r="C378" i="4"/>
  <c r="B378" i="4"/>
  <c r="H378" i="4"/>
  <c r="D378" i="4"/>
  <c r="I378" i="4"/>
  <c r="C379" i="4"/>
  <c r="B379" i="4"/>
  <c r="H379" i="4"/>
  <c r="D379" i="4"/>
  <c r="I379" i="4"/>
  <c r="C380" i="4"/>
  <c r="B380" i="4"/>
  <c r="H380" i="4"/>
  <c r="D380" i="4"/>
  <c r="I380" i="4"/>
  <c r="C381" i="4"/>
  <c r="B381" i="4"/>
  <c r="H381" i="4"/>
  <c r="D381" i="4"/>
  <c r="I381" i="4"/>
  <c r="C382" i="4"/>
  <c r="B382" i="4"/>
  <c r="H382" i="4"/>
  <c r="D382" i="4"/>
  <c r="I382" i="4"/>
  <c r="C383" i="4"/>
  <c r="B383" i="4"/>
  <c r="H383" i="4"/>
  <c r="D383" i="4"/>
  <c r="I383" i="4"/>
  <c r="C384" i="4"/>
  <c r="B384" i="4"/>
  <c r="H384" i="4"/>
  <c r="D384" i="4"/>
  <c r="I384" i="4"/>
  <c r="C385" i="4"/>
  <c r="B385" i="4"/>
  <c r="H385" i="4"/>
  <c r="D385" i="4"/>
  <c r="I385" i="4"/>
  <c r="C386" i="4"/>
  <c r="B386" i="4"/>
  <c r="H386" i="4"/>
  <c r="D386" i="4"/>
  <c r="I386" i="4"/>
  <c r="C387" i="4"/>
  <c r="B387" i="4"/>
  <c r="H387" i="4"/>
  <c r="D387" i="4"/>
  <c r="I387" i="4"/>
  <c r="C388" i="4"/>
  <c r="B388" i="4"/>
  <c r="H388" i="4"/>
  <c r="D388" i="4"/>
  <c r="I388" i="4"/>
  <c r="C389" i="4"/>
  <c r="B389" i="4"/>
  <c r="H389" i="4"/>
  <c r="D389" i="4"/>
  <c r="I389" i="4"/>
  <c r="C390" i="4"/>
  <c r="B390" i="4"/>
  <c r="H390" i="4"/>
  <c r="D390" i="4"/>
  <c r="I390" i="4"/>
  <c r="C391" i="4"/>
  <c r="B391" i="4"/>
  <c r="H391" i="4"/>
  <c r="D391" i="4"/>
  <c r="I391" i="4"/>
  <c r="C392" i="4"/>
  <c r="B392" i="4"/>
  <c r="H392" i="4"/>
  <c r="D392" i="4"/>
  <c r="I392" i="4"/>
  <c r="C393" i="4"/>
  <c r="B393" i="4"/>
  <c r="H393" i="4"/>
  <c r="D393" i="4"/>
  <c r="I393" i="4"/>
  <c r="C394" i="4"/>
  <c r="B394" i="4"/>
  <c r="H394" i="4"/>
  <c r="D394" i="4"/>
  <c r="I394" i="4"/>
  <c r="C395" i="4"/>
  <c r="B395" i="4"/>
  <c r="H395" i="4"/>
  <c r="D395" i="4"/>
  <c r="I395" i="4"/>
  <c r="C396" i="4"/>
  <c r="B396" i="4"/>
  <c r="H396" i="4"/>
  <c r="D396" i="4"/>
  <c r="I396" i="4"/>
  <c r="C397" i="4"/>
  <c r="B397" i="4"/>
  <c r="H397" i="4"/>
  <c r="D397" i="4"/>
  <c r="I397" i="4"/>
  <c r="C398" i="4"/>
  <c r="B398" i="4"/>
  <c r="H398" i="4"/>
  <c r="D398" i="4"/>
  <c r="I398" i="4"/>
  <c r="C399" i="4"/>
  <c r="B399" i="4"/>
  <c r="H399" i="4"/>
  <c r="D399" i="4"/>
  <c r="I399" i="4"/>
  <c r="C400" i="4"/>
  <c r="B400" i="4"/>
  <c r="H400" i="4"/>
  <c r="D400" i="4"/>
  <c r="I400" i="4"/>
  <c r="C401" i="4"/>
  <c r="B401" i="4"/>
  <c r="H401" i="4"/>
  <c r="D401" i="4"/>
  <c r="I401" i="4"/>
  <c r="C402" i="4"/>
  <c r="B402" i="4"/>
  <c r="H402" i="4"/>
  <c r="D402" i="4"/>
  <c r="I402" i="4"/>
  <c r="C403" i="4"/>
  <c r="B403" i="4"/>
  <c r="H403" i="4"/>
  <c r="D403" i="4"/>
  <c r="I403" i="4"/>
  <c r="C404" i="4"/>
  <c r="B404" i="4"/>
  <c r="H404" i="4"/>
  <c r="D404" i="4"/>
  <c r="I404" i="4"/>
  <c r="C405" i="4"/>
  <c r="B405" i="4"/>
  <c r="H405" i="4"/>
  <c r="D405" i="4"/>
  <c r="I405" i="4"/>
  <c r="C406" i="4"/>
  <c r="B406" i="4"/>
  <c r="H406" i="4"/>
  <c r="D406" i="4"/>
  <c r="I406" i="4"/>
  <c r="C407" i="4"/>
  <c r="B407" i="4"/>
  <c r="H407" i="4"/>
  <c r="D407" i="4"/>
  <c r="I407" i="4"/>
  <c r="C408" i="4"/>
  <c r="B408" i="4"/>
  <c r="H408" i="4"/>
  <c r="D408" i="4"/>
  <c r="I408" i="4"/>
  <c r="C409" i="4"/>
  <c r="B409" i="4"/>
  <c r="H409" i="4"/>
  <c r="D409" i="4"/>
  <c r="I409" i="4"/>
  <c r="C410" i="4"/>
  <c r="B410" i="4"/>
  <c r="H410" i="4"/>
  <c r="D410" i="4"/>
  <c r="I410" i="4"/>
  <c r="C411" i="4"/>
  <c r="B411" i="4"/>
  <c r="H411" i="4"/>
  <c r="D411" i="4"/>
  <c r="I411" i="4"/>
  <c r="C412" i="4"/>
  <c r="B412" i="4"/>
  <c r="H412" i="4"/>
  <c r="D412" i="4"/>
  <c r="I412" i="4"/>
  <c r="C413" i="4"/>
  <c r="B413" i="4"/>
  <c r="H413" i="4"/>
  <c r="D413" i="4"/>
  <c r="I413" i="4"/>
  <c r="C414" i="4"/>
  <c r="B414" i="4"/>
  <c r="H414" i="4"/>
  <c r="D414" i="4"/>
  <c r="I414" i="4"/>
  <c r="C415" i="4"/>
  <c r="B415" i="4"/>
  <c r="H415" i="4"/>
  <c r="D415" i="4"/>
  <c r="I415" i="4"/>
  <c r="C416" i="4"/>
  <c r="B416" i="4"/>
  <c r="H416" i="4"/>
  <c r="D416" i="4"/>
  <c r="I416" i="4"/>
  <c r="C417" i="4"/>
  <c r="B417" i="4"/>
  <c r="H417" i="4"/>
  <c r="D417" i="4"/>
  <c r="I417" i="4"/>
  <c r="C418" i="4"/>
  <c r="B418" i="4"/>
  <c r="H418" i="4"/>
  <c r="D418" i="4"/>
  <c r="I418" i="4"/>
  <c r="C419" i="4"/>
  <c r="B419" i="4"/>
  <c r="H419" i="4"/>
  <c r="D419" i="4"/>
  <c r="I419" i="4"/>
  <c r="C420" i="4"/>
  <c r="B420" i="4"/>
  <c r="H420" i="4"/>
  <c r="D420" i="4"/>
  <c r="I420" i="4"/>
  <c r="C421" i="4"/>
  <c r="B421" i="4"/>
  <c r="H421" i="4"/>
  <c r="D421" i="4"/>
  <c r="I421" i="4"/>
  <c r="C422" i="4"/>
  <c r="B422" i="4"/>
  <c r="H422" i="4"/>
  <c r="D422" i="4"/>
  <c r="I422" i="4"/>
  <c r="C423" i="4"/>
  <c r="B423" i="4"/>
  <c r="H423" i="4"/>
  <c r="D423" i="4"/>
  <c r="I423" i="4"/>
  <c r="C424" i="4"/>
  <c r="B424" i="4"/>
  <c r="H424" i="4"/>
  <c r="D424" i="4"/>
  <c r="I424" i="4"/>
  <c r="C425" i="4"/>
  <c r="B425" i="4"/>
  <c r="H425" i="4"/>
  <c r="D425" i="4"/>
  <c r="I425" i="4"/>
  <c r="C426" i="4"/>
  <c r="B426" i="4"/>
  <c r="H426" i="4"/>
  <c r="D426" i="4"/>
  <c r="I426" i="4"/>
  <c r="C427" i="4"/>
  <c r="B427" i="4"/>
  <c r="H427" i="4"/>
  <c r="D427" i="4"/>
  <c r="I427" i="4"/>
  <c r="C428" i="4"/>
  <c r="B428" i="4"/>
  <c r="H428" i="4"/>
  <c r="D428" i="4"/>
  <c r="I428" i="4"/>
  <c r="C429" i="4"/>
  <c r="B429" i="4"/>
  <c r="H429" i="4"/>
  <c r="D429" i="4"/>
  <c r="I429" i="4"/>
  <c r="C430" i="4"/>
  <c r="B430" i="4"/>
  <c r="H430" i="4"/>
  <c r="D430" i="4"/>
  <c r="I430" i="4"/>
  <c r="C431" i="4"/>
  <c r="B431" i="4"/>
  <c r="H431" i="4"/>
  <c r="D431" i="4"/>
  <c r="I431" i="4"/>
  <c r="C432" i="4"/>
  <c r="B432" i="4"/>
  <c r="H432" i="4"/>
  <c r="D432" i="4"/>
  <c r="I432" i="4"/>
  <c r="C433" i="4"/>
  <c r="B433" i="4"/>
  <c r="H433" i="4"/>
  <c r="D433" i="4"/>
  <c r="I433" i="4"/>
  <c r="C434" i="4"/>
  <c r="B434" i="4"/>
  <c r="H434" i="4"/>
  <c r="D434" i="4"/>
  <c r="I434" i="4"/>
  <c r="C435" i="4"/>
  <c r="B435" i="4"/>
  <c r="H435" i="4"/>
  <c r="D435" i="4"/>
  <c r="I435" i="4"/>
  <c r="C436" i="4"/>
  <c r="B436" i="4"/>
  <c r="H436" i="4"/>
  <c r="D436" i="4"/>
  <c r="I436" i="4"/>
  <c r="C437" i="4"/>
  <c r="B437" i="4"/>
  <c r="H437" i="4"/>
  <c r="D437" i="4"/>
  <c r="I437" i="4"/>
  <c r="C438" i="4"/>
  <c r="B438" i="4"/>
  <c r="H438" i="4"/>
  <c r="D438" i="4"/>
  <c r="I438" i="4"/>
  <c r="C439" i="4"/>
  <c r="B439" i="4"/>
  <c r="H439" i="4"/>
  <c r="D439" i="4"/>
  <c r="I439" i="4"/>
  <c r="C440" i="4"/>
  <c r="B440" i="4"/>
  <c r="H440" i="4"/>
  <c r="D440" i="4"/>
  <c r="I440" i="4"/>
  <c r="C441" i="4"/>
  <c r="B441" i="4"/>
  <c r="H441" i="4"/>
  <c r="D441" i="4"/>
  <c r="I441" i="4"/>
  <c r="C442" i="4"/>
  <c r="B442" i="4"/>
  <c r="H442" i="4"/>
  <c r="D442" i="4"/>
  <c r="I442" i="4"/>
  <c r="C443" i="4"/>
  <c r="B443" i="4"/>
  <c r="H443" i="4"/>
  <c r="D443" i="4"/>
  <c r="I443" i="4"/>
  <c r="C444" i="4"/>
  <c r="B444" i="4"/>
  <c r="H444" i="4"/>
  <c r="D444" i="4"/>
  <c r="I444" i="4"/>
  <c r="C445" i="4"/>
  <c r="B445" i="4"/>
  <c r="H445" i="4"/>
  <c r="D445" i="4"/>
  <c r="I445" i="4"/>
  <c r="C446" i="4"/>
  <c r="B446" i="4"/>
  <c r="H446" i="4"/>
  <c r="D446" i="4"/>
  <c r="I446" i="4"/>
  <c r="C447" i="4"/>
  <c r="B447" i="4"/>
  <c r="H447" i="4"/>
  <c r="D447" i="4"/>
  <c r="I447" i="4"/>
  <c r="C448" i="4"/>
  <c r="B448" i="4"/>
  <c r="H448" i="4"/>
  <c r="D448" i="4"/>
  <c r="I448" i="4"/>
  <c r="C449" i="4"/>
  <c r="B449" i="4"/>
  <c r="H449" i="4"/>
  <c r="D449" i="4"/>
  <c r="I449" i="4"/>
  <c r="C450" i="4"/>
  <c r="B450" i="4"/>
  <c r="H450" i="4"/>
  <c r="D450" i="4"/>
  <c r="I450" i="4"/>
  <c r="C451" i="4"/>
  <c r="B451" i="4"/>
  <c r="H451" i="4"/>
  <c r="D451" i="4"/>
  <c r="I451" i="4"/>
  <c r="C452" i="4"/>
  <c r="B452" i="4"/>
  <c r="H452" i="4"/>
  <c r="D452" i="4"/>
  <c r="I452" i="4"/>
  <c r="C453" i="4"/>
  <c r="B453" i="4"/>
  <c r="H453" i="4"/>
  <c r="D453" i="4"/>
  <c r="I453" i="4"/>
  <c r="C454" i="4"/>
  <c r="B454" i="4"/>
  <c r="H454" i="4"/>
  <c r="D454" i="4"/>
  <c r="I454" i="4"/>
  <c r="C455" i="4"/>
  <c r="B455" i="4"/>
  <c r="H455" i="4"/>
  <c r="D455" i="4"/>
  <c r="I455" i="4"/>
  <c r="C456" i="4"/>
  <c r="B456" i="4"/>
  <c r="H456" i="4"/>
  <c r="D456" i="4"/>
  <c r="I456" i="4"/>
  <c r="C457" i="4"/>
  <c r="B457" i="4"/>
  <c r="H457" i="4"/>
  <c r="D457" i="4"/>
  <c r="I457" i="4"/>
  <c r="C458" i="4"/>
  <c r="B458" i="4"/>
  <c r="H458" i="4"/>
  <c r="D458" i="4"/>
  <c r="I458" i="4"/>
  <c r="C459" i="4"/>
  <c r="B459" i="4"/>
  <c r="H459" i="4"/>
  <c r="D459" i="4"/>
  <c r="I459" i="4"/>
  <c r="C460" i="4"/>
  <c r="B460" i="4"/>
  <c r="H460" i="4"/>
  <c r="D460" i="4"/>
  <c r="I460" i="4"/>
  <c r="C461" i="4"/>
  <c r="B461" i="4"/>
  <c r="H461" i="4"/>
  <c r="D461" i="4"/>
  <c r="I461" i="4"/>
  <c r="C462" i="4"/>
  <c r="B462" i="4"/>
  <c r="H462" i="4"/>
  <c r="D462" i="4"/>
  <c r="I462" i="4"/>
  <c r="C463" i="4"/>
  <c r="B463" i="4"/>
  <c r="H463" i="4"/>
  <c r="D463" i="4"/>
  <c r="I463" i="4"/>
  <c r="C464" i="4"/>
  <c r="B464" i="4"/>
  <c r="H464" i="4"/>
  <c r="D464" i="4"/>
  <c r="I464" i="4"/>
  <c r="C465" i="4"/>
  <c r="B465" i="4"/>
  <c r="H465" i="4"/>
  <c r="D465" i="4"/>
  <c r="I465" i="4"/>
  <c r="C466" i="4"/>
  <c r="B466" i="4"/>
  <c r="H466" i="4"/>
  <c r="D466" i="4"/>
  <c r="I466" i="4"/>
  <c r="C467" i="4"/>
  <c r="B467" i="4"/>
  <c r="H467" i="4"/>
  <c r="D467" i="4"/>
  <c r="I467" i="4"/>
  <c r="C468" i="4"/>
  <c r="B468" i="4"/>
  <c r="H468" i="4"/>
  <c r="D468" i="4"/>
  <c r="I468" i="4"/>
  <c r="C469" i="4"/>
  <c r="B469" i="4"/>
  <c r="H469" i="4"/>
  <c r="D469" i="4"/>
  <c r="I469" i="4"/>
  <c r="C470" i="4"/>
  <c r="B470" i="4"/>
  <c r="H470" i="4"/>
  <c r="D470" i="4"/>
  <c r="I470" i="4"/>
  <c r="C471" i="4"/>
  <c r="B471" i="4"/>
  <c r="H471" i="4"/>
  <c r="D471" i="4"/>
  <c r="I471" i="4"/>
  <c r="C472" i="4"/>
  <c r="B472" i="4"/>
  <c r="H472" i="4"/>
  <c r="D472" i="4"/>
  <c r="I472" i="4"/>
  <c r="C473" i="4"/>
  <c r="B473" i="4"/>
  <c r="H473" i="4"/>
  <c r="D473" i="4"/>
  <c r="I473" i="4"/>
  <c r="C474" i="4"/>
  <c r="B474" i="4"/>
  <c r="H474" i="4"/>
  <c r="D474" i="4"/>
  <c r="I474" i="4"/>
  <c r="C475" i="4"/>
  <c r="B475" i="4"/>
  <c r="H475" i="4"/>
  <c r="D475" i="4"/>
  <c r="I475" i="4"/>
  <c r="C476" i="4"/>
  <c r="B476" i="4"/>
  <c r="H476" i="4"/>
  <c r="D476" i="4"/>
  <c r="I476" i="4"/>
  <c r="C477" i="4"/>
  <c r="B477" i="4"/>
  <c r="H477" i="4"/>
  <c r="D477" i="4"/>
  <c r="I477" i="4"/>
  <c r="C478" i="4"/>
  <c r="B478" i="4"/>
  <c r="H478" i="4"/>
  <c r="D478" i="4"/>
  <c r="I478" i="4"/>
  <c r="C479" i="4"/>
  <c r="B479" i="4"/>
  <c r="H479" i="4"/>
  <c r="D479" i="4"/>
  <c r="I479" i="4"/>
  <c r="C480" i="4"/>
  <c r="B480" i="4"/>
  <c r="H480" i="4"/>
  <c r="D480" i="4"/>
  <c r="I480" i="4"/>
  <c r="C481" i="4"/>
  <c r="B481" i="4"/>
  <c r="H481" i="4"/>
  <c r="D481" i="4"/>
  <c r="I481" i="4"/>
  <c r="C482" i="4"/>
  <c r="B482" i="4"/>
  <c r="H482" i="4"/>
  <c r="D482" i="4"/>
  <c r="I482" i="4"/>
  <c r="C483" i="4"/>
  <c r="B483" i="4"/>
  <c r="H483" i="4"/>
  <c r="D483" i="4"/>
  <c r="I483" i="4"/>
  <c r="C484" i="4"/>
  <c r="B484" i="4"/>
  <c r="H484" i="4"/>
  <c r="D484" i="4"/>
  <c r="I484" i="4"/>
  <c r="C485" i="4"/>
  <c r="B485" i="4"/>
  <c r="H485" i="4"/>
  <c r="D485" i="4"/>
  <c r="I485" i="4"/>
  <c r="C486" i="4"/>
  <c r="B486" i="4"/>
  <c r="H486" i="4"/>
  <c r="D486" i="4"/>
  <c r="I486" i="4"/>
  <c r="C487" i="4"/>
  <c r="B487" i="4"/>
  <c r="H487" i="4"/>
  <c r="D487" i="4"/>
  <c r="I487" i="4"/>
  <c r="C488" i="4"/>
  <c r="B488" i="4"/>
  <c r="H488" i="4"/>
  <c r="D488" i="4"/>
  <c r="I488" i="4"/>
  <c r="C489" i="4"/>
  <c r="B489" i="4"/>
  <c r="H489" i="4"/>
  <c r="D489" i="4"/>
  <c r="I489" i="4"/>
  <c r="C490" i="4"/>
  <c r="B490" i="4"/>
  <c r="H490" i="4"/>
  <c r="D490" i="4"/>
  <c r="I490" i="4"/>
  <c r="C491" i="4"/>
  <c r="B491" i="4"/>
  <c r="H491" i="4"/>
  <c r="D491" i="4"/>
  <c r="I491" i="4"/>
  <c r="C492" i="4"/>
  <c r="B492" i="4"/>
  <c r="H492" i="4"/>
  <c r="D492" i="4"/>
  <c r="I492" i="4"/>
  <c r="C493" i="4"/>
  <c r="B493" i="4"/>
  <c r="H493" i="4"/>
  <c r="D493" i="4"/>
  <c r="I493" i="4"/>
  <c r="C494" i="4"/>
  <c r="B494" i="4"/>
  <c r="H494" i="4"/>
  <c r="D494" i="4"/>
  <c r="I494" i="4"/>
  <c r="C495" i="4"/>
  <c r="B495" i="4"/>
  <c r="H495" i="4"/>
  <c r="D495" i="4"/>
  <c r="I495" i="4"/>
  <c r="C496" i="4"/>
  <c r="B496" i="4"/>
  <c r="H496" i="4"/>
  <c r="D496" i="4"/>
  <c r="I496" i="4"/>
  <c r="C497" i="4"/>
  <c r="B497" i="4"/>
  <c r="H497" i="4"/>
  <c r="D497" i="4"/>
  <c r="I497" i="4"/>
  <c r="C498" i="4"/>
  <c r="B498" i="4"/>
  <c r="H498" i="4"/>
  <c r="D498" i="4"/>
  <c r="I498" i="4"/>
  <c r="C499" i="4"/>
  <c r="B499" i="4"/>
  <c r="H499" i="4"/>
  <c r="D499" i="4"/>
  <c r="I499" i="4"/>
  <c r="C500" i="4"/>
  <c r="B500" i="4"/>
  <c r="H500" i="4"/>
  <c r="D500" i="4"/>
  <c r="I500" i="4"/>
  <c r="C501" i="4"/>
  <c r="B501" i="4"/>
  <c r="H501" i="4"/>
  <c r="D501" i="4"/>
  <c r="I501" i="4"/>
  <c r="C502" i="4"/>
  <c r="B502" i="4"/>
  <c r="H502" i="4"/>
  <c r="D502" i="4"/>
  <c r="I502" i="4"/>
  <c r="C503" i="4"/>
  <c r="B503" i="4"/>
  <c r="H503" i="4"/>
  <c r="D503" i="4"/>
  <c r="I503" i="4"/>
  <c r="C504" i="4"/>
  <c r="B504" i="4"/>
  <c r="H504" i="4"/>
  <c r="D504" i="4"/>
  <c r="I504" i="4"/>
  <c r="C505" i="4"/>
  <c r="B505" i="4"/>
  <c r="H505" i="4"/>
  <c r="D505" i="4"/>
  <c r="I505" i="4"/>
  <c r="C506" i="4"/>
  <c r="B506" i="4"/>
  <c r="H506" i="4"/>
  <c r="D506" i="4"/>
  <c r="I506" i="4"/>
  <c r="C507" i="4"/>
  <c r="B507" i="4"/>
  <c r="H507" i="4"/>
  <c r="D507" i="4"/>
  <c r="I507" i="4"/>
  <c r="C508" i="4"/>
  <c r="B508" i="4"/>
  <c r="H508" i="4"/>
  <c r="D508" i="4"/>
  <c r="I508" i="4"/>
  <c r="C509" i="4"/>
  <c r="B509" i="4"/>
  <c r="H509" i="4"/>
  <c r="D509" i="4"/>
  <c r="I509" i="4"/>
  <c r="C510" i="4"/>
  <c r="B510" i="4"/>
  <c r="H510" i="4"/>
  <c r="D510" i="4"/>
  <c r="I510" i="4"/>
  <c r="C511" i="4"/>
  <c r="B511" i="4"/>
  <c r="H511" i="4"/>
  <c r="D511" i="4"/>
  <c r="I511" i="4"/>
  <c r="C512" i="4"/>
  <c r="B512" i="4"/>
  <c r="H512" i="4"/>
  <c r="D512" i="4"/>
  <c r="I512" i="4"/>
  <c r="C513" i="4"/>
  <c r="B513" i="4"/>
  <c r="H513" i="4"/>
  <c r="D513" i="4"/>
  <c r="I513" i="4"/>
  <c r="C514" i="4"/>
  <c r="B514" i="4"/>
  <c r="H514" i="4"/>
  <c r="D514" i="4"/>
  <c r="I514" i="4"/>
  <c r="C515" i="4"/>
  <c r="B515" i="4"/>
  <c r="H515" i="4"/>
  <c r="D515" i="4"/>
  <c r="I515" i="4"/>
  <c r="C516" i="4"/>
  <c r="B516" i="4"/>
  <c r="H516" i="4"/>
  <c r="D516" i="4"/>
  <c r="I516" i="4"/>
  <c r="C517" i="4"/>
  <c r="B517" i="4"/>
  <c r="H517" i="4"/>
  <c r="D517" i="4"/>
  <c r="I517" i="4"/>
  <c r="C518" i="4"/>
  <c r="B518" i="4"/>
  <c r="H518" i="4"/>
  <c r="D518" i="4"/>
  <c r="I518" i="4"/>
  <c r="C519" i="4"/>
  <c r="B519" i="4"/>
  <c r="H519" i="4"/>
  <c r="D519" i="4"/>
  <c r="I519" i="4"/>
  <c r="C520" i="4"/>
  <c r="B520" i="4"/>
  <c r="H520" i="4"/>
  <c r="D520" i="4"/>
  <c r="I520" i="4"/>
  <c r="C521" i="4"/>
  <c r="B521" i="4"/>
  <c r="H521" i="4"/>
  <c r="D521" i="4"/>
  <c r="I521" i="4"/>
  <c r="C522" i="4"/>
  <c r="B522" i="4"/>
  <c r="H522" i="4"/>
  <c r="D522" i="4"/>
  <c r="I522" i="4"/>
  <c r="C523" i="4"/>
  <c r="B523" i="4"/>
  <c r="H523" i="4"/>
  <c r="D523" i="4"/>
  <c r="I523" i="4"/>
  <c r="C524" i="4"/>
  <c r="B524" i="4"/>
  <c r="H524" i="4"/>
  <c r="D524" i="4"/>
  <c r="I524" i="4"/>
  <c r="C525" i="4"/>
  <c r="B525" i="4"/>
  <c r="H525" i="4"/>
  <c r="D525" i="4"/>
  <c r="I525" i="4"/>
  <c r="C526" i="4"/>
  <c r="B526" i="4"/>
  <c r="H526" i="4"/>
  <c r="D526" i="4"/>
  <c r="I526" i="4"/>
  <c r="C527" i="4"/>
  <c r="B527" i="4"/>
  <c r="H527" i="4"/>
  <c r="D527" i="4"/>
  <c r="I527" i="4"/>
  <c r="C528" i="4"/>
  <c r="B528" i="4"/>
  <c r="H528" i="4"/>
  <c r="D528" i="4"/>
  <c r="I528" i="4"/>
  <c r="C529" i="4"/>
  <c r="B529" i="4"/>
  <c r="H529" i="4"/>
  <c r="D529" i="4"/>
  <c r="I529" i="4"/>
  <c r="C530" i="4"/>
  <c r="B530" i="4"/>
  <c r="H530" i="4"/>
  <c r="D530" i="4"/>
  <c r="I530" i="4"/>
  <c r="C531" i="4"/>
  <c r="B531" i="4"/>
  <c r="H531" i="4"/>
  <c r="D531" i="4"/>
  <c r="I531" i="4"/>
  <c r="C532" i="4"/>
  <c r="B532" i="4"/>
  <c r="H532" i="4"/>
  <c r="D532" i="4"/>
  <c r="I532" i="4"/>
  <c r="C533" i="4"/>
  <c r="B533" i="4"/>
  <c r="H533" i="4"/>
  <c r="D533" i="4"/>
  <c r="I533" i="4"/>
  <c r="C534" i="4"/>
  <c r="B534" i="4"/>
  <c r="H534" i="4"/>
  <c r="D534" i="4"/>
  <c r="I534" i="4"/>
  <c r="C535" i="4"/>
  <c r="B535" i="4"/>
  <c r="H535" i="4"/>
  <c r="D535" i="4"/>
  <c r="I535" i="4"/>
  <c r="C536" i="4"/>
  <c r="B536" i="4"/>
  <c r="H536" i="4"/>
  <c r="D536" i="4"/>
  <c r="I536" i="4"/>
  <c r="C537" i="4"/>
  <c r="B537" i="4"/>
  <c r="H537" i="4"/>
  <c r="D537" i="4"/>
  <c r="I537" i="4"/>
  <c r="C538" i="4"/>
  <c r="B538" i="4"/>
  <c r="H538" i="4"/>
  <c r="D538" i="4"/>
  <c r="I538" i="4"/>
  <c r="C539" i="4"/>
  <c r="B539" i="4"/>
  <c r="H539" i="4"/>
  <c r="D539" i="4"/>
  <c r="I539" i="4"/>
  <c r="C540" i="4"/>
  <c r="B540" i="4"/>
  <c r="H540" i="4"/>
  <c r="D540" i="4"/>
  <c r="I540" i="4"/>
  <c r="C541" i="4"/>
  <c r="B541" i="4"/>
  <c r="H541" i="4"/>
  <c r="D541" i="4"/>
  <c r="I541" i="4"/>
  <c r="C542" i="4"/>
  <c r="B542" i="4"/>
  <c r="H542" i="4"/>
  <c r="D542" i="4"/>
  <c r="I542" i="4"/>
  <c r="C543" i="4"/>
  <c r="B543" i="4"/>
  <c r="H543" i="4"/>
  <c r="D543" i="4"/>
  <c r="I543" i="4"/>
  <c r="C544" i="4"/>
  <c r="B544" i="4"/>
  <c r="H544" i="4"/>
  <c r="D544" i="4"/>
  <c r="I544" i="4"/>
  <c r="C545" i="4"/>
  <c r="B545" i="4"/>
  <c r="H545" i="4"/>
  <c r="D545" i="4"/>
  <c r="I545" i="4"/>
  <c r="C546" i="4"/>
  <c r="B546" i="4"/>
  <c r="H546" i="4"/>
  <c r="D546" i="4"/>
  <c r="I546" i="4"/>
  <c r="C547" i="4"/>
  <c r="B547" i="4"/>
  <c r="H547" i="4"/>
  <c r="D547" i="4"/>
  <c r="I547" i="4"/>
  <c r="C548" i="4"/>
  <c r="B548" i="4"/>
  <c r="H548" i="4"/>
  <c r="D548" i="4"/>
  <c r="I548" i="4"/>
  <c r="C549" i="4"/>
  <c r="B549" i="4"/>
  <c r="H549" i="4"/>
  <c r="D549" i="4"/>
  <c r="I549" i="4"/>
  <c r="C550" i="4"/>
  <c r="B550" i="4"/>
  <c r="H550" i="4"/>
  <c r="D550" i="4"/>
  <c r="I550" i="4"/>
  <c r="C551" i="4"/>
  <c r="B551" i="4"/>
  <c r="H551" i="4"/>
  <c r="D551" i="4"/>
  <c r="I551" i="4"/>
  <c r="C552" i="4"/>
  <c r="B552" i="4"/>
  <c r="H552" i="4"/>
  <c r="D552" i="4"/>
  <c r="I552" i="4"/>
  <c r="C553" i="4"/>
  <c r="B553" i="4"/>
  <c r="H553" i="4"/>
  <c r="D553" i="4"/>
  <c r="I553" i="4"/>
  <c r="C554" i="4"/>
  <c r="B554" i="4"/>
  <c r="H554" i="4"/>
  <c r="D554" i="4"/>
  <c r="I554" i="4"/>
  <c r="C555" i="4"/>
  <c r="B555" i="4"/>
  <c r="H555" i="4"/>
  <c r="D555" i="4"/>
  <c r="I555" i="4"/>
  <c r="C556" i="4"/>
  <c r="B556" i="4"/>
  <c r="H556" i="4"/>
  <c r="D556" i="4"/>
  <c r="I556" i="4"/>
  <c r="C557" i="4"/>
  <c r="B557" i="4"/>
  <c r="H557" i="4"/>
  <c r="D557" i="4"/>
  <c r="I557" i="4"/>
  <c r="C558" i="4"/>
  <c r="B558" i="4"/>
  <c r="H558" i="4"/>
  <c r="D558" i="4"/>
  <c r="I558" i="4"/>
  <c r="C559" i="4"/>
  <c r="B559" i="4"/>
  <c r="H559" i="4"/>
  <c r="D559" i="4"/>
  <c r="I559" i="4"/>
  <c r="C560" i="4"/>
  <c r="B560" i="4"/>
  <c r="H560" i="4"/>
  <c r="D560" i="4"/>
  <c r="I560" i="4"/>
  <c r="C561" i="4"/>
  <c r="B561" i="4"/>
  <c r="H561" i="4"/>
  <c r="D561" i="4"/>
  <c r="I561" i="4"/>
  <c r="C562" i="4"/>
  <c r="B562" i="4"/>
  <c r="H562" i="4"/>
  <c r="D562" i="4"/>
  <c r="I562" i="4"/>
  <c r="C563" i="4"/>
  <c r="B563" i="4"/>
  <c r="H563" i="4"/>
  <c r="D563" i="4"/>
  <c r="I563" i="4"/>
  <c r="C564" i="4"/>
  <c r="B564" i="4"/>
  <c r="H564" i="4"/>
  <c r="D564" i="4"/>
  <c r="I564" i="4"/>
  <c r="C565" i="4"/>
  <c r="B565" i="4"/>
  <c r="H565" i="4"/>
  <c r="D565" i="4"/>
  <c r="I565" i="4"/>
  <c r="C566" i="4"/>
  <c r="B566" i="4"/>
  <c r="H566" i="4"/>
  <c r="D566" i="4"/>
  <c r="I566" i="4"/>
  <c r="C567" i="4"/>
  <c r="B567" i="4"/>
  <c r="H567" i="4"/>
  <c r="D567" i="4"/>
  <c r="I567" i="4"/>
  <c r="C568" i="4"/>
  <c r="B568" i="4"/>
  <c r="H568" i="4"/>
  <c r="D568" i="4"/>
  <c r="I568" i="4"/>
  <c r="C569" i="4"/>
  <c r="B569" i="4"/>
  <c r="H569" i="4"/>
  <c r="D569" i="4"/>
  <c r="I569" i="4"/>
  <c r="C570" i="4"/>
  <c r="B570" i="4"/>
  <c r="H570" i="4"/>
  <c r="D570" i="4"/>
  <c r="I570" i="4"/>
  <c r="C571" i="4"/>
  <c r="B571" i="4"/>
  <c r="H571" i="4"/>
  <c r="D571" i="4"/>
  <c r="I571" i="4"/>
  <c r="C572" i="4"/>
  <c r="B572" i="4"/>
  <c r="H572" i="4"/>
  <c r="D572" i="4"/>
  <c r="I572" i="4"/>
  <c r="C573" i="4"/>
  <c r="B573" i="4"/>
  <c r="H573" i="4"/>
  <c r="D573" i="4"/>
  <c r="I573" i="4"/>
  <c r="C574" i="4"/>
  <c r="B574" i="4"/>
  <c r="H574" i="4"/>
  <c r="D574" i="4"/>
  <c r="I574" i="4"/>
  <c r="C575" i="4"/>
  <c r="B575" i="4"/>
  <c r="H575" i="4"/>
  <c r="D575" i="4"/>
  <c r="I575" i="4"/>
  <c r="C576" i="4"/>
  <c r="B576" i="4"/>
  <c r="H576" i="4"/>
  <c r="D576" i="4"/>
  <c r="I576" i="4"/>
  <c r="C577" i="4"/>
  <c r="B577" i="4"/>
  <c r="H577" i="4"/>
  <c r="D577" i="4"/>
  <c r="I577" i="4"/>
  <c r="C578" i="4"/>
  <c r="B578" i="4"/>
  <c r="H578" i="4"/>
  <c r="D578" i="4"/>
  <c r="I578" i="4"/>
  <c r="C579" i="4"/>
  <c r="B579" i="4"/>
  <c r="H579" i="4"/>
  <c r="D579" i="4"/>
  <c r="I579" i="4"/>
  <c r="C580" i="4"/>
  <c r="B580" i="4"/>
  <c r="H580" i="4"/>
  <c r="D580" i="4"/>
  <c r="I580" i="4"/>
  <c r="C581" i="4"/>
  <c r="B581" i="4"/>
  <c r="H581" i="4"/>
  <c r="D581" i="4"/>
  <c r="I581" i="4"/>
  <c r="C582" i="4"/>
  <c r="B582" i="4"/>
  <c r="H582" i="4"/>
  <c r="D582" i="4"/>
  <c r="I582" i="4"/>
  <c r="C583" i="4"/>
  <c r="B583" i="4"/>
  <c r="H583" i="4"/>
  <c r="D583" i="4"/>
  <c r="I583" i="4"/>
  <c r="C584" i="4"/>
  <c r="B584" i="4"/>
  <c r="H584" i="4"/>
  <c r="D584" i="4"/>
  <c r="I584" i="4"/>
  <c r="C585" i="4"/>
  <c r="B585" i="4"/>
  <c r="H585" i="4"/>
  <c r="D585" i="4"/>
  <c r="I585" i="4"/>
  <c r="C586" i="4"/>
  <c r="B586" i="4"/>
  <c r="H586" i="4"/>
  <c r="D586" i="4"/>
  <c r="I586" i="4"/>
  <c r="C587" i="4"/>
  <c r="B587" i="4"/>
  <c r="H587" i="4"/>
  <c r="D587" i="4"/>
  <c r="I587" i="4"/>
  <c r="C588" i="4"/>
  <c r="B588" i="4"/>
  <c r="H588" i="4"/>
  <c r="D588" i="4"/>
  <c r="I588" i="4"/>
  <c r="C589" i="4"/>
  <c r="B589" i="4"/>
  <c r="H589" i="4"/>
  <c r="D589" i="4"/>
  <c r="I589" i="4"/>
  <c r="C590" i="4"/>
  <c r="B590" i="4"/>
  <c r="H590" i="4"/>
  <c r="D590" i="4"/>
  <c r="I590" i="4"/>
  <c r="C591" i="4"/>
  <c r="B591" i="4"/>
  <c r="H591" i="4"/>
  <c r="D591" i="4"/>
  <c r="I591" i="4"/>
  <c r="C592" i="4"/>
  <c r="B592" i="4"/>
  <c r="H592" i="4"/>
  <c r="D592" i="4"/>
  <c r="I592" i="4"/>
  <c r="C593" i="4"/>
  <c r="B593" i="4"/>
  <c r="H593" i="4"/>
  <c r="D593" i="4"/>
  <c r="I593" i="4"/>
  <c r="C594" i="4"/>
  <c r="B594" i="4"/>
  <c r="H594" i="4"/>
  <c r="D594" i="4"/>
  <c r="I594" i="4"/>
  <c r="C595" i="4"/>
  <c r="B595" i="4"/>
  <c r="H595" i="4"/>
  <c r="D595" i="4"/>
  <c r="I595" i="4"/>
  <c r="C596" i="4"/>
  <c r="B596" i="4"/>
  <c r="H596" i="4"/>
  <c r="D596" i="4"/>
  <c r="I596" i="4"/>
  <c r="C597" i="4"/>
  <c r="B597" i="4"/>
  <c r="H597" i="4"/>
  <c r="D597" i="4"/>
  <c r="I597" i="4"/>
  <c r="C598" i="4"/>
  <c r="B598" i="4"/>
  <c r="H598" i="4"/>
  <c r="D598" i="4"/>
  <c r="I598" i="4"/>
  <c r="C599" i="4"/>
  <c r="B599" i="4"/>
  <c r="H599" i="4"/>
  <c r="D599" i="4"/>
  <c r="I599" i="4"/>
  <c r="C600" i="4"/>
  <c r="B600" i="4"/>
  <c r="H600" i="4"/>
  <c r="D600" i="4"/>
  <c r="I600" i="4"/>
  <c r="C601" i="4"/>
  <c r="B601" i="4"/>
  <c r="H601" i="4"/>
  <c r="D601" i="4"/>
  <c r="I601" i="4"/>
  <c r="C602" i="4"/>
  <c r="B602" i="4"/>
  <c r="H602" i="4"/>
  <c r="D602" i="4"/>
  <c r="I602" i="4"/>
  <c r="C603" i="4"/>
  <c r="B603" i="4"/>
  <c r="H603" i="4"/>
  <c r="D603" i="4"/>
  <c r="I603" i="4"/>
  <c r="C604" i="4"/>
  <c r="B604" i="4"/>
  <c r="H604" i="4"/>
  <c r="D604" i="4"/>
  <c r="I604" i="4"/>
  <c r="C605" i="4"/>
  <c r="B605" i="4"/>
  <c r="H605" i="4"/>
  <c r="D605" i="4"/>
  <c r="I605" i="4"/>
  <c r="C606" i="4"/>
  <c r="B606" i="4"/>
  <c r="H606" i="4"/>
  <c r="D606" i="4"/>
  <c r="I606" i="4"/>
  <c r="C607" i="4"/>
  <c r="B607" i="4"/>
  <c r="H607" i="4"/>
  <c r="D607" i="4"/>
  <c r="I607" i="4"/>
  <c r="C608" i="4"/>
  <c r="B608" i="4"/>
  <c r="H608" i="4"/>
  <c r="D608" i="4"/>
  <c r="I608" i="4"/>
  <c r="C609" i="4"/>
  <c r="B609" i="4"/>
  <c r="H609" i="4"/>
  <c r="D609" i="4"/>
  <c r="I609" i="4"/>
  <c r="C610" i="4"/>
  <c r="B610" i="4"/>
  <c r="H610" i="4"/>
  <c r="D610" i="4"/>
  <c r="I610" i="4"/>
  <c r="C611" i="4"/>
  <c r="B611" i="4"/>
  <c r="H611" i="4"/>
  <c r="D611" i="4"/>
  <c r="I611" i="4"/>
  <c r="C612" i="4"/>
  <c r="B612" i="4"/>
  <c r="H612" i="4"/>
  <c r="D612" i="4"/>
  <c r="I612" i="4"/>
  <c r="C613" i="4"/>
  <c r="B613" i="4"/>
  <c r="H613" i="4"/>
  <c r="D613" i="4"/>
  <c r="I613" i="4"/>
  <c r="C614" i="4"/>
  <c r="B614" i="4"/>
  <c r="H614" i="4"/>
  <c r="D614" i="4"/>
  <c r="I614" i="4"/>
  <c r="C615" i="4"/>
  <c r="B615" i="4"/>
  <c r="H615" i="4"/>
  <c r="D615" i="4"/>
  <c r="I615" i="4"/>
  <c r="C616" i="4"/>
  <c r="B616" i="4"/>
  <c r="H616" i="4"/>
  <c r="D616" i="4"/>
  <c r="I616" i="4"/>
  <c r="C617" i="4"/>
  <c r="B617" i="4"/>
  <c r="H617" i="4"/>
  <c r="D617" i="4"/>
  <c r="I617" i="4"/>
  <c r="C618" i="4"/>
  <c r="B618" i="4"/>
  <c r="H618" i="4"/>
  <c r="D618" i="4"/>
  <c r="I618" i="4"/>
  <c r="C619" i="4"/>
  <c r="B619" i="4"/>
  <c r="H619" i="4"/>
  <c r="D619" i="4"/>
  <c r="I619" i="4"/>
  <c r="C620" i="4"/>
  <c r="B620" i="4"/>
  <c r="H620" i="4"/>
  <c r="D620" i="4"/>
  <c r="I620" i="4"/>
  <c r="C621" i="4"/>
  <c r="B621" i="4"/>
  <c r="H621" i="4"/>
  <c r="D621" i="4"/>
  <c r="I621" i="4"/>
  <c r="C622" i="4"/>
  <c r="B622" i="4"/>
  <c r="H622" i="4"/>
  <c r="D622" i="4"/>
  <c r="I622" i="4"/>
  <c r="C623" i="4"/>
  <c r="B623" i="4"/>
  <c r="H623" i="4"/>
  <c r="D623" i="4"/>
  <c r="I623" i="4"/>
  <c r="C624" i="4"/>
  <c r="B624" i="4"/>
  <c r="H624" i="4"/>
  <c r="D624" i="4"/>
  <c r="I624" i="4"/>
  <c r="C625" i="4"/>
  <c r="B625" i="4"/>
  <c r="H625" i="4"/>
  <c r="D625" i="4"/>
  <c r="I625" i="4"/>
  <c r="C626" i="4"/>
  <c r="B626" i="4"/>
  <c r="H626" i="4"/>
  <c r="D626" i="4"/>
  <c r="I626" i="4"/>
  <c r="C627" i="4"/>
  <c r="B627" i="4"/>
  <c r="H627" i="4"/>
  <c r="D627" i="4"/>
  <c r="I627" i="4"/>
  <c r="C628" i="4"/>
  <c r="B628" i="4"/>
  <c r="H628" i="4"/>
  <c r="D628" i="4"/>
  <c r="I628" i="4"/>
  <c r="C629" i="4"/>
  <c r="B629" i="4"/>
  <c r="H629" i="4"/>
  <c r="D629" i="4"/>
  <c r="I629" i="4"/>
  <c r="C630" i="4"/>
  <c r="B630" i="4"/>
  <c r="H630" i="4"/>
  <c r="D630" i="4"/>
  <c r="I630" i="4"/>
  <c r="C631" i="4"/>
  <c r="B631" i="4"/>
  <c r="H631" i="4"/>
  <c r="D631" i="4"/>
  <c r="I631" i="4"/>
  <c r="C632" i="4"/>
  <c r="B632" i="4"/>
  <c r="H632" i="4"/>
  <c r="D632" i="4"/>
  <c r="I632" i="4"/>
  <c r="C633" i="4"/>
  <c r="B633" i="4"/>
  <c r="H633" i="4"/>
  <c r="D633" i="4"/>
  <c r="I633" i="4"/>
  <c r="C634" i="4"/>
  <c r="B634" i="4"/>
  <c r="H634" i="4"/>
  <c r="D634" i="4"/>
  <c r="I634" i="4"/>
  <c r="C635" i="4"/>
  <c r="B635" i="4"/>
  <c r="H635" i="4"/>
  <c r="D635" i="4"/>
  <c r="I635" i="4"/>
  <c r="C636" i="4"/>
  <c r="B636" i="4"/>
  <c r="H636" i="4"/>
  <c r="D636" i="4"/>
  <c r="I636" i="4"/>
  <c r="C637" i="4"/>
  <c r="B637" i="4"/>
  <c r="H637" i="4"/>
  <c r="D637" i="4"/>
  <c r="I637" i="4"/>
  <c r="C638" i="4"/>
  <c r="B638" i="4"/>
  <c r="H638" i="4"/>
  <c r="D638" i="4"/>
  <c r="I638" i="4"/>
  <c r="C639" i="4"/>
  <c r="B639" i="4"/>
  <c r="H639" i="4"/>
  <c r="D639" i="4"/>
  <c r="I639" i="4"/>
  <c r="C640" i="4"/>
  <c r="B640" i="4"/>
  <c r="H640" i="4"/>
  <c r="D640" i="4"/>
  <c r="I640" i="4"/>
  <c r="C641" i="4"/>
  <c r="B641" i="4"/>
  <c r="H641" i="4"/>
  <c r="D641" i="4"/>
  <c r="I641" i="4"/>
  <c r="C642" i="4"/>
  <c r="B642" i="4"/>
  <c r="H642" i="4"/>
  <c r="D642" i="4"/>
  <c r="I642" i="4"/>
  <c r="C643" i="4"/>
  <c r="B643" i="4"/>
  <c r="H643" i="4"/>
  <c r="D643" i="4"/>
  <c r="I643" i="4"/>
  <c r="C644" i="4"/>
  <c r="B644" i="4"/>
  <c r="H644" i="4"/>
  <c r="D644" i="4"/>
  <c r="I644" i="4"/>
  <c r="C645" i="4"/>
  <c r="B645" i="4"/>
  <c r="H645" i="4"/>
  <c r="D645" i="4"/>
  <c r="I645" i="4"/>
  <c r="C646" i="4"/>
  <c r="B646" i="4"/>
  <c r="H646" i="4"/>
  <c r="D646" i="4"/>
  <c r="I646" i="4"/>
  <c r="C647" i="4"/>
  <c r="B647" i="4"/>
  <c r="H647" i="4"/>
  <c r="D647" i="4"/>
  <c r="I647" i="4"/>
  <c r="C648" i="4"/>
  <c r="B648" i="4"/>
  <c r="H648" i="4"/>
  <c r="D648" i="4"/>
  <c r="I648" i="4"/>
  <c r="C649" i="4"/>
  <c r="B649" i="4"/>
  <c r="H649" i="4"/>
  <c r="D649" i="4"/>
  <c r="I649" i="4"/>
  <c r="C650" i="4"/>
  <c r="B650" i="4"/>
  <c r="H650" i="4"/>
  <c r="D650" i="4"/>
  <c r="I650" i="4"/>
  <c r="C651" i="4"/>
  <c r="B651" i="4"/>
  <c r="H651" i="4"/>
  <c r="D651" i="4"/>
  <c r="I651" i="4"/>
  <c r="C652" i="4"/>
  <c r="B652" i="4"/>
  <c r="H652" i="4"/>
  <c r="D652" i="4"/>
  <c r="I652" i="4"/>
  <c r="C653" i="4"/>
  <c r="B653" i="4"/>
  <c r="H653" i="4"/>
  <c r="D653" i="4"/>
  <c r="I653" i="4"/>
  <c r="C654" i="4"/>
  <c r="B654" i="4"/>
  <c r="H654" i="4"/>
  <c r="D654" i="4"/>
  <c r="I654" i="4"/>
  <c r="C655" i="4"/>
  <c r="B655" i="4"/>
  <c r="H655" i="4"/>
  <c r="D655" i="4"/>
  <c r="I655" i="4"/>
  <c r="C656" i="4"/>
  <c r="B656" i="4"/>
  <c r="H656" i="4"/>
  <c r="D656" i="4"/>
  <c r="I656" i="4"/>
  <c r="C657" i="4"/>
  <c r="B657" i="4"/>
  <c r="H657" i="4"/>
  <c r="D657" i="4"/>
  <c r="I657" i="4"/>
  <c r="C658" i="4"/>
  <c r="B658" i="4"/>
  <c r="H658" i="4"/>
  <c r="D658" i="4"/>
  <c r="I658" i="4"/>
  <c r="C659" i="4"/>
  <c r="B659" i="4"/>
  <c r="H659" i="4"/>
  <c r="D659" i="4"/>
  <c r="I659" i="4"/>
  <c r="C660" i="4"/>
  <c r="B660" i="4"/>
  <c r="H660" i="4"/>
  <c r="D660" i="4"/>
  <c r="I660" i="4"/>
  <c r="C661" i="4"/>
  <c r="B661" i="4"/>
  <c r="H661" i="4"/>
  <c r="D661" i="4"/>
  <c r="I661" i="4"/>
  <c r="C662" i="4"/>
  <c r="B662" i="4"/>
  <c r="H662" i="4"/>
  <c r="D662" i="4"/>
  <c r="I662" i="4"/>
  <c r="C663" i="4"/>
  <c r="B663" i="4"/>
  <c r="H663" i="4"/>
  <c r="D663" i="4"/>
  <c r="I663" i="4"/>
  <c r="C664" i="4"/>
  <c r="B664" i="4"/>
  <c r="H664" i="4"/>
  <c r="D664" i="4"/>
  <c r="I664" i="4"/>
  <c r="C665" i="4"/>
  <c r="B665" i="4"/>
  <c r="H665" i="4"/>
  <c r="D665" i="4"/>
  <c r="I665" i="4"/>
  <c r="C666" i="4"/>
  <c r="B666" i="4"/>
  <c r="H666" i="4"/>
  <c r="D666" i="4"/>
  <c r="I666" i="4"/>
  <c r="C667" i="4"/>
  <c r="B667" i="4"/>
  <c r="H667" i="4"/>
  <c r="D667" i="4"/>
  <c r="I667" i="4"/>
  <c r="C668" i="4"/>
  <c r="B668" i="4"/>
  <c r="H668" i="4"/>
  <c r="D668" i="4"/>
  <c r="I668" i="4"/>
  <c r="C669" i="4"/>
  <c r="B669" i="4"/>
  <c r="H669" i="4"/>
  <c r="D669" i="4"/>
  <c r="I669" i="4"/>
  <c r="C670" i="4"/>
  <c r="B670" i="4"/>
  <c r="H670" i="4"/>
  <c r="D670" i="4"/>
  <c r="I670" i="4"/>
  <c r="C671" i="4"/>
  <c r="B671" i="4"/>
  <c r="H671" i="4"/>
  <c r="D671" i="4"/>
  <c r="I671" i="4"/>
  <c r="C672" i="4"/>
  <c r="B672" i="4"/>
  <c r="H672" i="4"/>
  <c r="D672" i="4"/>
  <c r="I672" i="4"/>
  <c r="C673" i="4"/>
  <c r="B673" i="4"/>
  <c r="H673" i="4"/>
  <c r="D673" i="4"/>
  <c r="I673" i="4"/>
  <c r="C674" i="4"/>
  <c r="B674" i="4"/>
  <c r="H674" i="4"/>
  <c r="D674" i="4"/>
  <c r="I674" i="4"/>
  <c r="C675" i="4"/>
  <c r="B675" i="4"/>
  <c r="H675" i="4"/>
  <c r="D675" i="4"/>
  <c r="I675" i="4"/>
  <c r="C676" i="4"/>
  <c r="B676" i="4"/>
  <c r="H676" i="4"/>
  <c r="D676" i="4"/>
  <c r="I676" i="4"/>
  <c r="C677" i="4"/>
  <c r="B677" i="4"/>
  <c r="H677" i="4"/>
  <c r="D677" i="4"/>
  <c r="I677" i="4"/>
  <c r="C678" i="4"/>
  <c r="B678" i="4"/>
  <c r="H678" i="4"/>
  <c r="D678" i="4"/>
  <c r="I678" i="4"/>
  <c r="C679" i="4"/>
  <c r="B679" i="4"/>
  <c r="H679" i="4"/>
  <c r="D679" i="4"/>
  <c r="I679" i="4"/>
  <c r="C680" i="4"/>
  <c r="B680" i="4"/>
  <c r="H680" i="4"/>
  <c r="D680" i="4"/>
  <c r="I680" i="4"/>
  <c r="C681" i="4"/>
  <c r="B681" i="4"/>
  <c r="H681" i="4"/>
  <c r="D681" i="4"/>
  <c r="I681" i="4"/>
  <c r="C682" i="4"/>
  <c r="B682" i="4"/>
  <c r="H682" i="4"/>
  <c r="D682" i="4"/>
  <c r="I682" i="4"/>
  <c r="C683" i="4"/>
  <c r="B683" i="4"/>
  <c r="H683" i="4"/>
  <c r="D683" i="4"/>
  <c r="I683" i="4"/>
  <c r="C684" i="4"/>
  <c r="B684" i="4"/>
  <c r="H684" i="4"/>
  <c r="D684" i="4"/>
  <c r="I684" i="4"/>
  <c r="C685" i="4"/>
  <c r="B685" i="4"/>
  <c r="H685" i="4"/>
  <c r="D685" i="4"/>
  <c r="I685" i="4"/>
  <c r="C686" i="4"/>
  <c r="B686" i="4"/>
  <c r="H686" i="4"/>
  <c r="D686" i="4"/>
  <c r="I686" i="4"/>
  <c r="C687" i="4"/>
  <c r="B687" i="4"/>
  <c r="H687" i="4"/>
  <c r="D687" i="4"/>
  <c r="I687" i="4"/>
  <c r="C688" i="4"/>
  <c r="B688" i="4"/>
  <c r="H688" i="4"/>
  <c r="D688" i="4"/>
  <c r="I688" i="4"/>
  <c r="C689" i="4"/>
  <c r="B689" i="4"/>
  <c r="H689" i="4"/>
  <c r="D689" i="4"/>
  <c r="I689" i="4"/>
  <c r="C690" i="4"/>
  <c r="B690" i="4"/>
  <c r="H690" i="4"/>
  <c r="D690" i="4"/>
  <c r="I690" i="4"/>
  <c r="C691" i="4"/>
  <c r="B691" i="4"/>
  <c r="H691" i="4"/>
  <c r="D691" i="4"/>
  <c r="I691" i="4"/>
  <c r="C692" i="4"/>
  <c r="B692" i="4"/>
  <c r="H692" i="4"/>
  <c r="D692" i="4"/>
  <c r="I692" i="4"/>
  <c r="C693" i="4"/>
  <c r="B693" i="4"/>
  <c r="H693" i="4"/>
  <c r="D693" i="4"/>
  <c r="I693" i="4"/>
  <c r="C694" i="4"/>
  <c r="B694" i="4"/>
  <c r="H694" i="4"/>
  <c r="D694" i="4"/>
  <c r="I694" i="4"/>
  <c r="C695" i="4"/>
  <c r="B695" i="4"/>
  <c r="H695" i="4"/>
  <c r="D695" i="4"/>
  <c r="I695" i="4"/>
  <c r="C696" i="4"/>
  <c r="B696" i="4"/>
  <c r="H696" i="4"/>
  <c r="D696" i="4"/>
  <c r="I696" i="4"/>
  <c r="C697" i="4"/>
  <c r="B697" i="4"/>
  <c r="H697" i="4"/>
  <c r="D697" i="4"/>
  <c r="I697" i="4"/>
  <c r="C698" i="4"/>
  <c r="B698" i="4"/>
  <c r="H698" i="4"/>
  <c r="D698" i="4"/>
  <c r="I698" i="4"/>
  <c r="C699" i="4"/>
  <c r="B699" i="4"/>
  <c r="H699" i="4"/>
  <c r="D699" i="4"/>
  <c r="I699" i="4"/>
  <c r="C700" i="4"/>
  <c r="B700" i="4"/>
  <c r="H700" i="4"/>
  <c r="D700" i="4"/>
  <c r="I700" i="4"/>
  <c r="C701" i="4"/>
  <c r="B701" i="4"/>
  <c r="H701" i="4"/>
  <c r="D701" i="4"/>
  <c r="I701" i="4"/>
  <c r="C702" i="4"/>
  <c r="B702" i="4"/>
  <c r="H702" i="4"/>
  <c r="D702" i="4"/>
  <c r="I702" i="4"/>
  <c r="C703" i="4"/>
  <c r="B703" i="4"/>
  <c r="H703" i="4"/>
  <c r="D703" i="4"/>
  <c r="I703" i="4"/>
  <c r="C704" i="4"/>
  <c r="B704" i="4"/>
  <c r="H704" i="4"/>
  <c r="D704" i="4"/>
  <c r="I704" i="4"/>
  <c r="C705" i="4"/>
  <c r="B705" i="4"/>
  <c r="H705" i="4"/>
  <c r="D705" i="4"/>
  <c r="I705" i="4"/>
  <c r="C706" i="4"/>
  <c r="B706" i="4"/>
  <c r="H706" i="4"/>
  <c r="D706" i="4"/>
  <c r="I706" i="4"/>
  <c r="C707" i="4"/>
  <c r="B707" i="4"/>
  <c r="H707" i="4"/>
  <c r="D707" i="4"/>
  <c r="I707" i="4"/>
  <c r="C708" i="4"/>
  <c r="B708" i="4"/>
  <c r="H708" i="4"/>
  <c r="D708" i="4"/>
  <c r="I708" i="4"/>
  <c r="C709" i="4"/>
  <c r="B709" i="4"/>
  <c r="H709" i="4"/>
  <c r="D709" i="4"/>
  <c r="I709" i="4"/>
  <c r="C710" i="4"/>
  <c r="B710" i="4"/>
  <c r="H710" i="4"/>
  <c r="D710" i="4"/>
  <c r="I710" i="4"/>
  <c r="C711" i="4"/>
  <c r="B711" i="4"/>
  <c r="H711" i="4"/>
  <c r="D711" i="4"/>
  <c r="I711" i="4"/>
  <c r="C712" i="4"/>
  <c r="B712" i="4"/>
  <c r="H712" i="4"/>
  <c r="D712" i="4"/>
  <c r="I712" i="4"/>
  <c r="C713" i="4"/>
  <c r="B713" i="4"/>
  <c r="H713" i="4"/>
  <c r="D713" i="4"/>
  <c r="I713" i="4"/>
  <c r="C714" i="4"/>
  <c r="B714" i="4"/>
  <c r="H714" i="4"/>
  <c r="D714" i="4"/>
  <c r="I714" i="4"/>
  <c r="C715" i="4"/>
  <c r="B715" i="4"/>
  <c r="H715" i="4"/>
  <c r="D715" i="4"/>
  <c r="I715" i="4"/>
  <c r="C716" i="4"/>
  <c r="B716" i="4"/>
  <c r="H716" i="4"/>
  <c r="D716" i="4"/>
  <c r="I716" i="4"/>
  <c r="C717" i="4"/>
  <c r="B717" i="4"/>
  <c r="H717" i="4"/>
  <c r="D717" i="4"/>
  <c r="I717" i="4"/>
  <c r="C718" i="4"/>
  <c r="B718" i="4"/>
  <c r="H718" i="4"/>
  <c r="D718" i="4"/>
  <c r="I718" i="4"/>
  <c r="C719" i="4"/>
  <c r="B719" i="4"/>
  <c r="H719" i="4"/>
  <c r="D719" i="4"/>
  <c r="I719" i="4"/>
  <c r="C720" i="4"/>
  <c r="B720" i="4"/>
  <c r="H720" i="4"/>
  <c r="D720" i="4"/>
  <c r="I720" i="4"/>
  <c r="C721" i="4"/>
  <c r="B721" i="4"/>
  <c r="H721" i="4"/>
  <c r="D721" i="4"/>
  <c r="I721" i="4"/>
  <c r="C722" i="4"/>
  <c r="B722" i="4"/>
  <c r="H722" i="4"/>
  <c r="D722" i="4"/>
  <c r="I722" i="4"/>
  <c r="C723" i="4"/>
  <c r="B723" i="4"/>
  <c r="H723" i="4"/>
  <c r="D723" i="4"/>
  <c r="I723" i="4"/>
  <c r="C724" i="4"/>
  <c r="B724" i="4"/>
  <c r="H724" i="4"/>
  <c r="D724" i="4"/>
  <c r="I724" i="4"/>
  <c r="C725" i="4"/>
  <c r="B725" i="4"/>
  <c r="H725" i="4"/>
  <c r="D725" i="4"/>
  <c r="I725" i="4"/>
  <c r="C726" i="4"/>
  <c r="B726" i="4"/>
  <c r="H726" i="4"/>
  <c r="D726" i="4"/>
  <c r="I726" i="4"/>
  <c r="C727" i="4"/>
  <c r="B727" i="4"/>
  <c r="H727" i="4"/>
  <c r="D727" i="4"/>
  <c r="I727" i="4"/>
  <c r="C728" i="4"/>
  <c r="B728" i="4"/>
  <c r="H728" i="4"/>
  <c r="D728" i="4"/>
  <c r="I728" i="4"/>
  <c r="C729" i="4"/>
  <c r="B729" i="4"/>
  <c r="H729" i="4"/>
  <c r="D729" i="4"/>
  <c r="I729" i="4"/>
  <c r="C730" i="4"/>
  <c r="B730" i="4"/>
  <c r="H730" i="4"/>
  <c r="D730" i="4"/>
  <c r="I730" i="4"/>
  <c r="C731" i="4"/>
  <c r="B731" i="4"/>
  <c r="H731" i="4"/>
  <c r="D731" i="4"/>
  <c r="I731" i="4"/>
  <c r="C732" i="4"/>
  <c r="B732" i="4"/>
  <c r="H732" i="4"/>
  <c r="D732" i="4"/>
  <c r="I732" i="4"/>
  <c r="C733" i="4"/>
  <c r="B733" i="4"/>
  <c r="H733" i="4"/>
  <c r="D733" i="4"/>
  <c r="I733" i="4"/>
  <c r="C734" i="4"/>
  <c r="B734" i="4"/>
  <c r="H734" i="4"/>
  <c r="D734" i="4"/>
  <c r="I734" i="4"/>
  <c r="C735" i="4"/>
  <c r="B735" i="4"/>
  <c r="H735" i="4"/>
  <c r="D735" i="4"/>
  <c r="I735" i="4"/>
  <c r="C736" i="4"/>
  <c r="B736" i="4"/>
  <c r="H736" i="4"/>
  <c r="D736" i="4"/>
  <c r="I736" i="4"/>
  <c r="C737" i="4"/>
  <c r="B737" i="4"/>
  <c r="H737" i="4"/>
  <c r="D737" i="4"/>
  <c r="I737" i="4"/>
  <c r="C738" i="4"/>
  <c r="B738" i="4"/>
  <c r="H738" i="4"/>
  <c r="D738" i="4"/>
  <c r="I738" i="4"/>
  <c r="C739" i="4"/>
  <c r="B739" i="4"/>
  <c r="H739" i="4"/>
  <c r="D739" i="4"/>
  <c r="I739" i="4"/>
  <c r="C740" i="4"/>
  <c r="B740" i="4"/>
  <c r="H740" i="4"/>
  <c r="D740" i="4"/>
  <c r="I740" i="4"/>
  <c r="C741" i="4"/>
  <c r="B741" i="4"/>
  <c r="H741" i="4"/>
  <c r="D741" i="4"/>
  <c r="I741" i="4"/>
  <c r="C742" i="4"/>
  <c r="B742" i="4"/>
  <c r="H742" i="4"/>
  <c r="D742" i="4"/>
  <c r="I742" i="4"/>
  <c r="C743" i="4"/>
  <c r="B743" i="4"/>
  <c r="H743" i="4"/>
  <c r="D743" i="4"/>
  <c r="I743" i="4"/>
  <c r="C744" i="4"/>
  <c r="B744" i="4"/>
  <c r="H744" i="4"/>
  <c r="D744" i="4"/>
  <c r="I744" i="4"/>
  <c r="C745" i="4"/>
  <c r="B745" i="4"/>
  <c r="H745" i="4"/>
  <c r="D745" i="4"/>
  <c r="I745" i="4"/>
  <c r="C746" i="4"/>
  <c r="B746" i="4"/>
  <c r="H746" i="4"/>
  <c r="D746" i="4"/>
  <c r="I746" i="4"/>
  <c r="C747" i="4"/>
  <c r="B747" i="4"/>
  <c r="H747" i="4"/>
  <c r="D747" i="4"/>
  <c r="I747" i="4"/>
  <c r="C748" i="4"/>
  <c r="B748" i="4"/>
  <c r="H748" i="4"/>
  <c r="D748" i="4"/>
  <c r="I748" i="4"/>
  <c r="C749" i="4"/>
  <c r="B749" i="4"/>
  <c r="H749" i="4"/>
  <c r="D749" i="4"/>
  <c r="I749" i="4"/>
  <c r="C750" i="4"/>
  <c r="B750" i="4"/>
  <c r="H750" i="4"/>
  <c r="D750" i="4"/>
  <c r="I750" i="4"/>
  <c r="C751" i="4"/>
  <c r="B751" i="4"/>
  <c r="H751" i="4"/>
  <c r="D751" i="4"/>
  <c r="I751" i="4"/>
  <c r="C752" i="4"/>
  <c r="B752" i="4"/>
  <c r="H752" i="4"/>
  <c r="D752" i="4"/>
  <c r="I752" i="4"/>
  <c r="C753" i="4"/>
  <c r="B753" i="4"/>
  <c r="H753" i="4"/>
  <c r="D753" i="4"/>
  <c r="I753" i="4"/>
  <c r="C754" i="4"/>
  <c r="B754" i="4"/>
  <c r="H754" i="4"/>
  <c r="D754" i="4"/>
  <c r="I754" i="4"/>
  <c r="C755" i="4"/>
  <c r="B755" i="4"/>
  <c r="H755" i="4"/>
  <c r="D755" i="4"/>
  <c r="I755" i="4"/>
  <c r="C756" i="4"/>
  <c r="B756" i="4"/>
  <c r="H756" i="4"/>
  <c r="D756" i="4"/>
  <c r="I756" i="4"/>
  <c r="C757" i="4"/>
  <c r="B757" i="4"/>
  <c r="H757" i="4"/>
  <c r="D757" i="4"/>
  <c r="I757" i="4"/>
  <c r="C758" i="4"/>
  <c r="B758" i="4"/>
  <c r="H758" i="4"/>
  <c r="D758" i="4"/>
  <c r="I758" i="4"/>
  <c r="C759" i="4"/>
  <c r="B759" i="4"/>
  <c r="H759" i="4"/>
  <c r="D759" i="4"/>
  <c r="I759" i="4"/>
  <c r="C760" i="4"/>
  <c r="B760" i="4"/>
  <c r="H760" i="4"/>
  <c r="D760" i="4"/>
  <c r="I760" i="4"/>
  <c r="C761" i="4"/>
  <c r="B761" i="4"/>
  <c r="H761" i="4"/>
  <c r="D761" i="4"/>
  <c r="I761" i="4"/>
  <c r="C762" i="4"/>
  <c r="B762" i="4"/>
  <c r="H762" i="4"/>
  <c r="D762" i="4"/>
  <c r="I762" i="4"/>
  <c r="C763" i="4"/>
  <c r="B763" i="4"/>
  <c r="H763" i="4"/>
  <c r="D763" i="4"/>
  <c r="I763" i="4"/>
  <c r="C764" i="4"/>
  <c r="B764" i="4"/>
  <c r="H764" i="4"/>
  <c r="D764" i="4"/>
  <c r="I764" i="4"/>
  <c r="C765" i="4"/>
  <c r="B765" i="4"/>
  <c r="H765" i="4"/>
  <c r="D765" i="4"/>
  <c r="I765" i="4"/>
  <c r="C766" i="4"/>
  <c r="B766" i="4"/>
  <c r="H766" i="4"/>
  <c r="D766" i="4"/>
  <c r="I766" i="4"/>
  <c r="C767" i="4"/>
  <c r="B767" i="4"/>
  <c r="H767" i="4"/>
  <c r="D767" i="4"/>
  <c r="I767" i="4"/>
  <c r="C768" i="4"/>
  <c r="B768" i="4"/>
  <c r="H768" i="4"/>
  <c r="D768" i="4"/>
  <c r="I768" i="4"/>
  <c r="C769" i="4"/>
  <c r="B769" i="4"/>
  <c r="H769" i="4"/>
  <c r="D769" i="4"/>
  <c r="I769" i="4"/>
  <c r="C770" i="4"/>
  <c r="B770" i="4"/>
  <c r="H770" i="4"/>
  <c r="D770" i="4"/>
  <c r="I770" i="4"/>
  <c r="C771" i="4"/>
  <c r="B771" i="4"/>
  <c r="H771" i="4"/>
  <c r="D771" i="4"/>
  <c r="I771" i="4"/>
  <c r="C772" i="4"/>
  <c r="B772" i="4"/>
  <c r="H772" i="4"/>
  <c r="D772" i="4"/>
  <c r="I772" i="4"/>
  <c r="C773" i="4"/>
  <c r="B773" i="4"/>
  <c r="H773" i="4"/>
  <c r="D773" i="4"/>
  <c r="I773" i="4"/>
  <c r="C774" i="4"/>
  <c r="B774" i="4"/>
  <c r="H774" i="4"/>
  <c r="D774" i="4"/>
  <c r="I774" i="4"/>
  <c r="C775" i="4"/>
  <c r="B775" i="4"/>
  <c r="H775" i="4"/>
  <c r="D775" i="4"/>
  <c r="I775" i="4"/>
  <c r="C776" i="4"/>
  <c r="B776" i="4"/>
  <c r="H776" i="4"/>
  <c r="D776" i="4"/>
  <c r="I776" i="4"/>
  <c r="C777" i="4"/>
  <c r="B777" i="4"/>
  <c r="H777" i="4"/>
  <c r="D777" i="4"/>
  <c r="I777" i="4"/>
  <c r="C778" i="4"/>
  <c r="B778" i="4"/>
  <c r="H778" i="4"/>
  <c r="D778" i="4"/>
  <c r="I778" i="4"/>
  <c r="C779" i="4"/>
  <c r="B779" i="4"/>
  <c r="H779" i="4"/>
  <c r="D779" i="4"/>
  <c r="I779" i="4"/>
  <c r="C780" i="4"/>
  <c r="B780" i="4"/>
  <c r="H780" i="4"/>
  <c r="D780" i="4"/>
  <c r="I780" i="4"/>
  <c r="C781" i="4"/>
  <c r="B781" i="4"/>
  <c r="H781" i="4"/>
  <c r="D781" i="4"/>
  <c r="I781" i="4"/>
  <c r="C782" i="4"/>
  <c r="B782" i="4"/>
  <c r="H782" i="4"/>
  <c r="D782" i="4"/>
  <c r="I782" i="4"/>
  <c r="C783" i="4"/>
  <c r="B783" i="4"/>
  <c r="H783" i="4"/>
  <c r="D783" i="4"/>
  <c r="I783" i="4"/>
  <c r="C784" i="4"/>
  <c r="B784" i="4"/>
  <c r="H784" i="4"/>
  <c r="D784" i="4"/>
  <c r="I784" i="4"/>
  <c r="C785" i="4"/>
  <c r="B785" i="4"/>
  <c r="H785" i="4"/>
  <c r="D785" i="4"/>
  <c r="I785" i="4"/>
  <c r="C786" i="4"/>
  <c r="B786" i="4"/>
  <c r="H786" i="4"/>
  <c r="D786" i="4"/>
  <c r="I786" i="4"/>
  <c r="C787" i="4"/>
  <c r="B787" i="4"/>
  <c r="H787" i="4"/>
  <c r="D787" i="4"/>
  <c r="I787" i="4"/>
  <c r="C788" i="4"/>
  <c r="B788" i="4"/>
  <c r="H788" i="4"/>
  <c r="D788" i="4"/>
  <c r="I788" i="4"/>
  <c r="C789" i="4"/>
  <c r="B789" i="4"/>
  <c r="H789" i="4"/>
  <c r="D789" i="4"/>
  <c r="I789" i="4"/>
  <c r="C790" i="4"/>
  <c r="B790" i="4"/>
  <c r="H790" i="4"/>
  <c r="D790" i="4"/>
  <c r="I790" i="4"/>
  <c r="C791" i="4"/>
  <c r="B791" i="4"/>
  <c r="H791" i="4"/>
  <c r="D791" i="4"/>
  <c r="I791" i="4"/>
  <c r="C792" i="4"/>
  <c r="B792" i="4"/>
  <c r="H792" i="4"/>
  <c r="D792" i="4"/>
  <c r="I792" i="4"/>
  <c r="C793" i="4"/>
  <c r="B793" i="4"/>
  <c r="H793" i="4"/>
  <c r="D793" i="4"/>
  <c r="I793" i="4"/>
  <c r="C794" i="4"/>
  <c r="B794" i="4"/>
  <c r="H794" i="4"/>
  <c r="D794" i="4"/>
  <c r="I794" i="4"/>
  <c r="C795" i="4"/>
  <c r="B795" i="4"/>
  <c r="H795" i="4"/>
  <c r="D795" i="4"/>
  <c r="I795" i="4"/>
  <c r="C796" i="4"/>
  <c r="B796" i="4"/>
  <c r="H796" i="4"/>
  <c r="D796" i="4"/>
  <c r="I796" i="4"/>
  <c r="C797" i="4"/>
  <c r="B797" i="4"/>
  <c r="H797" i="4"/>
  <c r="D797" i="4"/>
  <c r="I797" i="4"/>
  <c r="C798" i="4"/>
  <c r="B798" i="4"/>
  <c r="H798" i="4"/>
  <c r="D798" i="4"/>
  <c r="I798" i="4"/>
  <c r="C799" i="4"/>
  <c r="B799" i="4"/>
  <c r="H799" i="4"/>
  <c r="D799" i="4"/>
  <c r="I799" i="4"/>
  <c r="C800" i="4"/>
  <c r="B800" i="4"/>
  <c r="H800" i="4"/>
  <c r="D800" i="4"/>
  <c r="I800" i="4"/>
  <c r="C801" i="4"/>
  <c r="B801" i="4"/>
  <c r="H801" i="4"/>
  <c r="D801" i="4"/>
  <c r="I801" i="4"/>
  <c r="C802" i="4"/>
  <c r="B802" i="4"/>
  <c r="H802" i="4"/>
  <c r="D802" i="4"/>
  <c r="I802" i="4"/>
  <c r="C803" i="4"/>
  <c r="B803" i="4"/>
  <c r="H803" i="4"/>
  <c r="D803" i="4"/>
  <c r="I803" i="4"/>
  <c r="C804" i="4"/>
  <c r="B804" i="4"/>
  <c r="H804" i="4"/>
  <c r="D804" i="4"/>
  <c r="I804" i="4"/>
  <c r="C805" i="4"/>
  <c r="B805" i="4"/>
  <c r="H805" i="4"/>
  <c r="D805" i="4"/>
  <c r="I805" i="4"/>
  <c r="C806" i="4"/>
  <c r="B806" i="4"/>
  <c r="H806" i="4"/>
  <c r="D806" i="4"/>
  <c r="I806" i="4"/>
  <c r="C807" i="4"/>
  <c r="B807" i="4"/>
  <c r="H807" i="4"/>
  <c r="D807" i="4"/>
  <c r="I807" i="4"/>
  <c r="C808" i="4"/>
  <c r="B808" i="4"/>
  <c r="H808" i="4"/>
  <c r="D808" i="4"/>
  <c r="I808" i="4"/>
  <c r="C809" i="4"/>
  <c r="B809" i="4"/>
  <c r="H809" i="4"/>
  <c r="D809" i="4"/>
  <c r="I809" i="4"/>
  <c r="C810" i="4"/>
  <c r="B810" i="4"/>
  <c r="H810" i="4"/>
  <c r="D810" i="4"/>
  <c r="I810" i="4"/>
  <c r="C811" i="4"/>
  <c r="B811" i="4"/>
  <c r="H811" i="4"/>
  <c r="D811" i="4"/>
  <c r="I811" i="4"/>
  <c r="C812" i="4"/>
  <c r="B812" i="4"/>
  <c r="H812" i="4"/>
  <c r="D812" i="4"/>
  <c r="I812" i="4"/>
  <c r="C813" i="4"/>
  <c r="B813" i="4"/>
  <c r="H813" i="4"/>
  <c r="D813" i="4"/>
  <c r="I813" i="4"/>
  <c r="C814" i="4"/>
  <c r="B814" i="4"/>
  <c r="H814" i="4"/>
  <c r="D814" i="4"/>
  <c r="I814" i="4"/>
  <c r="C815" i="4"/>
  <c r="B815" i="4"/>
  <c r="H815" i="4"/>
  <c r="D815" i="4"/>
  <c r="I815" i="4"/>
  <c r="C816" i="4"/>
  <c r="B816" i="4"/>
  <c r="H816" i="4"/>
  <c r="D816" i="4"/>
  <c r="I816" i="4"/>
  <c r="C817" i="4"/>
  <c r="B817" i="4"/>
  <c r="H817" i="4"/>
  <c r="D817" i="4"/>
  <c r="I817" i="4"/>
  <c r="C818" i="4"/>
  <c r="B818" i="4"/>
  <c r="H818" i="4"/>
  <c r="D818" i="4"/>
  <c r="I818" i="4"/>
  <c r="C819" i="4"/>
  <c r="B819" i="4"/>
  <c r="H819" i="4"/>
  <c r="D819" i="4"/>
  <c r="I819" i="4"/>
  <c r="C820" i="4"/>
  <c r="B820" i="4"/>
  <c r="H820" i="4"/>
  <c r="D820" i="4"/>
  <c r="I820" i="4"/>
  <c r="C821" i="4"/>
  <c r="B821" i="4"/>
  <c r="H821" i="4"/>
  <c r="D821" i="4"/>
  <c r="I821" i="4"/>
  <c r="C822" i="4"/>
  <c r="B822" i="4"/>
  <c r="H822" i="4"/>
  <c r="D822" i="4"/>
  <c r="I822" i="4"/>
  <c r="C823" i="4"/>
  <c r="B823" i="4"/>
  <c r="H823" i="4"/>
  <c r="D823" i="4"/>
  <c r="I823" i="4"/>
  <c r="C824" i="4"/>
  <c r="B824" i="4"/>
  <c r="H824" i="4"/>
  <c r="D824" i="4"/>
  <c r="I824" i="4"/>
  <c r="C825" i="4"/>
  <c r="B825" i="4"/>
  <c r="H825" i="4"/>
  <c r="D825" i="4"/>
  <c r="I825" i="4"/>
  <c r="C826" i="4"/>
  <c r="B826" i="4"/>
  <c r="H826" i="4"/>
  <c r="D826" i="4"/>
  <c r="I826" i="4"/>
  <c r="C827" i="4"/>
  <c r="B827" i="4"/>
  <c r="H827" i="4"/>
  <c r="D827" i="4"/>
  <c r="I827" i="4"/>
  <c r="C828" i="4"/>
  <c r="B828" i="4"/>
  <c r="H828" i="4"/>
  <c r="D828" i="4"/>
  <c r="I828" i="4"/>
  <c r="C829" i="4"/>
  <c r="B829" i="4"/>
  <c r="H829" i="4"/>
  <c r="D829" i="4"/>
  <c r="I829" i="4"/>
  <c r="C830" i="4"/>
  <c r="B830" i="4"/>
  <c r="H830" i="4"/>
  <c r="D830" i="4"/>
  <c r="I830" i="4"/>
  <c r="C831" i="4"/>
  <c r="B831" i="4"/>
  <c r="H831" i="4"/>
  <c r="D831" i="4"/>
  <c r="I831" i="4"/>
  <c r="C832" i="4"/>
  <c r="B832" i="4"/>
  <c r="H832" i="4"/>
  <c r="D832" i="4"/>
  <c r="I832" i="4"/>
  <c r="C833" i="4"/>
  <c r="B833" i="4"/>
  <c r="H833" i="4"/>
  <c r="D833" i="4"/>
  <c r="I833" i="4"/>
  <c r="C834" i="4"/>
  <c r="B834" i="4"/>
  <c r="H834" i="4"/>
  <c r="D834" i="4"/>
  <c r="I834" i="4"/>
  <c r="C835" i="4"/>
  <c r="B835" i="4"/>
  <c r="H835" i="4"/>
  <c r="D835" i="4"/>
  <c r="I835" i="4"/>
  <c r="C836" i="4"/>
  <c r="B836" i="4"/>
  <c r="H836" i="4"/>
  <c r="D836" i="4"/>
  <c r="I836" i="4"/>
  <c r="C837" i="4"/>
  <c r="B837" i="4"/>
  <c r="H837" i="4"/>
  <c r="D837" i="4"/>
  <c r="I837" i="4"/>
  <c r="C838" i="4"/>
  <c r="B838" i="4"/>
  <c r="H838" i="4"/>
  <c r="D838" i="4"/>
  <c r="I838" i="4"/>
  <c r="C839" i="4"/>
  <c r="B839" i="4"/>
  <c r="H839" i="4"/>
  <c r="D839" i="4"/>
  <c r="I839" i="4"/>
  <c r="C840" i="4"/>
  <c r="B840" i="4"/>
  <c r="H840" i="4"/>
  <c r="D840" i="4"/>
  <c r="I840" i="4"/>
  <c r="C841" i="4"/>
  <c r="B841" i="4"/>
  <c r="H841" i="4"/>
  <c r="D841" i="4"/>
  <c r="I841" i="4"/>
  <c r="C842" i="4"/>
  <c r="B842" i="4"/>
  <c r="H842" i="4"/>
  <c r="D842" i="4"/>
  <c r="I842" i="4"/>
  <c r="C843" i="4"/>
  <c r="B843" i="4"/>
  <c r="H843" i="4"/>
  <c r="D843" i="4"/>
  <c r="I843" i="4"/>
  <c r="C844" i="4"/>
  <c r="B844" i="4"/>
  <c r="H844" i="4"/>
  <c r="D844" i="4"/>
  <c r="I844" i="4"/>
  <c r="C845" i="4"/>
  <c r="B845" i="4"/>
  <c r="H845" i="4"/>
  <c r="D845" i="4"/>
  <c r="I845" i="4"/>
  <c r="C846" i="4"/>
  <c r="B846" i="4"/>
  <c r="H846" i="4"/>
  <c r="D846" i="4"/>
  <c r="I846" i="4"/>
  <c r="C847" i="4"/>
  <c r="B847" i="4"/>
  <c r="H847" i="4"/>
  <c r="D847" i="4"/>
  <c r="I847" i="4"/>
  <c r="C848" i="4"/>
  <c r="B848" i="4"/>
  <c r="H848" i="4"/>
  <c r="D848" i="4"/>
  <c r="I848" i="4"/>
  <c r="C849" i="4"/>
  <c r="B849" i="4"/>
  <c r="H849" i="4"/>
  <c r="D849" i="4"/>
  <c r="I849" i="4"/>
  <c r="C850" i="4"/>
  <c r="B850" i="4"/>
  <c r="H850" i="4"/>
  <c r="D850" i="4"/>
  <c r="I850" i="4"/>
  <c r="C851" i="4"/>
  <c r="B851" i="4"/>
  <c r="H851" i="4"/>
  <c r="D851" i="4"/>
  <c r="I851" i="4"/>
  <c r="C852" i="4"/>
  <c r="B852" i="4"/>
  <c r="H852" i="4"/>
  <c r="D852" i="4"/>
  <c r="I852" i="4"/>
  <c r="C853" i="4"/>
  <c r="B853" i="4"/>
  <c r="H853" i="4"/>
  <c r="D853" i="4"/>
  <c r="I853" i="4"/>
  <c r="C854" i="4"/>
  <c r="B854" i="4"/>
  <c r="H854" i="4"/>
  <c r="D854" i="4"/>
  <c r="I854" i="4"/>
  <c r="C855" i="4"/>
  <c r="B855" i="4"/>
  <c r="H855" i="4"/>
  <c r="D855" i="4"/>
  <c r="I855" i="4"/>
  <c r="C856" i="4"/>
  <c r="B856" i="4"/>
  <c r="H856" i="4"/>
  <c r="D856" i="4"/>
  <c r="I856" i="4"/>
  <c r="C857" i="4"/>
  <c r="B857" i="4"/>
  <c r="H857" i="4"/>
  <c r="D857" i="4"/>
  <c r="I857" i="4"/>
  <c r="C858" i="4"/>
  <c r="B858" i="4"/>
  <c r="H858" i="4"/>
  <c r="D858" i="4"/>
  <c r="I858" i="4"/>
  <c r="C859" i="4"/>
  <c r="B859" i="4"/>
  <c r="H859" i="4"/>
  <c r="D859" i="4"/>
  <c r="I859" i="4"/>
  <c r="C860" i="4"/>
  <c r="B860" i="4"/>
  <c r="H860" i="4"/>
  <c r="D860" i="4"/>
  <c r="I860" i="4"/>
  <c r="C861" i="4"/>
  <c r="B861" i="4"/>
  <c r="H861" i="4"/>
  <c r="D861" i="4"/>
  <c r="I861" i="4"/>
  <c r="C862" i="4"/>
  <c r="B862" i="4"/>
  <c r="H862" i="4"/>
  <c r="D862" i="4"/>
  <c r="I862" i="4"/>
  <c r="C863" i="4"/>
  <c r="B863" i="4"/>
  <c r="H863" i="4"/>
  <c r="D863" i="4"/>
  <c r="I863" i="4"/>
  <c r="C864" i="4"/>
  <c r="B864" i="4"/>
  <c r="H864" i="4"/>
  <c r="D864" i="4"/>
  <c r="I864" i="4"/>
  <c r="C865" i="4"/>
  <c r="B865" i="4"/>
  <c r="H865" i="4"/>
  <c r="D865" i="4"/>
  <c r="I865" i="4"/>
  <c r="C866" i="4"/>
  <c r="B866" i="4"/>
  <c r="H866" i="4"/>
  <c r="D866" i="4"/>
  <c r="I866" i="4"/>
  <c r="C867" i="4"/>
  <c r="B867" i="4"/>
  <c r="H867" i="4"/>
  <c r="D867" i="4"/>
  <c r="I867" i="4"/>
  <c r="C868" i="4"/>
  <c r="B868" i="4"/>
  <c r="H868" i="4"/>
  <c r="D868" i="4"/>
  <c r="I868" i="4"/>
  <c r="C869" i="4"/>
  <c r="B869" i="4"/>
  <c r="H869" i="4"/>
  <c r="D869" i="4"/>
  <c r="I869" i="4"/>
  <c r="C870" i="4"/>
  <c r="B870" i="4"/>
  <c r="H870" i="4"/>
  <c r="D870" i="4"/>
  <c r="I870" i="4"/>
  <c r="C871" i="4"/>
  <c r="B871" i="4"/>
  <c r="H871" i="4"/>
  <c r="D871" i="4"/>
  <c r="I871" i="4"/>
  <c r="C872" i="4"/>
  <c r="B872" i="4"/>
  <c r="H872" i="4"/>
  <c r="D872" i="4"/>
  <c r="I872" i="4"/>
  <c r="C873" i="4"/>
  <c r="B873" i="4"/>
  <c r="H873" i="4"/>
  <c r="D873" i="4"/>
  <c r="I873" i="4"/>
  <c r="C874" i="4"/>
  <c r="B874" i="4"/>
  <c r="H874" i="4"/>
  <c r="D874" i="4"/>
  <c r="I874" i="4"/>
  <c r="C875" i="4"/>
  <c r="B875" i="4"/>
  <c r="H875" i="4"/>
  <c r="D875" i="4"/>
  <c r="I875" i="4"/>
  <c r="C876" i="4"/>
  <c r="B876" i="4"/>
  <c r="H876" i="4"/>
  <c r="D876" i="4"/>
  <c r="I876" i="4"/>
  <c r="C877" i="4"/>
  <c r="B877" i="4"/>
  <c r="H877" i="4"/>
  <c r="D877" i="4"/>
  <c r="I877" i="4"/>
  <c r="C878" i="4"/>
  <c r="B878" i="4"/>
  <c r="H878" i="4"/>
  <c r="D878" i="4"/>
  <c r="I878" i="4"/>
  <c r="C879" i="4"/>
  <c r="B879" i="4"/>
  <c r="H879" i="4"/>
  <c r="D879" i="4"/>
  <c r="I879" i="4"/>
  <c r="C880" i="4"/>
  <c r="B880" i="4"/>
  <c r="H880" i="4"/>
  <c r="D880" i="4"/>
  <c r="I880" i="4"/>
  <c r="C881" i="4"/>
  <c r="B881" i="4"/>
  <c r="H881" i="4"/>
  <c r="D881" i="4"/>
  <c r="I881" i="4"/>
  <c r="C882" i="4"/>
  <c r="B882" i="4"/>
  <c r="H882" i="4"/>
  <c r="D882" i="4"/>
  <c r="I882" i="4"/>
  <c r="C883" i="4"/>
  <c r="B883" i="4"/>
  <c r="H883" i="4"/>
  <c r="D883" i="4"/>
  <c r="I883" i="4"/>
  <c r="C884" i="4"/>
  <c r="B884" i="4"/>
  <c r="H884" i="4"/>
  <c r="D884" i="4"/>
  <c r="I884" i="4"/>
  <c r="C885" i="4"/>
  <c r="B885" i="4"/>
  <c r="H885" i="4"/>
  <c r="D885" i="4"/>
  <c r="I885" i="4"/>
  <c r="C886" i="4"/>
  <c r="B886" i="4"/>
  <c r="H886" i="4"/>
  <c r="D886" i="4"/>
  <c r="I886" i="4"/>
  <c r="C887" i="4"/>
  <c r="B887" i="4"/>
  <c r="H887" i="4"/>
  <c r="D887" i="4"/>
  <c r="I887" i="4"/>
  <c r="C888" i="4"/>
  <c r="B888" i="4"/>
  <c r="H888" i="4"/>
  <c r="D888" i="4"/>
  <c r="I888" i="4"/>
  <c r="C889" i="4"/>
  <c r="B889" i="4"/>
  <c r="H889" i="4"/>
  <c r="D889" i="4"/>
  <c r="I889" i="4"/>
  <c r="C890" i="4"/>
  <c r="B890" i="4"/>
  <c r="H890" i="4"/>
  <c r="D890" i="4"/>
  <c r="I890" i="4"/>
  <c r="C891" i="4"/>
  <c r="B891" i="4"/>
  <c r="H891" i="4"/>
  <c r="D891" i="4"/>
  <c r="I891" i="4"/>
  <c r="C892" i="4"/>
  <c r="B892" i="4"/>
  <c r="H892" i="4"/>
  <c r="D892" i="4"/>
  <c r="I892" i="4"/>
  <c r="C893" i="4"/>
  <c r="B893" i="4"/>
  <c r="H893" i="4"/>
  <c r="D893" i="4"/>
  <c r="I893" i="4"/>
  <c r="C894" i="4"/>
  <c r="B894" i="4"/>
  <c r="H894" i="4"/>
  <c r="D894" i="4"/>
  <c r="I894" i="4"/>
  <c r="C895" i="4"/>
  <c r="B895" i="4"/>
  <c r="H895" i="4"/>
  <c r="D895" i="4"/>
  <c r="I895" i="4"/>
  <c r="C896" i="4"/>
  <c r="B896" i="4"/>
  <c r="H896" i="4"/>
  <c r="D896" i="4"/>
  <c r="I896" i="4"/>
  <c r="C897" i="4"/>
  <c r="B897" i="4"/>
  <c r="H897" i="4"/>
  <c r="D897" i="4"/>
  <c r="I897" i="4"/>
  <c r="C898" i="4"/>
  <c r="B898" i="4"/>
  <c r="H898" i="4"/>
  <c r="D898" i="4"/>
  <c r="I898" i="4"/>
  <c r="C899" i="4"/>
  <c r="B899" i="4"/>
  <c r="H899" i="4"/>
  <c r="D899" i="4"/>
  <c r="I899" i="4"/>
  <c r="C900" i="4"/>
  <c r="B900" i="4"/>
  <c r="H900" i="4"/>
  <c r="D900" i="4"/>
  <c r="I900" i="4"/>
  <c r="C901" i="4"/>
  <c r="B901" i="4"/>
  <c r="H901" i="4"/>
  <c r="D901" i="4"/>
  <c r="I901" i="4"/>
  <c r="C902" i="4"/>
  <c r="B902" i="4"/>
  <c r="H902" i="4"/>
  <c r="D902" i="4"/>
  <c r="I902" i="4"/>
  <c r="C903" i="4"/>
  <c r="B903" i="4"/>
  <c r="H903" i="4"/>
  <c r="D903" i="4"/>
  <c r="I903" i="4"/>
  <c r="C904" i="4"/>
  <c r="B904" i="4"/>
  <c r="H904" i="4"/>
  <c r="D904" i="4"/>
  <c r="I904" i="4"/>
  <c r="C905" i="4"/>
  <c r="B905" i="4"/>
  <c r="H905" i="4"/>
  <c r="D905" i="4"/>
  <c r="I905" i="4"/>
  <c r="C906" i="4"/>
  <c r="B906" i="4"/>
  <c r="H906" i="4"/>
  <c r="D906" i="4"/>
  <c r="I906" i="4"/>
  <c r="C907" i="4"/>
  <c r="B907" i="4"/>
  <c r="H907" i="4"/>
  <c r="D907" i="4"/>
  <c r="I907" i="4"/>
  <c r="C908" i="4"/>
  <c r="B908" i="4"/>
  <c r="H908" i="4"/>
  <c r="D908" i="4"/>
  <c r="I908" i="4"/>
  <c r="C909" i="4"/>
  <c r="B909" i="4"/>
  <c r="H909" i="4"/>
  <c r="D909" i="4"/>
  <c r="I909" i="4"/>
  <c r="C910" i="4"/>
  <c r="B910" i="4"/>
  <c r="H910" i="4"/>
  <c r="D910" i="4"/>
  <c r="I910" i="4"/>
  <c r="C911" i="4"/>
  <c r="B911" i="4"/>
  <c r="H911" i="4"/>
  <c r="D911" i="4"/>
  <c r="I911" i="4"/>
  <c r="C912" i="4"/>
  <c r="B912" i="4"/>
  <c r="H912" i="4"/>
  <c r="D912" i="4"/>
  <c r="I912" i="4"/>
  <c r="C913" i="4"/>
  <c r="B913" i="4"/>
  <c r="H913" i="4"/>
  <c r="D913" i="4"/>
  <c r="I913" i="4"/>
  <c r="C914" i="4"/>
  <c r="B914" i="4"/>
  <c r="H914" i="4"/>
  <c r="D914" i="4"/>
  <c r="I914" i="4"/>
  <c r="C915" i="4"/>
  <c r="B915" i="4"/>
  <c r="H915" i="4"/>
  <c r="D915" i="4"/>
  <c r="I915" i="4"/>
  <c r="C916" i="4"/>
  <c r="B916" i="4"/>
  <c r="H916" i="4"/>
  <c r="D916" i="4"/>
  <c r="I916" i="4"/>
  <c r="C917" i="4"/>
  <c r="B917" i="4"/>
  <c r="H917" i="4"/>
  <c r="D917" i="4"/>
  <c r="I917" i="4"/>
  <c r="C918" i="4"/>
  <c r="B918" i="4"/>
  <c r="H918" i="4"/>
  <c r="D918" i="4"/>
  <c r="I918" i="4"/>
  <c r="C919" i="4"/>
  <c r="B919" i="4"/>
  <c r="H919" i="4"/>
  <c r="D919" i="4"/>
  <c r="I919" i="4"/>
  <c r="C920" i="4"/>
  <c r="B920" i="4"/>
  <c r="H920" i="4"/>
  <c r="D920" i="4"/>
  <c r="I920" i="4"/>
  <c r="C921" i="4"/>
  <c r="B921" i="4"/>
  <c r="H921" i="4"/>
  <c r="D921" i="4"/>
  <c r="I921" i="4"/>
  <c r="C922" i="4"/>
  <c r="B922" i="4"/>
  <c r="H922" i="4"/>
  <c r="D922" i="4"/>
  <c r="I922" i="4"/>
  <c r="C923" i="4"/>
  <c r="B923" i="4"/>
  <c r="H923" i="4"/>
  <c r="D923" i="4"/>
  <c r="I923" i="4"/>
  <c r="C924" i="4"/>
  <c r="B924" i="4"/>
  <c r="H924" i="4"/>
  <c r="D924" i="4"/>
  <c r="I924" i="4"/>
  <c r="C925" i="4"/>
  <c r="B925" i="4"/>
  <c r="H925" i="4"/>
  <c r="D925" i="4"/>
  <c r="I925" i="4"/>
  <c r="C926" i="4"/>
  <c r="B926" i="4"/>
  <c r="H926" i="4"/>
  <c r="D926" i="4"/>
  <c r="I926" i="4"/>
  <c r="C927" i="4"/>
  <c r="B927" i="4"/>
  <c r="H927" i="4"/>
  <c r="D927" i="4"/>
  <c r="I927" i="4"/>
  <c r="C928" i="4"/>
  <c r="B928" i="4"/>
  <c r="H928" i="4"/>
  <c r="D928" i="4"/>
  <c r="I928" i="4"/>
  <c r="C929" i="4"/>
  <c r="B929" i="4"/>
  <c r="H929" i="4"/>
  <c r="D929" i="4"/>
  <c r="I929" i="4"/>
  <c r="C930" i="4"/>
  <c r="B930" i="4"/>
  <c r="H930" i="4"/>
  <c r="D930" i="4"/>
  <c r="I930" i="4"/>
  <c r="C931" i="4"/>
  <c r="B931" i="4"/>
  <c r="H931" i="4"/>
  <c r="D931" i="4"/>
  <c r="I931" i="4"/>
  <c r="C932" i="4"/>
  <c r="B932" i="4"/>
  <c r="H932" i="4"/>
  <c r="D932" i="4"/>
  <c r="I932" i="4"/>
  <c r="C933" i="4"/>
  <c r="B933" i="4"/>
  <c r="H933" i="4"/>
  <c r="D933" i="4"/>
  <c r="I933" i="4"/>
  <c r="C934" i="4"/>
  <c r="B934" i="4"/>
  <c r="H934" i="4"/>
  <c r="D934" i="4"/>
  <c r="I934" i="4"/>
  <c r="C935" i="4"/>
  <c r="B935" i="4"/>
  <c r="H935" i="4"/>
  <c r="D935" i="4"/>
  <c r="I935" i="4"/>
  <c r="C936" i="4"/>
  <c r="B936" i="4"/>
  <c r="H936" i="4"/>
  <c r="D936" i="4"/>
  <c r="I936" i="4"/>
  <c r="C937" i="4"/>
  <c r="B937" i="4"/>
  <c r="H937" i="4"/>
  <c r="D937" i="4"/>
  <c r="I937" i="4"/>
  <c r="C938" i="4"/>
  <c r="B938" i="4"/>
  <c r="H938" i="4"/>
  <c r="D938" i="4"/>
  <c r="I938" i="4"/>
  <c r="C939" i="4"/>
  <c r="B939" i="4"/>
  <c r="H939" i="4"/>
  <c r="D939" i="4"/>
  <c r="I939" i="4"/>
  <c r="C940" i="4"/>
  <c r="B940" i="4"/>
  <c r="H940" i="4"/>
  <c r="D940" i="4"/>
  <c r="I940" i="4"/>
  <c r="C941" i="4"/>
  <c r="B941" i="4"/>
  <c r="H941" i="4"/>
  <c r="D941" i="4"/>
  <c r="I941" i="4"/>
  <c r="C942" i="4"/>
  <c r="B942" i="4"/>
  <c r="H942" i="4"/>
  <c r="D942" i="4"/>
  <c r="I942" i="4"/>
  <c r="C943" i="4"/>
  <c r="B943" i="4"/>
  <c r="H943" i="4"/>
  <c r="D943" i="4"/>
  <c r="I943" i="4"/>
  <c r="C944" i="4"/>
  <c r="B944" i="4"/>
  <c r="H944" i="4"/>
  <c r="D944" i="4"/>
  <c r="I944" i="4"/>
  <c r="C945" i="4"/>
  <c r="B945" i="4"/>
  <c r="H945" i="4"/>
  <c r="D945" i="4"/>
  <c r="I945" i="4"/>
  <c r="C946" i="4"/>
  <c r="B946" i="4"/>
  <c r="H946" i="4"/>
  <c r="D946" i="4"/>
  <c r="I946" i="4"/>
  <c r="C947" i="4"/>
  <c r="B947" i="4"/>
  <c r="H947" i="4"/>
  <c r="D947" i="4"/>
  <c r="I947" i="4"/>
  <c r="C948" i="4"/>
  <c r="B948" i="4"/>
  <c r="H948" i="4"/>
  <c r="D948" i="4"/>
  <c r="I948" i="4"/>
  <c r="C949" i="4"/>
  <c r="B949" i="4"/>
  <c r="H949" i="4"/>
  <c r="D949" i="4"/>
  <c r="I949" i="4"/>
  <c r="C950" i="4"/>
  <c r="B950" i="4"/>
  <c r="H950" i="4"/>
  <c r="D950" i="4"/>
  <c r="I950" i="4"/>
  <c r="C951" i="4"/>
  <c r="B951" i="4"/>
  <c r="H951" i="4"/>
  <c r="D951" i="4"/>
  <c r="I951" i="4"/>
  <c r="C952" i="4"/>
  <c r="B952" i="4"/>
  <c r="H952" i="4"/>
  <c r="D952" i="4"/>
  <c r="I952" i="4"/>
  <c r="C953" i="4"/>
  <c r="B953" i="4"/>
  <c r="H953" i="4"/>
  <c r="D953" i="4"/>
  <c r="I953" i="4"/>
  <c r="C954" i="4"/>
  <c r="B954" i="4"/>
  <c r="H954" i="4"/>
  <c r="D954" i="4"/>
  <c r="I954" i="4"/>
  <c r="C955" i="4"/>
  <c r="B955" i="4"/>
  <c r="H955" i="4"/>
  <c r="D955" i="4"/>
  <c r="I955" i="4"/>
  <c r="C956" i="4"/>
  <c r="B956" i="4"/>
  <c r="H956" i="4"/>
  <c r="D956" i="4"/>
  <c r="I956" i="4"/>
  <c r="C957" i="4"/>
  <c r="B957" i="4"/>
  <c r="H957" i="4"/>
  <c r="D957" i="4"/>
  <c r="I957" i="4"/>
  <c r="C958" i="4"/>
  <c r="B958" i="4"/>
  <c r="H958" i="4"/>
  <c r="D958" i="4"/>
  <c r="I958" i="4"/>
  <c r="C959" i="4"/>
  <c r="B959" i="4"/>
  <c r="H959" i="4"/>
  <c r="D959" i="4"/>
  <c r="I959" i="4"/>
  <c r="C960" i="4"/>
  <c r="B960" i="4"/>
  <c r="H960" i="4"/>
  <c r="D960" i="4"/>
  <c r="I960" i="4"/>
  <c r="C961" i="4"/>
  <c r="B961" i="4"/>
  <c r="H961" i="4"/>
  <c r="D961" i="4"/>
  <c r="I961" i="4"/>
  <c r="C962" i="4"/>
  <c r="B962" i="4"/>
  <c r="H962" i="4"/>
  <c r="D962" i="4"/>
  <c r="I962" i="4"/>
  <c r="C963" i="4"/>
  <c r="B963" i="4"/>
  <c r="H963" i="4"/>
  <c r="D963" i="4"/>
  <c r="I963" i="4"/>
  <c r="C964" i="4"/>
  <c r="B964" i="4"/>
  <c r="H964" i="4"/>
  <c r="D964" i="4"/>
  <c r="I964" i="4"/>
  <c r="C965" i="4"/>
  <c r="B965" i="4"/>
  <c r="H965" i="4"/>
  <c r="D965" i="4"/>
  <c r="I965" i="4"/>
  <c r="C966" i="4"/>
  <c r="B966" i="4"/>
  <c r="H966" i="4"/>
  <c r="D966" i="4"/>
  <c r="I966" i="4"/>
  <c r="C967" i="4"/>
  <c r="B967" i="4"/>
  <c r="H967" i="4"/>
  <c r="D967" i="4"/>
  <c r="I967" i="4"/>
  <c r="C968" i="4"/>
  <c r="B968" i="4"/>
  <c r="H968" i="4"/>
  <c r="D968" i="4"/>
  <c r="I968" i="4"/>
  <c r="C969" i="4"/>
  <c r="B969" i="4"/>
  <c r="H969" i="4"/>
  <c r="D969" i="4"/>
  <c r="I969" i="4"/>
  <c r="C970" i="4"/>
  <c r="B970" i="4"/>
  <c r="H970" i="4"/>
  <c r="D970" i="4"/>
  <c r="I970" i="4"/>
  <c r="C971" i="4"/>
  <c r="B971" i="4"/>
  <c r="H971" i="4"/>
  <c r="D971" i="4"/>
  <c r="I971" i="4"/>
  <c r="C972" i="4"/>
  <c r="B972" i="4"/>
  <c r="H972" i="4"/>
  <c r="D972" i="4"/>
  <c r="I972" i="4"/>
  <c r="C973" i="4"/>
  <c r="B973" i="4"/>
  <c r="H973" i="4"/>
  <c r="D973" i="4"/>
  <c r="I973" i="4"/>
  <c r="C974" i="4"/>
  <c r="B974" i="4"/>
  <c r="H974" i="4"/>
  <c r="D974" i="4"/>
  <c r="I974" i="4"/>
  <c r="C975" i="4"/>
  <c r="B975" i="4"/>
  <c r="H975" i="4"/>
  <c r="D975" i="4"/>
  <c r="I975" i="4"/>
  <c r="C976" i="4"/>
  <c r="B976" i="4"/>
  <c r="H976" i="4"/>
  <c r="D976" i="4"/>
  <c r="I976" i="4"/>
  <c r="C977" i="4"/>
  <c r="B977" i="4"/>
  <c r="H977" i="4"/>
  <c r="D977" i="4"/>
  <c r="I977" i="4"/>
  <c r="C978" i="4"/>
  <c r="B978" i="4"/>
  <c r="H978" i="4"/>
  <c r="D978" i="4"/>
  <c r="I978" i="4"/>
  <c r="C979" i="4"/>
  <c r="B979" i="4"/>
  <c r="H979" i="4"/>
  <c r="D979" i="4"/>
  <c r="I979" i="4"/>
  <c r="C980" i="4"/>
  <c r="B980" i="4"/>
  <c r="H980" i="4"/>
  <c r="D980" i="4"/>
  <c r="I980" i="4"/>
  <c r="C981" i="4"/>
  <c r="B981" i="4"/>
  <c r="H981" i="4"/>
  <c r="D981" i="4"/>
  <c r="I981" i="4"/>
  <c r="C982" i="4"/>
  <c r="B982" i="4"/>
  <c r="H982" i="4"/>
  <c r="D982" i="4"/>
  <c r="I982" i="4"/>
  <c r="C983" i="4"/>
  <c r="B983" i="4"/>
  <c r="H983" i="4"/>
  <c r="D983" i="4"/>
  <c r="I983" i="4"/>
  <c r="C984" i="4"/>
  <c r="B984" i="4"/>
  <c r="H984" i="4"/>
  <c r="D984" i="4"/>
  <c r="I984" i="4"/>
  <c r="C985" i="4"/>
  <c r="B985" i="4"/>
  <c r="H985" i="4"/>
  <c r="D985" i="4"/>
  <c r="I985" i="4"/>
  <c r="C986" i="4"/>
  <c r="B986" i="4"/>
  <c r="H986" i="4"/>
  <c r="D986" i="4"/>
  <c r="I986" i="4"/>
  <c r="C987" i="4"/>
  <c r="B987" i="4"/>
  <c r="H987" i="4"/>
  <c r="D987" i="4"/>
  <c r="I987" i="4"/>
  <c r="C988" i="4"/>
  <c r="B988" i="4"/>
  <c r="H988" i="4"/>
  <c r="D988" i="4"/>
  <c r="I988" i="4"/>
  <c r="C989" i="4"/>
  <c r="B989" i="4"/>
  <c r="H989" i="4"/>
  <c r="D989" i="4"/>
  <c r="I989" i="4"/>
  <c r="C990" i="4"/>
  <c r="B990" i="4"/>
  <c r="H990" i="4"/>
  <c r="D990" i="4"/>
  <c r="I990" i="4"/>
  <c r="C991" i="4"/>
  <c r="B991" i="4"/>
  <c r="H991" i="4"/>
  <c r="D991" i="4"/>
  <c r="I991" i="4"/>
  <c r="C992" i="4"/>
  <c r="B992" i="4"/>
  <c r="H992" i="4"/>
  <c r="D992" i="4"/>
  <c r="I992" i="4"/>
  <c r="C993" i="4"/>
  <c r="B993" i="4"/>
  <c r="H993" i="4"/>
  <c r="D993" i="4"/>
  <c r="I993" i="4"/>
  <c r="C994" i="4"/>
  <c r="B994" i="4"/>
  <c r="H994" i="4"/>
  <c r="D994" i="4"/>
  <c r="I994" i="4"/>
  <c r="C995" i="4"/>
  <c r="B995" i="4"/>
  <c r="H995" i="4"/>
  <c r="D995" i="4"/>
  <c r="I995" i="4"/>
  <c r="C996" i="4"/>
  <c r="B996" i="4"/>
  <c r="H996" i="4"/>
  <c r="D996" i="4"/>
  <c r="I996" i="4"/>
  <c r="C997" i="4"/>
  <c r="B997" i="4"/>
  <c r="H997" i="4"/>
  <c r="D997" i="4"/>
  <c r="I997" i="4"/>
  <c r="C998" i="4"/>
  <c r="B998" i="4"/>
  <c r="H998" i="4"/>
  <c r="D998" i="4"/>
  <c r="I998" i="4"/>
  <c r="C999" i="4"/>
  <c r="B999" i="4"/>
  <c r="H999" i="4"/>
  <c r="D999" i="4"/>
  <c r="I999" i="4"/>
  <c r="C1000" i="4"/>
  <c r="B1000" i="4"/>
  <c r="H1000" i="4"/>
  <c r="D1000" i="4"/>
  <c r="I1000" i="4"/>
  <c r="C1001" i="4"/>
  <c r="B1001" i="4"/>
  <c r="H1001" i="4"/>
  <c r="D1001" i="4"/>
  <c r="I1001" i="4"/>
  <c r="C1002" i="4"/>
  <c r="B1002" i="4"/>
  <c r="H1002" i="4"/>
  <c r="D1002" i="4"/>
  <c r="I1002" i="4"/>
  <c r="C1003" i="4"/>
  <c r="B1003" i="4"/>
  <c r="H1003" i="4"/>
  <c r="D1003" i="4"/>
  <c r="I1003" i="4"/>
  <c r="C36" i="2"/>
  <c r="B36" i="2"/>
  <c r="C38" i="2"/>
  <c r="D29" i="2" a="1"/>
  <c r="D29" i="2"/>
  <c r="E3" i="4"/>
  <c r="J3" i="4"/>
  <c r="E4" i="4"/>
  <c r="J4" i="4"/>
  <c r="E5" i="4"/>
  <c r="J5" i="4"/>
  <c r="E6" i="4"/>
  <c r="J6" i="4"/>
  <c r="E7" i="4"/>
  <c r="J7" i="4"/>
  <c r="E8" i="4"/>
  <c r="J8" i="4"/>
  <c r="E9" i="4"/>
  <c r="J9" i="4"/>
  <c r="E10" i="4"/>
  <c r="J10" i="4"/>
  <c r="E11" i="4"/>
  <c r="J11" i="4"/>
  <c r="E12" i="4"/>
  <c r="J12" i="4"/>
  <c r="E13" i="4"/>
  <c r="J13" i="4"/>
  <c r="E14" i="4"/>
  <c r="J14" i="4"/>
  <c r="E15" i="4"/>
  <c r="J15" i="4"/>
  <c r="E16" i="4"/>
  <c r="J16" i="4"/>
  <c r="E17" i="4"/>
  <c r="J17" i="4"/>
  <c r="E18" i="4"/>
  <c r="J18" i="4"/>
  <c r="E19" i="4"/>
  <c r="J19" i="4"/>
  <c r="E20" i="4"/>
  <c r="J20" i="4"/>
  <c r="E21" i="4"/>
  <c r="J21" i="4"/>
  <c r="E22" i="4"/>
  <c r="J22" i="4"/>
  <c r="E23" i="4"/>
  <c r="J23" i="4"/>
  <c r="E24" i="4"/>
  <c r="J24" i="4"/>
  <c r="E25" i="4"/>
  <c r="J25" i="4"/>
  <c r="E26" i="4"/>
  <c r="J26" i="4"/>
  <c r="E27" i="4"/>
  <c r="J27" i="4"/>
  <c r="E28" i="4"/>
  <c r="J28" i="4"/>
  <c r="E29" i="4"/>
  <c r="J29" i="4"/>
  <c r="E30" i="4"/>
  <c r="J30" i="4"/>
  <c r="E31" i="4"/>
  <c r="J31" i="4"/>
  <c r="E32" i="4"/>
  <c r="J32" i="4"/>
  <c r="E33" i="4"/>
  <c r="J33" i="4"/>
  <c r="E34" i="4"/>
  <c r="J34" i="4"/>
  <c r="E35" i="4"/>
  <c r="J35" i="4"/>
  <c r="E36" i="4"/>
  <c r="J36" i="4"/>
  <c r="E37" i="4"/>
  <c r="J37" i="4"/>
  <c r="E38" i="4"/>
  <c r="J38" i="4"/>
  <c r="E39" i="4"/>
  <c r="J39" i="4"/>
  <c r="E40" i="4"/>
  <c r="J40" i="4"/>
  <c r="E41" i="4"/>
  <c r="J41" i="4"/>
  <c r="E42" i="4"/>
  <c r="J42" i="4"/>
  <c r="E43" i="4"/>
  <c r="J43" i="4"/>
  <c r="E44" i="4"/>
  <c r="J44" i="4"/>
  <c r="E45" i="4"/>
  <c r="J45" i="4"/>
  <c r="E46" i="4"/>
  <c r="J46" i="4"/>
  <c r="E47" i="4"/>
  <c r="J47" i="4"/>
  <c r="E48" i="4"/>
  <c r="J48" i="4"/>
  <c r="E49" i="4"/>
  <c r="J49" i="4"/>
  <c r="E50" i="4"/>
  <c r="J50" i="4"/>
  <c r="E51" i="4"/>
  <c r="J51" i="4"/>
  <c r="E52" i="4"/>
  <c r="J52" i="4"/>
  <c r="E53" i="4"/>
  <c r="J53" i="4"/>
  <c r="E54" i="4"/>
  <c r="J54" i="4"/>
  <c r="E55" i="4"/>
  <c r="J55" i="4"/>
  <c r="E56" i="4"/>
  <c r="J56" i="4"/>
  <c r="E57" i="4"/>
  <c r="J57" i="4"/>
  <c r="E58" i="4"/>
  <c r="J58" i="4"/>
  <c r="E59" i="4"/>
  <c r="J59" i="4"/>
  <c r="E60" i="4"/>
  <c r="J60" i="4"/>
  <c r="E61" i="4"/>
  <c r="J61" i="4"/>
  <c r="E62" i="4"/>
  <c r="J62" i="4"/>
  <c r="E63" i="4"/>
  <c r="J63" i="4"/>
  <c r="E64" i="4"/>
  <c r="J64" i="4"/>
  <c r="E65" i="4"/>
  <c r="J65" i="4"/>
  <c r="E66" i="4"/>
  <c r="J66" i="4"/>
  <c r="E67" i="4"/>
  <c r="J67" i="4"/>
  <c r="E68" i="4"/>
  <c r="J68" i="4"/>
  <c r="E69" i="4"/>
  <c r="J69" i="4"/>
  <c r="E70" i="4"/>
  <c r="J70" i="4"/>
  <c r="E71" i="4"/>
  <c r="J71" i="4"/>
  <c r="E72" i="4"/>
  <c r="J72" i="4"/>
  <c r="E73" i="4"/>
  <c r="J73" i="4"/>
  <c r="E74" i="4"/>
  <c r="J74" i="4"/>
  <c r="E75" i="4"/>
  <c r="J75" i="4"/>
  <c r="E76" i="4"/>
  <c r="J76" i="4"/>
  <c r="E77" i="4"/>
  <c r="J77" i="4"/>
  <c r="E78" i="4"/>
  <c r="J78" i="4"/>
  <c r="E79" i="4"/>
  <c r="J79" i="4"/>
  <c r="E80" i="4"/>
  <c r="J80" i="4"/>
  <c r="E81" i="4"/>
  <c r="J81" i="4"/>
  <c r="E82" i="4"/>
  <c r="J82" i="4"/>
  <c r="E83" i="4"/>
  <c r="J83" i="4"/>
  <c r="E84" i="4"/>
  <c r="J84" i="4"/>
  <c r="E85" i="4"/>
  <c r="J85" i="4"/>
  <c r="E86" i="4"/>
  <c r="J86" i="4"/>
  <c r="E87" i="4"/>
  <c r="J87" i="4"/>
  <c r="E88" i="4"/>
  <c r="J88" i="4"/>
  <c r="E89" i="4"/>
  <c r="J89" i="4"/>
  <c r="E90" i="4"/>
  <c r="J90" i="4"/>
  <c r="E91" i="4"/>
  <c r="J91" i="4"/>
  <c r="E92" i="4"/>
  <c r="J92" i="4"/>
  <c r="E93" i="4"/>
  <c r="J93" i="4"/>
  <c r="E94" i="4"/>
  <c r="J94" i="4"/>
  <c r="E95" i="4"/>
  <c r="J95" i="4"/>
  <c r="E96" i="4"/>
  <c r="J96" i="4"/>
  <c r="E97" i="4"/>
  <c r="J97" i="4"/>
  <c r="E98" i="4"/>
  <c r="J98" i="4"/>
  <c r="E99" i="4"/>
  <c r="J99" i="4"/>
  <c r="E100" i="4"/>
  <c r="J100" i="4"/>
  <c r="E101" i="4"/>
  <c r="J101" i="4"/>
  <c r="E102" i="4"/>
  <c r="J102" i="4"/>
  <c r="E103" i="4"/>
  <c r="J103" i="4"/>
  <c r="E104" i="4"/>
  <c r="J104" i="4"/>
  <c r="E105" i="4"/>
  <c r="J105" i="4"/>
  <c r="E106" i="4"/>
  <c r="J106" i="4"/>
  <c r="E107" i="4"/>
  <c r="J107" i="4"/>
  <c r="E108" i="4"/>
  <c r="J108" i="4"/>
  <c r="E109" i="4"/>
  <c r="J109" i="4"/>
  <c r="E110" i="4"/>
  <c r="J110" i="4"/>
  <c r="E111" i="4"/>
  <c r="J111" i="4"/>
  <c r="E112" i="4"/>
  <c r="J112" i="4"/>
  <c r="E113" i="4"/>
  <c r="J113" i="4"/>
  <c r="E114" i="4"/>
  <c r="J114" i="4"/>
  <c r="E115" i="4"/>
  <c r="J115" i="4"/>
  <c r="E116" i="4"/>
  <c r="J116" i="4"/>
  <c r="E117" i="4"/>
  <c r="J117" i="4"/>
  <c r="E118" i="4"/>
  <c r="J118" i="4"/>
  <c r="E119" i="4"/>
  <c r="J119" i="4"/>
  <c r="E120" i="4"/>
  <c r="J120" i="4"/>
  <c r="E121" i="4"/>
  <c r="J121" i="4"/>
  <c r="E122" i="4"/>
  <c r="J122" i="4"/>
  <c r="E123" i="4"/>
  <c r="J123" i="4"/>
  <c r="E124" i="4"/>
  <c r="J124" i="4"/>
  <c r="E125" i="4"/>
  <c r="J125" i="4"/>
  <c r="E126" i="4"/>
  <c r="J126" i="4"/>
  <c r="E127" i="4"/>
  <c r="J127" i="4"/>
  <c r="E128" i="4"/>
  <c r="J128" i="4"/>
  <c r="E129" i="4"/>
  <c r="J129" i="4"/>
  <c r="E130" i="4"/>
  <c r="J130" i="4"/>
  <c r="E131" i="4"/>
  <c r="J131" i="4"/>
  <c r="E132" i="4"/>
  <c r="J132" i="4"/>
  <c r="E133" i="4"/>
  <c r="J133" i="4"/>
  <c r="E134" i="4"/>
  <c r="J134" i="4"/>
  <c r="E135" i="4"/>
  <c r="J135" i="4"/>
  <c r="E136" i="4"/>
  <c r="J136" i="4"/>
  <c r="E137" i="4"/>
  <c r="J137" i="4"/>
  <c r="E138" i="4"/>
  <c r="J138" i="4"/>
  <c r="E139" i="4"/>
  <c r="J139" i="4"/>
  <c r="E140" i="4"/>
  <c r="J140" i="4"/>
  <c r="E141" i="4"/>
  <c r="J141" i="4"/>
  <c r="E142" i="4"/>
  <c r="J142" i="4"/>
  <c r="E143" i="4"/>
  <c r="J143" i="4"/>
  <c r="E144" i="4"/>
  <c r="J144" i="4"/>
  <c r="E145" i="4"/>
  <c r="J145" i="4"/>
  <c r="E146" i="4"/>
  <c r="J146" i="4"/>
  <c r="E147" i="4"/>
  <c r="J147" i="4"/>
  <c r="E148" i="4"/>
  <c r="J148" i="4"/>
  <c r="E149" i="4"/>
  <c r="J149" i="4"/>
  <c r="E150" i="4"/>
  <c r="J150" i="4"/>
  <c r="E151" i="4"/>
  <c r="J151" i="4"/>
  <c r="E152" i="4"/>
  <c r="J152" i="4"/>
  <c r="E153" i="4"/>
  <c r="J153" i="4"/>
  <c r="E154" i="4"/>
  <c r="J154" i="4"/>
  <c r="E155" i="4"/>
  <c r="J155" i="4"/>
  <c r="E156" i="4"/>
  <c r="J156" i="4"/>
  <c r="E157" i="4"/>
  <c r="J157" i="4"/>
  <c r="E158" i="4"/>
  <c r="J158" i="4"/>
  <c r="E159" i="4"/>
  <c r="J159" i="4"/>
  <c r="E160" i="4"/>
  <c r="J160" i="4"/>
  <c r="E161" i="4"/>
  <c r="J161" i="4"/>
  <c r="E162" i="4"/>
  <c r="J162" i="4"/>
  <c r="E163" i="4"/>
  <c r="J163" i="4"/>
  <c r="E164" i="4"/>
  <c r="J164" i="4"/>
  <c r="E165" i="4"/>
  <c r="J165" i="4"/>
  <c r="E166" i="4"/>
  <c r="J166" i="4"/>
  <c r="E167" i="4"/>
  <c r="J167" i="4"/>
  <c r="E168" i="4"/>
  <c r="J168" i="4"/>
  <c r="E169" i="4"/>
  <c r="J169" i="4"/>
  <c r="E170" i="4"/>
  <c r="J170" i="4"/>
  <c r="E171" i="4"/>
  <c r="J171" i="4"/>
  <c r="E172" i="4"/>
  <c r="J172" i="4"/>
  <c r="E173" i="4"/>
  <c r="J173" i="4"/>
  <c r="E174" i="4"/>
  <c r="J174" i="4"/>
  <c r="E175" i="4"/>
  <c r="J175" i="4"/>
  <c r="E176" i="4"/>
  <c r="J176" i="4"/>
  <c r="E177" i="4"/>
  <c r="J177" i="4"/>
  <c r="E178" i="4"/>
  <c r="J178" i="4"/>
  <c r="E179" i="4"/>
  <c r="J179" i="4"/>
  <c r="E180" i="4"/>
  <c r="J180" i="4"/>
  <c r="E181" i="4"/>
  <c r="J181" i="4"/>
  <c r="E182" i="4"/>
  <c r="J182" i="4"/>
  <c r="E183" i="4"/>
  <c r="J183" i="4"/>
  <c r="E184" i="4"/>
  <c r="J184" i="4"/>
  <c r="E185" i="4"/>
  <c r="J185" i="4"/>
  <c r="E186" i="4"/>
  <c r="J186" i="4"/>
  <c r="E187" i="4"/>
  <c r="J187" i="4"/>
  <c r="E188" i="4"/>
  <c r="J188" i="4"/>
  <c r="E189" i="4"/>
  <c r="J189" i="4"/>
  <c r="E190" i="4"/>
  <c r="J190" i="4"/>
  <c r="E191" i="4"/>
  <c r="J191" i="4"/>
  <c r="E192" i="4"/>
  <c r="J192" i="4"/>
  <c r="E193" i="4"/>
  <c r="J193" i="4"/>
  <c r="E194" i="4"/>
  <c r="J194" i="4"/>
  <c r="E195" i="4"/>
  <c r="J195" i="4"/>
  <c r="E196" i="4"/>
  <c r="J196" i="4"/>
  <c r="E197" i="4"/>
  <c r="J197" i="4"/>
  <c r="E198" i="4"/>
  <c r="J198" i="4"/>
  <c r="E199" i="4"/>
  <c r="J199" i="4"/>
  <c r="E200" i="4"/>
  <c r="J200" i="4"/>
  <c r="E201" i="4"/>
  <c r="J201" i="4"/>
  <c r="E202" i="4"/>
  <c r="J202" i="4"/>
  <c r="E203" i="4"/>
  <c r="J203" i="4"/>
  <c r="E204" i="4"/>
  <c r="J204" i="4"/>
  <c r="E205" i="4"/>
  <c r="J205" i="4"/>
  <c r="E206" i="4"/>
  <c r="J206" i="4"/>
  <c r="E207" i="4"/>
  <c r="J207" i="4"/>
  <c r="E208" i="4"/>
  <c r="J208" i="4"/>
  <c r="E209" i="4"/>
  <c r="J209" i="4"/>
  <c r="E210" i="4"/>
  <c r="J210" i="4"/>
  <c r="E211" i="4"/>
  <c r="J211" i="4"/>
  <c r="E212" i="4"/>
  <c r="J212" i="4"/>
  <c r="E213" i="4"/>
  <c r="J213" i="4"/>
  <c r="E214" i="4"/>
  <c r="J214" i="4"/>
  <c r="E215" i="4"/>
  <c r="J215" i="4"/>
  <c r="E216" i="4"/>
  <c r="J216" i="4"/>
  <c r="E217" i="4"/>
  <c r="J217" i="4"/>
  <c r="E218" i="4"/>
  <c r="J218" i="4"/>
  <c r="E219" i="4"/>
  <c r="J219" i="4"/>
  <c r="E220" i="4"/>
  <c r="J220" i="4"/>
  <c r="E221" i="4"/>
  <c r="J221" i="4"/>
  <c r="E222" i="4"/>
  <c r="J222" i="4"/>
  <c r="E223" i="4"/>
  <c r="J223" i="4"/>
  <c r="E224" i="4"/>
  <c r="J224" i="4"/>
  <c r="E225" i="4"/>
  <c r="J225" i="4"/>
  <c r="E226" i="4"/>
  <c r="J226" i="4"/>
  <c r="E227" i="4"/>
  <c r="J227" i="4"/>
  <c r="E228" i="4"/>
  <c r="J228" i="4"/>
  <c r="E229" i="4"/>
  <c r="J229" i="4"/>
  <c r="E230" i="4"/>
  <c r="J230" i="4"/>
  <c r="E231" i="4"/>
  <c r="J231" i="4"/>
  <c r="E232" i="4"/>
  <c r="J232" i="4"/>
  <c r="E233" i="4"/>
  <c r="J233" i="4"/>
  <c r="E234" i="4"/>
  <c r="J234" i="4"/>
  <c r="E235" i="4"/>
  <c r="J235" i="4"/>
  <c r="E236" i="4"/>
  <c r="J236" i="4"/>
  <c r="E237" i="4"/>
  <c r="J237" i="4"/>
  <c r="E238" i="4"/>
  <c r="J238" i="4"/>
  <c r="E239" i="4"/>
  <c r="J239" i="4"/>
  <c r="E240" i="4"/>
  <c r="J240" i="4"/>
  <c r="E241" i="4"/>
  <c r="J241" i="4"/>
  <c r="E242" i="4"/>
  <c r="J242" i="4"/>
  <c r="E243" i="4"/>
  <c r="J243" i="4"/>
  <c r="E244" i="4"/>
  <c r="J244" i="4"/>
  <c r="E245" i="4"/>
  <c r="J245" i="4"/>
  <c r="E246" i="4"/>
  <c r="J246" i="4"/>
  <c r="E247" i="4"/>
  <c r="J247" i="4"/>
  <c r="E248" i="4"/>
  <c r="J248" i="4"/>
  <c r="E249" i="4"/>
  <c r="J249" i="4"/>
  <c r="E250" i="4"/>
  <c r="J250" i="4"/>
  <c r="E251" i="4"/>
  <c r="J251" i="4"/>
  <c r="E252" i="4"/>
  <c r="J252" i="4"/>
  <c r="E253" i="4"/>
  <c r="J253" i="4"/>
  <c r="E254" i="4"/>
  <c r="J254" i="4"/>
  <c r="E255" i="4"/>
  <c r="J255" i="4"/>
  <c r="E256" i="4"/>
  <c r="J256" i="4"/>
  <c r="E257" i="4"/>
  <c r="J257" i="4"/>
  <c r="E258" i="4"/>
  <c r="J258" i="4"/>
  <c r="E259" i="4"/>
  <c r="J259" i="4"/>
  <c r="E260" i="4"/>
  <c r="J260" i="4"/>
  <c r="E261" i="4"/>
  <c r="J261" i="4"/>
  <c r="E262" i="4"/>
  <c r="J262" i="4"/>
  <c r="E263" i="4"/>
  <c r="J263" i="4"/>
  <c r="E264" i="4"/>
  <c r="J264" i="4"/>
  <c r="E265" i="4"/>
  <c r="J265" i="4"/>
  <c r="E266" i="4"/>
  <c r="J266" i="4"/>
  <c r="E267" i="4"/>
  <c r="J267" i="4"/>
  <c r="E268" i="4"/>
  <c r="J268" i="4"/>
  <c r="E269" i="4"/>
  <c r="J269" i="4"/>
  <c r="E270" i="4"/>
  <c r="J270" i="4"/>
  <c r="E271" i="4"/>
  <c r="J271" i="4"/>
  <c r="E272" i="4"/>
  <c r="J272" i="4"/>
  <c r="E273" i="4"/>
  <c r="J273" i="4"/>
  <c r="E274" i="4"/>
  <c r="J274" i="4"/>
  <c r="E275" i="4"/>
  <c r="J275" i="4"/>
  <c r="E276" i="4"/>
  <c r="J276" i="4"/>
  <c r="E277" i="4"/>
  <c r="J277" i="4"/>
  <c r="E278" i="4"/>
  <c r="J278" i="4"/>
  <c r="E279" i="4"/>
  <c r="J279" i="4"/>
  <c r="E280" i="4"/>
  <c r="J280" i="4"/>
  <c r="E281" i="4"/>
  <c r="J281" i="4"/>
  <c r="E282" i="4"/>
  <c r="J282" i="4"/>
  <c r="E283" i="4"/>
  <c r="J283" i="4"/>
  <c r="E284" i="4"/>
  <c r="J284" i="4"/>
  <c r="E285" i="4"/>
  <c r="J285" i="4"/>
  <c r="E286" i="4"/>
  <c r="J286" i="4"/>
  <c r="E287" i="4"/>
  <c r="J287" i="4"/>
  <c r="E288" i="4"/>
  <c r="J288" i="4"/>
  <c r="E289" i="4"/>
  <c r="J289" i="4"/>
  <c r="E290" i="4"/>
  <c r="J290" i="4"/>
  <c r="E291" i="4"/>
  <c r="J291" i="4"/>
  <c r="E292" i="4"/>
  <c r="J292" i="4"/>
  <c r="E293" i="4"/>
  <c r="J293" i="4"/>
  <c r="E294" i="4"/>
  <c r="J294" i="4"/>
  <c r="E295" i="4"/>
  <c r="J295" i="4"/>
  <c r="E296" i="4"/>
  <c r="J296" i="4"/>
  <c r="E297" i="4"/>
  <c r="J297" i="4"/>
  <c r="E298" i="4"/>
  <c r="J298" i="4"/>
  <c r="E299" i="4"/>
  <c r="J299" i="4"/>
  <c r="E300" i="4"/>
  <c r="J300" i="4"/>
  <c r="E301" i="4"/>
  <c r="J301" i="4"/>
  <c r="E302" i="4"/>
  <c r="J302" i="4"/>
  <c r="E303" i="4"/>
  <c r="J303" i="4"/>
  <c r="E304" i="4"/>
  <c r="J304" i="4"/>
  <c r="E305" i="4"/>
  <c r="J305" i="4"/>
  <c r="E306" i="4"/>
  <c r="J306" i="4"/>
  <c r="E307" i="4"/>
  <c r="J307" i="4"/>
  <c r="E308" i="4"/>
  <c r="J308" i="4"/>
  <c r="E309" i="4"/>
  <c r="J309" i="4"/>
  <c r="E310" i="4"/>
  <c r="J310" i="4"/>
  <c r="E311" i="4"/>
  <c r="J311" i="4"/>
  <c r="E312" i="4"/>
  <c r="J312" i="4"/>
  <c r="E313" i="4"/>
  <c r="J313" i="4"/>
  <c r="E314" i="4"/>
  <c r="J314" i="4"/>
  <c r="E315" i="4"/>
  <c r="J315" i="4"/>
  <c r="E316" i="4"/>
  <c r="J316" i="4"/>
  <c r="E317" i="4"/>
  <c r="J317" i="4"/>
  <c r="E318" i="4"/>
  <c r="J318" i="4"/>
  <c r="E319" i="4"/>
  <c r="J319" i="4"/>
  <c r="E320" i="4"/>
  <c r="J320" i="4"/>
  <c r="E321" i="4"/>
  <c r="J321" i="4"/>
  <c r="E322" i="4"/>
  <c r="J322" i="4"/>
  <c r="E323" i="4"/>
  <c r="J323" i="4"/>
  <c r="E324" i="4"/>
  <c r="J324" i="4"/>
  <c r="E325" i="4"/>
  <c r="J325" i="4"/>
  <c r="E326" i="4"/>
  <c r="J326" i="4"/>
  <c r="E327" i="4"/>
  <c r="J327" i="4"/>
  <c r="E328" i="4"/>
  <c r="J328" i="4"/>
  <c r="E329" i="4"/>
  <c r="J329" i="4"/>
  <c r="E330" i="4"/>
  <c r="J330" i="4"/>
  <c r="E331" i="4"/>
  <c r="J331" i="4"/>
  <c r="E332" i="4"/>
  <c r="J332" i="4"/>
  <c r="E333" i="4"/>
  <c r="J333" i="4"/>
  <c r="E334" i="4"/>
  <c r="J334" i="4"/>
  <c r="E335" i="4"/>
  <c r="J335" i="4"/>
  <c r="E336" i="4"/>
  <c r="J336" i="4"/>
  <c r="E337" i="4"/>
  <c r="J337" i="4"/>
  <c r="E338" i="4"/>
  <c r="J338" i="4"/>
  <c r="E339" i="4"/>
  <c r="J339" i="4"/>
  <c r="E340" i="4"/>
  <c r="J340" i="4"/>
  <c r="E341" i="4"/>
  <c r="J341" i="4"/>
  <c r="E342" i="4"/>
  <c r="J342" i="4"/>
  <c r="E343" i="4"/>
  <c r="J343" i="4"/>
  <c r="E344" i="4"/>
  <c r="J344" i="4"/>
  <c r="E345" i="4"/>
  <c r="J345" i="4"/>
  <c r="E346" i="4"/>
  <c r="J346" i="4"/>
  <c r="E347" i="4"/>
  <c r="J347" i="4"/>
  <c r="E348" i="4"/>
  <c r="J348" i="4"/>
  <c r="E349" i="4"/>
  <c r="J349" i="4"/>
  <c r="E350" i="4"/>
  <c r="J350" i="4"/>
  <c r="E351" i="4"/>
  <c r="J351" i="4"/>
  <c r="E352" i="4"/>
  <c r="J352" i="4"/>
  <c r="E353" i="4"/>
  <c r="J353" i="4"/>
  <c r="E354" i="4"/>
  <c r="J354" i="4"/>
  <c r="E355" i="4"/>
  <c r="J355" i="4"/>
  <c r="E356" i="4"/>
  <c r="J356" i="4"/>
  <c r="E357" i="4"/>
  <c r="J357" i="4"/>
  <c r="E358" i="4"/>
  <c r="J358" i="4"/>
  <c r="E359" i="4"/>
  <c r="J359" i="4"/>
  <c r="E360" i="4"/>
  <c r="J360" i="4"/>
  <c r="E361" i="4"/>
  <c r="J361" i="4"/>
  <c r="E362" i="4"/>
  <c r="J362" i="4"/>
  <c r="E363" i="4"/>
  <c r="J363" i="4"/>
  <c r="E364" i="4"/>
  <c r="J364" i="4"/>
  <c r="E365" i="4"/>
  <c r="J365" i="4"/>
  <c r="E366" i="4"/>
  <c r="J366" i="4"/>
  <c r="E367" i="4"/>
  <c r="J367" i="4"/>
  <c r="E368" i="4"/>
  <c r="J368" i="4"/>
  <c r="E369" i="4"/>
  <c r="J369" i="4"/>
  <c r="E370" i="4"/>
  <c r="J370" i="4"/>
  <c r="E371" i="4"/>
  <c r="J371" i="4"/>
  <c r="E372" i="4"/>
  <c r="J372" i="4"/>
  <c r="E373" i="4"/>
  <c r="J373" i="4"/>
  <c r="E374" i="4"/>
  <c r="J374" i="4"/>
  <c r="E375" i="4"/>
  <c r="J375" i="4"/>
  <c r="E376" i="4"/>
  <c r="J376" i="4"/>
  <c r="E377" i="4"/>
  <c r="J377" i="4"/>
  <c r="E378" i="4"/>
  <c r="J378" i="4"/>
  <c r="E379" i="4"/>
  <c r="J379" i="4"/>
  <c r="E380" i="4"/>
  <c r="J380" i="4"/>
  <c r="E381" i="4"/>
  <c r="J381" i="4"/>
  <c r="E382" i="4"/>
  <c r="J382" i="4"/>
  <c r="E383" i="4"/>
  <c r="J383" i="4"/>
  <c r="E384" i="4"/>
  <c r="J384" i="4"/>
  <c r="E385" i="4"/>
  <c r="J385" i="4"/>
  <c r="E386" i="4"/>
  <c r="J386" i="4"/>
  <c r="E387" i="4"/>
  <c r="J387" i="4"/>
  <c r="E388" i="4"/>
  <c r="J388" i="4"/>
  <c r="E389" i="4"/>
  <c r="J389" i="4"/>
  <c r="E390" i="4"/>
  <c r="J390" i="4"/>
  <c r="E391" i="4"/>
  <c r="J391" i="4"/>
  <c r="E392" i="4"/>
  <c r="J392" i="4"/>
  <c r="E393" i="4"/>
  <c r="J393" i="4"/>
  <c r="E394" i="4"/>
  <c r="J394" i="4"/>
  <c r="E395" i="4"/>
  <c r="J395" i="4"/>
  <c r="E396" i="4"/>
  <c r="J396" i="4"/>
  <c r="E397" i="4"/>
  <c r="J397" i="4"/>
  <c r="E398" i="4"/>
  <c r="J398" i="4"/>
  <c r="E399" i="4"/>
  <c r="J399" i="4"/>
  <c r="E400" i="4"/>
  <c r="J400" i="4"/>
  <c r="E401" i="4"/>
  <c r="J401" i="4"/>
  <c r="E402" i="4"/>
  <c r="J402" i="4"/>
  <c r="E403" i="4"/>
  <c r="J403" i="4"/>
  <c r="E404" i="4"/>
  <c r="J404" i="4"/>
  <c r="E405" i="4"/>
  <c r="J405" i="4"/>
  <c r="E406" i="4"/>
  <c r="J406" i="4"/>
  <c r="E407" i="4"/>
  <c r="J407" i="4"/>
  <c r="E408" i="4"/>
  <c r="J408" i="4"/>
  <c r="E409" i="4"/>
  <c r="J409" i="4"/>
  <c r="E410" i="4"/>
  <c r="J410" i="4"/>
  <c r="E411" i="4"/>
  <c r="J411" i="4"/>
  <c r="E412" i="4"/>
  <c r="J412" i="4"/>
  <c r="E413" i="4"/>
  <c r="J413" i="4"/>
  <c r="E414" i="4"/>
  <c r="J414" i="4"/>
  <c r="E415" i="4"/>
  <c r="J415" i="4"/>
  <c r="E416" i="4"/>
  <c r="J416" i="4"/>
  <c r="E417" i="4"/>
  <c r="J417" i="4"/>
  <c r="E418" i="4"/>
  <c r="J418" i="4"/>
  <c r="E419" i="4"/>
  <c r="J419" i="4"/>
  <c r="E420" i="4"/>
  <c r="J420" i="4"/>
  <c r="E421" i="4"/>
  <c r="J421" i="4"/>
  <c r="E422" i="4"/>
  <c r="J422" i="4"/>
  <c r="E423" i="4"/>
  <c r="J423" i="4"/>
  <c r="E424" i="4"/>
  <c r="J424" i="4"/>
  <c r="E425" i="4"/>
  <c r="J425" i="4"/>
  <c r="E426" i="4"/>
  <c r="J426" i="4"/>
  <c r="E427" i="4"/>
  <c r="J427" i="4"/>
  <c r="E428" i="4"/>
  <c r="J428" i="4"/>
  <c r="E429" i="4"/>
  <c r="J429" i="4"/>
  <c r="E430" i="4"/>
  <c r="J430" i="4"/>
  <c r="E431" i="4"/>
  <c r="J431" i="4"/>
  <c r="E432" i="4"/>
  <c r="J432" i="4"/>
  <c r="E433" i="4"/>
  <c r="J433" i="4"/>
  <c r="E434" i="4"/>
  <c r="J434" i="4"/>
  <c r="E435" i="4"/>
  <c r="J435" i="4"/>
  <c r="E436" i="4"/>
  <c r="J436" i="4"/>
  <c r="E437" i="4"/>
  <c r="J437" i="4"/>
  <c r="E438" i="4"/>
  <c r="J438" i="4"/>
  <c r="E439" i="4"/>
  <c r="J439" i="4"/>
  <c r="E440" i="4"/>
  <c r="J440" i="4"/>
  <c r="E441" i="4"/>
  <c r="J441" i="4"/>
  <c r="E442" i="4"/>
  <c r="J442" i="4"/>
  <c r="E443" i="4"/>
  <c r="J443" i="4"/>
  <c r="E444" i="4"/>
  <c r="J444" i="4"/>
  <c r="E445" i="4"/>
  <c r="J445" i="4"/>
  <c r="E446" i="4"/>
  <c r="J446" i="4"/>
  <c r="E447" i="4"/>
  <c r="J447" i="4"/>
  <c r="E448" i="4"/>
  <c r="J448" i="4"/>
  <c r="E449" i="4"/>
  <c r="J449" i="4"/>
  <c r="E450" i="4"/>
  <c r="J450" i="4"/>
  <c r="E451" i="4"/>
  <c r="J451" i="4"/>
  <c r="E452" i="4"/>
  <c r="J452" i="4"/>
  <c r="E453" i="4"/>
  <c r="J453" i="4"/>
  <c r="E454" i="4"/>
  <c r="J454" i="4"/>
  <c r="E455" i="4"/>
  <c r="J455" i="4"/>
  <c r="E456" i="4"/>
  <c r="J456" i="4"/>
  <c r="E457" i="4"/>
  <c r="J457" i="4"/>
  <c r="E458" i="4"/>
  <c r="J458" i="4"/>
  <c r="E459" i="4"/>
  <c r="J459" i="4"/>
  <c r="E460" i="4"/>
  <c r="J460" i="4"/>
  <c r="E461" i="4"/>
  <c r="J461" i="4"/>
  <c r="E462" i="4"/>
  <c r="J462" i="4"/>
  <c r="E463" i="4"/>
  <c r="J463" i="4"/>
  <c r="E464" i="4"/>
  <c r="J464" i="4"/>
  <c r="E465" i="4"/>
  <c r="J465" i="4"/>
  <c r="E466" i="4"/>
  <c r="J466" i="4"/>
  <c r="E467" i="4"/>
  <c r="J467" i="4"/>
  <c r="E468" i="4"/>
  <c r="J468" i="4"/>
  <c r="E469" i="4"/>
  <c r="J469" i="4"/>
  <c r="E470" i="4"/>
  <c r="J470" i="4"/>
  <c r="E471" i="4"/>
  <c r="J471" i="4"/>
  <c r="E472" i="4"/>
  <c r="J472" i="4"/>
  <c r="E473" i="4"/>
  <c r="J473" i="4"/>
  <c r="E474" i="4"/>
  <c r="J474" i="4"/>
  <c r="E475" i="4"/>
  <c r="J475" i="4"/>
  <c r="E476" i="4"/>
  <c r="J476" i="4"/>
  <c r="E477" i="4"/>
  <c r="J477" i="4"/>
  <c r="E478" i="4"/>
  <c r="J478" i="4"/>
  <c r="E479" i="4"/>
  <c r="J479" i="4"/>
  <c r="E480" i="4"/>
  <c r="J480" i="4"/>
  <c r="E481" i="4"/>
  <c r="J481" i="4"/>
  <c r="E482" i="4"/>
  <c r="J482" i="4"/>
  <c r="E483" i="4"/>
  <c r="J483" i="4"/>
  <c r="E484" i="4"/>
  <c r="J484" i="4"/>
  <c r="E485" i="4"/>
  <c r="J485" i="4"/>
  <c r="E486" i="4"/>
  <c r="J486" i="4"/>
  <c r="E487" i="4"/>
  <c r="J487" i="4"/>
  <c r="E488" i="4"/>
  <c r="J488" i="4"/>
  <c r="E489" i="4"/>
  <c r="J489" i="4"/>
  <c r="E490" i="4"/>
  <c r="J490" i="4"/>
  <c r="E491" i="4"/>
  <c r="J491" i="4"/>
  <c r="E492" i="4"/>
  <c r="J492" i="4"/>
  <c r="E493" i="4"/>
  <c r="J493" i="4"/>
  <c r="E494" i="4"/>
  <c r="J494" i="4"/>
  <c r="E495" i="4"/>
  <c r="J495" i="4"/>
  <c r="E496" i="4"/>
  <c r="J496" i="4"/>
  <c r="E497" i="4"/>
  <c r="J497" i="4"/>
  <c r="E498" i="4"/>
  <c r="J498" i="4"/>
  <c r="E499" i="4"/>
  <c r="J499" i="4"/>
  <c r="E500" i="4"/>
  <c r="J500" i="4"/>
  <c r="E501" i="4"/>
  <c r="J501" i="4"/>
  <c r="E502" i="4"/>
  <c r="J502" i="4"/>
  <c r="E503" i="4"/>
  <c r="J503" i="4"/>
  <c r="E504" i="4"/>
  <c r="J504" i="4"/>
  <c r="E505" i="4"/>
  <c r="J505" i="4"/>
  <c r="E506" i="4"/>
  <c r="J506" i="4"/>
  <c r="E507" i="4"/>
  <c r="J507" i="4"/>
  <c r="E508" i="4"/>
  <c r="J508" i="4"/>
  <c r="E509" i="4"/>
  <c r="J509" i="4"/>
  <c r="E510" i="4"/>
  <c r="J510" i="4"/>
  <c r="E511" i="4"/>
  <c r="J511" i="4"/>
  <c r="E512" i="4"/>
  <c r="J512" i="4"/>
  <c r="E513" i="4"/>
  <c r="J513" i="4"/>
  <c r="E514" i="4"/>
  <c r="J514" i="4"/>
  <c r="E515" i="4"/>
  <c r="J515" i="4"/>
  <c r="E516" i="4"/>
  <c r="J516" i="4"/>
  <c r="E517" i="4"/>
  <c r="J517" i="4"/>
  <c r="E518" i="4"/>
  <c r="J518" i="4"/>
  <c r="E519" i="4"/>
  <c r="J519" i="4"/>
  <c r="E520" i="4"/>
  <c r="J520" i="4"/>
  <c r="E521" i="4"/>
  <c r="J521" i="4"/>
  <c r="E522" i="4"/>
  <c r="J522" i="4"/>
  <c r="E523" i="4"/>
  <c r="J523" i="4"/>
  <c r="E524" i="4"/>
  <c r="J524" i="4"/>
  <c r="E525" i="4"/>
  <c r="J525" i="4"/>
  <c r="E526" i="4"/>
  <c r="J526" i="4"/>
  <c r="E527" i="4"/>
  <c r="J527" i="4"/>
  <c r="E528" i="4"/>
  <c r="J528" i="4"/>
  <c r="E529" i="4"/>
  <c r="J529" i="4"/>
  <c r="E530" i="4"/>
  <c r="J530" i="4"/>
  <c r="E531" i="4"/>
  <c r="J531" i="4"/>
  <c r="E532" i="4"/>
  <c r="J532" i="4"/>
  <c r="E533" i="4"/>
  <c r="J533" i="4"/>
  <c r="E534" i="4"/>
  <c r="J534" i="4"/>
  <c r="E535" i="4"/>
  <c r="J535" i="4"/>
  <c r="E536" i="4"/>
  <c r="J536" i="4"/>
  <c r="E537" i="4"/>
  <c r="J537" i="4"/>
  <c r="E538" i="4"/>
  <c r="J538" i="4"/>
  <c r="E539" i="4"/>
  <c r="J539" i="4"/>
  <c r="E540" i="4"/>
  <c r="J540" i="4"/>
  <c r="E541" i="4"/>
  <c r="J541" i="4"/>
  <c r="E542" i="4"/>
  <c r="J542" i="4"/>
  <c r="E543" i="4"/>
  <c r="J543" i="4"/>
  <c r="E544" i="4"/>
  <c r="J544" i="4"/>
  <c r="E545" i="4"/>
  <c r="J545" i="4"/>
  <c r="E546" i="4"/>
  <c r="J546" i="4"/>
  <c r="E547" i="4"/>
  <c r="J547" i="4"/>
  <c r="E548" i="4"/>
  <c r="J548" i="4"/>
  <c r="E549" i="4"/>
  <c r="J549" i="4"/>
  <c r="E550" i="4"/>
  <c r="J550" i="4"/>
  <c r="E551" i="4"/>
  <c r="J551" i="4"/>
  <c r="E552" i="4"/>
  <c r="J552" i="4"/>
  <c r="E553" i="4"/>
  <c r="J553" i="4"/>
  <c r="E554" i="4"/>
  <c r="J554" i="4"/>
  <c r="E555" i="4"/>
  <c r="J555" i="4"/>
  <c r="E556" i="4"/>
  <c r="J556" i="4"/>
  <c r="E557" i="4"/>
  <c r="J557" i="4"/>
  <c r="E558" i="4"/>
  <c r="J558" i="4"/>
  <c r="E559" i="4"/>
  <c r="J559" i="4"/>
  <c r="E560" i="4"/>
  <c r="J560" i="4"/>
  <c r="E561" i="4"/>
  <c r="J561" i="4"/>
  <c r="E562" i="4"/>
  <c r="J562" i="4"/>
  <c r="E563" i="4"/>
  <c r="J563" i="4"/>
  <c r="E564" i="4"/>
  <c r="J564" i="4"/>
  <c r="E565" i="4"/>
  <c r="J565" i="4"/>
  <c r="E566" i="4"/>
  <c r="J566" i="4"/>
  <c r="E567" i="4"/>
  <c r="J567" i="4"/>
  <c r="E568" i="4"/>
  <c r="J568" i="4"/>
  <c r="E569" i="4"/>
  <c r="J569" i="4"/>
  <c r="E570" i="4"/>
  <c r="J570" i="4"/>
  <c r="E571" i="4"/>
  <c r="J571" i="4"/>
  <c r="E572" i="4"/>
  <c r="J572" i="4"/>
  <c r="E573" i="4"/>
  <c r="J573" i="4"/>
  <c r="E574" i="4"/>
  <c r="J574" i="4"/>
  <c r="E575" i="4"/>
  <c r="J575" i="4"/>
  <c r="E576" i="4"/>
  <c r="J576" i="4"/>
  <c r="E577" i="4"/>
  <c r="J577" i="4"/>
  <c r="E578" i="4"/>
  <c r="J578" i="4"/>
  <c r="E579" i="4"/>
  <c r="J579" i="4"/>
  <c r="E580" i="4"/>
  <c r="J580" i="4"/>
  <c r="E581" i="4"/>
  <c r="J581" i="4"/>
  <c r="E582" i="4"/>
  <c r="J582" i="4"/>
  <c r="E583" i="4"/>
  <c r="J583" i="4"/>
  <c r="E584" i="4"/>
  <c r="J584" i="4"/>
  <c r="E585" i="4"/>
  <c r="J585" i="4"/>
  <c r="E586" i="4"/>
  <c r="J586" i="4"/>
  <c r="E587" i="4"/>
  <c r="J587" i="4"/>
  <c r="E588" i="4"/>
  <c r="J588" i="4"/>
  <c r="E589" i="4"/>
  <c r="J589" i="4"/>
  <c r="E590" i="4"/>
  <c r="J590" i="4"/>
  <c r="E591" i="4"/>
  <c r="J591" i="4"/>
  <c r="E592" i="4"/>
  <c r="J592" i="4"/>
  <c r="E593" i="4"/>
  <c r="J593" i="4"/>
  <c r="E594" i="4"/>
  <c r="J594" i="4"/>
  <c r="E595" i="4"/>
  <c r="J595" i="4"/>
  <c r="E596" i="4"/>
  <c r="J596" i="4"/>
  <c r="E597" i="4"/>
  <c r="J597" i="4"/>
  <c r="E598" i="4"/>
  <c r="J598" i="4"/>
  <c r="E599" i="4"/>
  <c r="J599" i="4"/>
  <c r="E600" i="4"/>
  <c r="J600" i="4"/>
  <c r="E601" i="4"/>
  <c r="J601" i="4"/>
  <c r="E602" i="4"/>
  <c r="J602" i="4"/>
  <c r="E603" i="4"/>
  <c r="J603" i="4"/>
  <c r="E604" i="4"/>
  <c r="J604" i="4"/>
  <c r="E605" i="4"/>
  <c r="J605" i="4"/>
  <c r="E606" i="4"/>
  <c r="J606" i="4"/>
  <c r="E607" i="4"/>
  <c r="J607" i="4"/>
  <c r="E608" i="4"/>
  <c r="J608" i="4"/>
  <c r="E609" i="4"/>
  <c r="J609" i="4"/>
  <c r="E610" i="4"/>
  <c r="J610" i="4"/>
  <c r="E611" i="4"/>
  <c r="J611" i="4"/>
  <c r="E612" i="4"/>
  <c r="J612" i="4"/>
  <c r="E613" i="4"/>
  <c r="J613" i="4"/>
  <c r="E614" i="4"/>
  <c r="J614" i="4"/>
  <c r="E615" i="4"/>
  <c r="J615" i="4"/>
  <c r="E616" i="4"/>
  <c r="J616" i="4"/>
  <c r="E617" i="4"/>
  <c r="J617" i="4"/>
  <c r="E618" i="4"/>
  <c r="J618" i="4"/>
  <c r="E619" i="4"/>
  <c r="J619" i="4"/>
  <c r="E620" i="4"/>
  <c r="J620" i="4"/>
  <c r="E621" i="4"/>
  <c r="J621" i="4"/>
  <c r="E622" i="4"/>
  <c r="J622" i="4"/>
  <c r="E623" i="4"/>
  <c r="J623" i="4"/>
  <c r="E624" i="4"/>
  <c r="J624" i="4"/>
  <c r="E625" i="4"/>
  <c r="J625" i="4"/>
  <c r="E626" i="4"/>
  <c r="J626" i="4"/>
  <c r="E627" i="4"/>
  <c r="J627" i="4"/>
  <c r="E628" i="4"/>
  <c r="J628" i="4"/>
  <c r="E629" i="4"/>
  <c r="J629" i="4"/>
  <c r="E630" i="4"/>
  <c r="J630" i="4"/>
  <c r="E631" i="4"/>
  <c r="J631" i="4"/>
  <c r="E632" i="4"/>
  <c r="J632" i="4"/>
  <c r="E633" i="4"/>
  <c r="J633" i="4"/>
  <c r="E634" i="4"/>
  <c r="J634" i="4"/>
  <c r="E635" i="4"/>
  <c r="J635" i="4"/>
  <c r="E636" i="4"/>
  <c r="J636" i="4"/>
  <c r="E637" i="4"/>
  <c r="J637" i="4"/>
  <c r="E638" i="4"/>
  <c r="J638" i="4"/>
  <c r="E639" i="4"/>
  <c r="J639" i="4"/>
  <c r="E640" i="4"/>
  <c r="J640" i="4"/>
  <c r="E641" i="4"/>
  <c r="J641" i="4"/>
  <c r="E642" i="4"/>
  <c r="J642" i="4"/>
  <c r="E643" i="4"/>
  <c r="J643" i="4"/>
  <c r="E644" i="4"/>
  <c r="J644" i="4"/>
  <c r="E645" i="4"/>
  <c r="J645" i="4"/>
  <c r="E646" i="4"/>
  <c r="J646" i="4"/>
  <c r="E647" i="4"/>
  <c r="J647" i="4"/>
  <c r="E648" i="4"/>
  <c r="J648" i="4"/>
  <c r="E649" i="4"/>
  <c r="J649" i="4"/>
  <c r="E650" i="4"/>
  <c r="J650" i="4"/>
  <c r="E651" i="4"/>
  <c r="J651" i="4"/>
  <c r="E652" i="4"/>
  <c r="J652" i="4"/>
  <c r="E653" i="4"/>
  <c r="J653" i="4"/>
  <c r="E654" i="4"/>
  <c r="J654" i="4"/>
  <c r="E655" i="4"/>
  <c r="J655" i="4"/>
  <c r="E656" i="4"/>
  <c r="J656" i="4"/>
  <c r="E657" i="4"/>
  <c r="J657" i="4"/>
  <c r="E658" i="4"/>
  <c r="J658" i="4"/>
  <c r="E659" i="4"/>
  <c r="J659" i="4"/>
  <c r="E660" i="4"/>
  <c r="J660" i="4"/>
  <c r="E661" i="4"/>
  <c r="J661" i="4"/>
  <c r="E662" i="4"/>
  <c r="J662" i="4"/>
  <c r="E663" i="4"/>
  <c r="J663" i="4"/>
  <c r="E664" i="4"/>
  <c r="J664" i="4"/>
  <c r="E665" i="4"/>
  <c r="J665" i="4"/>
  <c r="E666" i="4"/>
  <c r="J666" i="4"/>
  <c r="E667" i="4"/>
  <c r="J667" i="4"/>
  <c r="E668" i="4"/>
  <c r="J668" i="4"/>
  <c r="E669" i="4"/>
  <c r="J669" i="4"/>
  <c r="E670" i="4"/>
  <c r="J670" i="4"/>
  <c r="E671" i="4"/>
  <c r="J671" i="4"/>
  <c r="E672" i="4"/>
  <c r="J672" i="4"/>
  <c r="E673" i="4"/>
  <c r="J673" i="4"/>
  <c r="E674" i="4"/>
  <c r="J674" i="4"/>
  <c r="E675" i="4"/>
  <c r="J675" i="4"/>
  <c r="E676" i="4"/>
  <c r="J676" i="4"/>
  <c r="E677" i="4"/>
  <c r="J677" i="4"/>
  <c r="E678" i="4"/>
  <c r="J678" i="4"/>
  <c r="E679" i="4"/>
  <c r="J679" i="4"/>
  <c r="E680" i="4"/>
  <c r="J680" i="4"/>
  <c r="E681" i="4"/>
  <c r="J681" i="4"/>
  <c r="E682" i="4"/>
  <c r="J682" i="4"/>
  <c r="E683" i="4"/>
  <c r="J683" i="4"/>
  <c r="E684" i="4"/>
  <c r="J684" i="4"/>
  <c r="E685" i="4"/>
  <c r="J685" i="4"/>
  <c r="E686" i="4"/>
  <c r="J686" i="4"/>
  <c r="E687" i="4"/>
  <c r="J687" i="4"/>
  <c r="E688" i="4"/>
  <c r="J688" i="4"/>
  <c r="E689" i="4"/>
  <c r="J689" i="4"/>
  <c r="E690" i="4"/>
  <c r="J690" i="4"/>
  <c r="E691" i="4"/>
  <c r="J691" i="4"/>
  <c r="E692" i="4"/>
  <c r="J692" i="4"/>
  <c r="E693" i="4"/>
  <c r="J693" i="4"/>
  <c r="E694" i="4"/>
  <c r="J694" i="4"/>
  <c r="E695" i="4"/>
  <c r="J695" i="4"/>
  <c r="E696" i="4"/>
  <c r="J696" i="4"/>
  <c r="E697" i="4"/>
  <c r="J697" i="4"/>
  <c r="E698" i="4"/>
  <c r="J698" i="4"/>
  <c r="E699" i="4"/>
  <c r="J699" i="4"/>
  <c r="E700" i="4"/>
  <c r="J700" i="4"/>
  <c r="E701" i="4"/>
  <c r="J701" i="4"/>
  <c r="E702" i="4"/>
  <c r="J702" i="4"/>
  <c r="E703" i="4"/>
  <c r="J703" i="4"/>
  <c r="E704" i="4"/>
  <c r="J704" i="4"/>
  <c r="E705" i="4"/>
  <c r="J705" i="4"/>
  <c r="E706" i="4"/>
  <c r="J706" i="4"/>
  <c r="E707" i="4"/>
  <c r="J707" i="4"/>
  <c r="E708" i="4"/>
  <c r="J708" i="4"/>
  <c r="E709" i="4"/>
  <c r="J709" i="4"/>
  <c r="E710" i="4"/>
  <c r="J710" i="4"/>
  <c r="E711" i="4"/>
  <c r="J711" i="4"/>
  <c r="E712" i="4"/>
  <c r="J712" i="4"/>
  <c r="E713" i="4"/>
  <c r="J713" i="4"/>
  <c r="E714" i="4"/>
  <c r="J714" i="4"/>
  <c r="E715" i="4"/>
  <c r="J715" i="4"/>
  <c r="E716" i="4"/>
  <c r="J716" i="4"/>
  <c r="E717" i="4"/>
  <c r="J717" i="4"/>
  <c r="E718" i="4"/>
  <c r="J718" i="4"/>
  <c r="E719" i="4"/>
  <c r="J719" i="4"/>
  <c r="E720" i="4"/>
  <c r="J720" i="4"/>
  <c r="E721" i="4"/>
  <c r="J721" i="4"/>
  <c r="E722" i="4"/>
  <c r="J722" i="4"/>
  <c r="E723" i="4"/>
  <c r="J723" i="4"/>
  <c r="E724" i="4"/>
  <c r="J724" i="4"/>
  <c r="E725" i="4"/>
  <c r="J725" i="4"/>
  <c r="E726" i="4"/>
  <c r="J726" i="4"/>
  <c r="E727" i="4"/>
  <c r="J727" i="4"/>
  <c r="E728" i="4"/>
  <c r="J728" i="4"/>
  <c r="E729" i="4"/>
  <c r="J729" i="4"/>
  <c r="E730" i="4"/>
  <c r="J730" i="4"/>
  <c r="E731" i="4"/>
  <c r="J731" i="4"/>
  <c r="E732" i="4"/>
  <c r="J732" i="4"/>
  <c r="E733" i="4"/>
  <c r="J733" i="4"/>
  <c r="E734" i="4"/>
  <c r="J734" i="4"/>
  <c r="E735" i="4"/>
  <c r="J735" i="4"/>
  <c r="E736" i="4"/>
  <c r="J736" i="4"/>
  <c r="E737" i="4"/>
  <c r="J737" i="4"/>
  <c r="E738" i="4"/>
  <c r="J738" i="4"/>
  <c r="E739" i="4"/>
  <c r="J739" i="4"/>
  <c r="E740" i="4"/>
  <c r="J740" i="4"/>
  <c r="E741" i="4"/>
  <c r="J741" i="4"/>
  <c r="E742" i="4"/>
  <c r="J742" i="4"/>
  <c r="E743" i="4"/>
  <c r="J743" i="4"/>
  <c r="E744" i="4"/>
  <c r="J744" i="4"/>
  <c r="E745" i="4"/>
  <c r="J745" i="4"/>
  <c r="E746" i="4"/>
  <c r="J746" i="4"/>
  <c r="E747" i="4"/>
  <c r="J747" i="4"/>
  <c r="E748" i="4"/>
  <c r="J748" i="4"/>
  <c r="E749" i="4"/>
  <c r="J749" i="4"/>
  <c r="E750" i="4"/>
  <c r="J750" i="4"/>
  <c r="E751" i="4"/>
  <c r="J751" i="4"/>
  <c r="E752" i="4"/>
  <c r="J752" i="4"/>
  <c r="E753" i="4"/>
  <c r="J753" i="4"/>
  <c r="E754" i="4"/>
  <c r="J754" i="4"/>
  <c r="E755" i="4"/>
  <c r="J755" i="4"/>
  <c r="E756" i="4"/>
  <c r="J756" i="4"/>
  <c r="E757" i="4"/>
  <c r="J757" i="4"/>
  <c r="E758" i="4"/>
  <c r="J758" i="4"/>
  <c r="E759" i="4"/>
  <c r="J759" i="4"/>
  <c r="E760" i="4"/>
  <c r="J760" i="4"/>
  <c r="E761" i="4"/>
  <c r="J761" i="4"/>
  <c r="E762" i="4"/>
  <c r="J762" i="4"/>
  <c r="E763" i="4"/>
  <c r="J763" i="4"/>
  <c r="E764" i="4"/>
  <c r="J764" i="4"/>
  <c r="E765" i="4"/>
  <c r="J765" i="4"/>
  <c r="E766" i="4"/>
  <c r="J766" i="4"/>
  <c r="E767" i="4"/>
  <c r="J767" i="4"/>
  <c r="E768" i="4"/>
  <c r="J768" i="4"/>
  <c r="E769" i="4"/>
  <c r="J769" i="4"/>
  <c r="E770" i="4"/>
  <c r="J770" i="4"/>
  <c r="E771" i="4"/>
  <c r="J771" i="4"/>
  <c r="E772" i="4"/>
  <c r="J772" i="4"/>
  <c r="E773" i="4"/>
  <c r="J773" i="4"/>
  <c r="E774" i="4"/>
  <c r="J774" i="4"/>
  <c r="E775" i="4"/>
  <c r="J775" i="4"/>
  <c r="E776" i="4"/>
  <c r="J776" i="4"/>
  <c r="E777" i="4"/>
  <c r="J777" i="4"/>
  <c r="E778" i="4"/>
  <c r="J778" i="4"/>
  <c r="E779" i="4"/>
  <c r="J779" i="4"/>
  <c r="E780" i="4"/>
  <c r="J780" i="4"/>
  <c r="E781" i="4"/>
  <c r="J781" i="4"/>
  <c r="E782" i="4"/>
  <c r="J782" i="4"/>
  <c r="E783" i="4"/>
  <c r="J783" i="4"/>
  <c r="E784" i="4"/>
  <c r="J784" i="4"/>
  <c r="E785" i="4"/>
  <c r="J785" i="4"/>
  <c r="E786" i="4"/>
  <c r="J786" i="4"/>
  <c r="E787" i="4"/>
  <c r="J787" i="4"/>
  <c r="E788" i="4"/>
  <c r="J788" i="4"/>
  <c r="E789" i="4"/>
  <c r="J789" i="4"/>
  <c r="E790" i="4"/>
  <c r="J790" i="4"/>
  <c r="E791" i="4"/>
  <c r="J791" i="4"/>
  <c r="E792" i="4"/>
  <c r="J792" i="4"/>
  <c r="E793" i="4"/>
  <c r="J793" i="4"/>
  <c r="E794" i="4"/>
  <c r="J794" i="4"/>
  <c r="E795" i="4"/>
  <c r="J795" i="4"/>
  <c r="E796" i="4"/>
  <c r="J796" i="4"/>
  <c r="E797" i="4"/>
  <c r="J797" i="4"/>
  <c r="E798" i="4"/>
  <c r="J798" i="4"/>
  <c r="E799" i="4"/>
  <c r="J799" i="4"/>
  <c r="E800" i="4"/>
  <c r="J800" i="4"/>
  <c r="E801" i="4"/>
  <c r="J801" i="4"/>
  <c r="E802" i="4"/>
  <c r="J802" i="4"/>
  <c r="E803" i="4"/>
  <c r="J803" i="4"/>
  <c r="E804" i="4"/>
  <c r="J804" i="4"/>
  <c r="E805" i="4"/>
  <c r="J805" i="4"/>
  <c r="E806" i="4"/>
  <c r="J806" i="4"/>
  <c r="E807" i="4"/>
  <c r="J807" i="4"/>
  <c r="E808" i="4"/>
  <c r="J808" i="4"/>
  <c r="E809" i="4"/>
  <c r="J809" i="4"/>
  <c r="E810" i="4"/>
  <c r="J810" i="4"/>
  <c r="E811" i="4"/>
  <c r="J811" i="4"/>
  <c r="E812" i="4"/>
  <c r="J812" i="4"/>
  <c r="E813" i="4"/>
  <c r="J813" i="4"/>
  <c r="E814" i="4"/>
  <c r="J814" i="4"/>
  <c r="E815" i="4"/>
  <c r="J815" i="4"/>
  <c r="E816" i="4"/>
  <c r="J816" i="4"/>
  <c r="E817" i="4"/>
  <c r="J817" i="4"/>
  <c r="E818" i="4"/>
  <c r="J818" i="4"/>
  <c r="E819" i="4"/>
  <c r="J819" i="4"/>
  <c r="E820" i="4"/>
  <c r="J820" i="4"/>
  <c r="E821" i="4"/>
  <c r="J821" i="4"/>
  <c r="E822" i="4"/>
  <c r="J822" i="4"/>
  <c r="E823" i="4"/>
  <c r="J823" i="4"/>
  <c r="E824" i="4"/>
  <c r="J824" i="4"/>
  <c r="E825" i="4"/>
  <c r="J825" i="4"/>
  <c r="E826" i="4"/>
  <c r="J826" i="4"/>
  <c r="E827" i="4"/>
  <c r="J827" i="4"/>
  <c r="E828" i="4"/>
  <c r="J828" i="4"/>
  <c r="E829" i="4"/>
  <c r="J829" i="4"/>
  <c r="E830" i="4"/>
  <c r="J830" i="4"/>
  <c r="E831" i="4"/>
  <c r="J831" i="4"/>
  <c r="E832" i="4"/>
  <c r="J832" i="4"/>
  <c r="E833" i="4"/>
  <c r="J833" i="4"/>
  <c r="E834" i="4"/>
  <c r="J834" i="4"/>
  <c r="E835" i="4"/>
  <c r="J835" i="4"/>
  <c r="E836" i="4"/>
  <c r="J836" i="4"/>
  <c r="E837" i="4"/>
  <c r="J837" i="4"/>
  <c r="E838" i="4"/>
  <c r="J838" i="4"/>
  <c r="E839" i="4"/>
  <c r="J839" i="4"/>
  <c r="E840" i="4"/>
  <c r="J840" i="4"/>
  <c r="E841" i="4"/>
  <c r="J841" i="4"/>
  <c r="E842" i="4"/>
  <c r="J842" i="4"/>
  <c r="E843" i="4"/>
  <c r="J843" i="4"/>
  <c r="E844" i="4"/>
  <c r="J844" i="4"/>
  <c r="E845" i="4"/>
  <c r="J845" i="4"/>
  <c r="E846" i="4"/>
  <c r="J846" i="4"/>
  <c r="E847" i="4"/>
  <c r="J847" i="4"/>
  <c r="E848" i="4"/>
  <c r="J848" i="4"/>
  <c r="E849" i="4"/>
  <c r="J849" i="4"/>
  <c r="E850" i="4"/>
  <c r="J850" i="4"/>
  <c r="E851" i="4"/>
  <c r="J851" i="4"/>
  <c r="E852" i="4"/>
  <c r="J852" i="4"/>
  <c r="E853" i="4"/>
  <c r="J853" i="4"/>
  <c r="E854" i="4"/>
  <c r="J854" i="4"/>
  <c r="E855" i="4"/>
  <c r="J855" i="4"/>
  <c r="E856" i="4"/>
  <c r="J856" i="4"/>
  <c r="E857" i="4"/>
  <c r="J857" i="4"/>
  <c r="E858" i="4"/>
  <c r="J858" i="4"/>
  <c r="E859" i="4"/>
  <c r="J859" i="4"/>
  <c r="E860" i="4"/>
  <c r="J860" i="4"/>
  <c r="E861" i="4"/>
  <c r="J861" i="4"/>
  <c r="E862" i="4"/>
  <c r="J862" i="4"/>
  <c r="E863" i="4"/>
  <c r="J863" i="4"/>
  <c r="E864" i="4"/>
  <c r="J864" i="4"/>
  <c r="E865" i="4"/>
  <c r="J865" i="4"/>
  <c r="E866" i="4"/>
  <c r="J866" i="4"/>
  <c r="E867" i="4"/>
  <c r="J867" i="4"/>
  <c r="E868" i="4"/>
  <c r="J868" i="4"/>
  <c r="E869" i="4"/>
  <c r="J869" i="4"/>
  <c r="E870" i="4"/>
  <c r="J870" i="4"/>
  <c r="E871" i="4"/>
  <c r="J871" i="4"/>
  <c r="E872" i="4"/>
  <c r="J872" i="4"/>
  <c r="E873" i="4"/>
  <c r="J873" i="4"/>
  <c r="E874" i="4"/>
  <c r="J874" i="4"/>
  <c r="E875" i="4"/>
  <c r="J875" i="4"/>
  <c r="E876" i="4"/>
  <c r="J876" i="4"/>
  <c r="E877" i="4"/>
  <c r="J877" i="4"/>
  <c r="E878" i="4"/>
  <c r="J878" i="4"/>
  <c r="E879" i="4"/>
  <c r="J879" i="4"/>
  <c r="E880" i="4"/>
  <c r="J880" i="4"/>
  <c r="E881" i="4"/>
  <c r="J881" i="4"/>
  <c r="E882" i="4"/>
  <c r="J882" i="4"/>
  <c r="E883" i="4"/>
  <c r="J883" i="4"/>
  <c r="E884" i="4"/>
  <c r="J884" i="4"/>
  <c r="E885" i="4"/>
  <c r="J885" i="4"/>
  <c r="E886" i="4"/>
  <c r="J886" i="4"/>
  <c r="E887" i="4"/>
  <c r="J887" i="4"/>
  <c r="E888" i="4"/>
  <c r="J888" i="4"/>
  <c r="E889" i="4"/>
  <c r="J889" i="4"/>
  <c r="E890" i="4"/>
  <c r="J890" i="4"/>
  <c r="E891" i="4"/>
  <c r="J891" i="4"/>
  <c r="E892" i="4"/>
  <c r="J892" i="4"/>
  <c r="E893" i="4"/>
  <c r="J893" i="4"/>
  <c r="E894" i="4"/>
  <c r="J894" i="4"/>
  <c r="E895" i="4"/>
  <c r="J895" i="4"/>
  <c r="E896" i="4"/>
  <c r="J896" i="4"/>
  <c r="E897" i="4"/>
  <c r="J897" i="4"/>
  <c r="E898" i="4"/>
  <c r="J898" i="4"/>
  <c r="E899" i="4"/>
  <c r="J899" i="4"/>
  <c r="E900" i="4"/>
  <c r="J900" i="4"/>
  <c r="E901" i="4"/>
  <c r="J901" i="4"/>
  <c r="E902" i="4"/>
  <c r="J902" i="4"/>
  <c r="E903" i="4"/>
  <c r="J903" i="4"/>
  <c r="E904" i="4"/>
  <c r="J904" i="4"/>
  <c r="E905" i="4"/>
  <c r="J905" i="4"/>
  <c r="E906" i="4"/>
  <c r="J906" i="4"/>
  <c r="E907" i="4"/>
  <c r="J907" i="4"/>
  <c r="E908" i="4"/>
  <c r="J908" i="4"/>
  <c r="E909" i="4"/>
  <c r="J909" i="4"/>
  <c r="E910" i="4"/>
  <c r="J910" i="4"/>
  <c r="E911" i="4"/>
  <c r="J911" i="4"/>
  <c r="E912" i="4"/>
  <c r="J912" i="4"/>
  <c r="E913" i="4"/>
  <c r="J913" i="4"/>
  <c r="E914" i="4"/>
  <c r="J914" i="4"/>
  <c r="E915" i="4"/>
  <c r="J915" i="4"/>
  <c r="E916" i="4"/>
  <c r="J916" i="4"/>
  <c r="E917" i="4"/>
  <c r="J917" i="4"/>
  <c r="E918" i="4"/>
  <c r="J918" i="4"/>
  <c r="E919" i="4"/>
  <c r="J919" i="4"/>
  <c r="E920" i="4"/>
  <c r="J920" i="4"/>
  <c r="E921" i="4"/>
  <c r="J921" i="4"/>
  <c r="E922" i="4"/>
  <c r="J922" i="4"/>
  <c r="E923" i="4"/>
  <c r="J923" i="4"/>
  <c r="E924" i="4"/>
  <c r="J924" i="4"/>
  <c r="E925" i="4"/>
  <c r="J925" i="4"/>
  <c r="E926" i="4"/>
  <c r="J926" i="4"/>
  <c r="E927" i="4"/>
  <c r="J927" i="4"/>
  <c r="E928" i="4"/>
  <c r="J928" i="4"/>
  <c r="E929" i="4"/>
  <c r="J929" i="4"/>
  <c r="E930" i="4"/>
  <c r="J930" i="4"/>
  <c r="E931" i="4"/>
  <c r="J931" i="4"/>
  <c r="E932" i="4"/>
  <c r="J932" i="4"/>
  <c r="E933" i="4"/>
  <c r="J933" i="4"/>
  <c r="E934" i="4"/>
  <c r="J934" i="4"/>
  <c r="E935" i="4"/>
  <c r="J935" i="4"/>
  <c r="E936" i="4"/>
  <c r="J936" i="4"/>
  <c r="E937" i="4"/>
  <c r="J937" i="4"/>
  <c r="E938" i="4"/>
  <c r="J938" i="4"/>
  <c r="E939" i="4"/>
  <c r="J939" i="4"/>
  <c r="E940" i="4"/>
  <c r="J940" i="4"/>
  <c r="E941" i="4"/>
  <c r="J941" i="4"/>
  <c r="E942" i="4"/>
  <c r="J942" i="4"/>
  <c r="E943" i="4"/>
  <c r="J943" i="4"/>
  <c r="E944" i="4"/>
  <c r="J944" i="4"/>
  <c r="E945" i="4"/>
  <c r="J945" i="4"/>
  <c r="E946" i="4"/>
  <c r="J946" i="4"/>
  <c r="E947" i="4"/>
  <c r="J947" i="4"/>
  <c r="E948" i="4"/>
  <c r="J948" i="4"/>
  <c r="E949" i="4"/>
  <c r="J949" i="4"/>
  <c r="E950" i="4"/>
  <c r="J950" i="4"/>
  <c r="E951" i="4"/>
  <c r="J951" i="4"/>
  <c r="E952" i="4"/>
  <c r="J952" i="4"/>
  <c r="E953" i="4"/>
  <c r="J953" i="4"/>
  <c r="E954" i="4"/>
  <c r="J954" i="4"/>
  <c r="E955" i="4"/>
  <c r="J955" i="4"/>
  <c r="E956" i="4"/>
  <c r="J956" i="4"/>
  <c r="E957" i="4"/>
  <c r="J957" i="4"/>
  <c r="E958" i="4"/>
  <c r="J958" i="4"/>
  <c r="E959" i="4"/>
  <c r="J959" i="4"/>
  <c r="E960" i="4"/>
  <c r="J960" i="4"/>
  <c r="E961" i="4"/>
  <c r="J961" i="4"/>
  <c r="E962" i="4"/>
  <c r="J962" i="4"/>
  <c r="E963" i="4"/>
  <c r="J963" i="4"/>
  <c r="E964" i="4"/>
  <c r="J964" i="4"/>
  <c r="E965" i="4"/>
  <c r="J965" i="4"/>
  <c r="E966" i="4"/>
  <c r="J966" i="4"/>
  <c r="E967" i="4"/>
  <c r="J967" i="4"/>
  <c r="E968" i="4"/>
  <c r="J968" i="4"/>
  <c r="E969" i="4"/>
  <c r="J969" i="4"/>
  <c r="E970" i="4"/>
  <c r="J970" i="4"/>
  <c r="E971" i="4"/>
  <c r="J971" i="4"/>
  <c r="E972" i="4"/>
  <c r="J972" i="4"/>
  <c r="E973" i="4"/>
  <c r="J973" i="4"/>
  <c r="E974" i="4"/>
  <c r="J974" i="4"/>
  <c r="E975" i="4"/>
  <c r="J975" i="4"/>
  <c r="E976" i="4"/>
  <c r="J976" i="4"/>
  <c r="E977" i="4"/>
  <c r="J977" i="4"/>
  <c r="E978" i="4"/>
  <c r="J978" i="4"/>
  <c r="E979" i="4"/>
  <c r="J979" i="4"/>
  <c r="E980" i="4"/>
  <c r="J980" i="4"/>
  <c r="E981" i="4"/>
  <c r="J981" i="4"/>
  <c r="E982" i="4"/>
  <c r="J982" i="4"/>
  <c r="E983" i="4"/>
  <c r="J983" i="4"/>
  <c r="E984" i="4"/>
  <c r="J984" i="4"/>
  <c r="E985" i="4"/>
  <c r="J985" i="4"/>
  <c r="E986" i="4"/>
  <c r="J986" i="4"/>
  <c r="E987" i="4"/>
  <c r="J987" i="4"/>
  <c r="E988" i="4"/>
  <c r="J988" i="4"/>
  <c r="E989" i="4"/>
  <c r="J989" i="4"/>
  <c r="E990" i="4"/>
  <c r="J990" i="4"/>
  <c r="E991" i="4"/>
  <c r="J991" i="4"/>
  <c r="E992" i="4"/>
  <c r="J992" i="4"/>
  <c r="E993" i="4"/>
  <c r="J993" i="4"/>
  <c r="E994" i="4"/>
  <c r="J994" i="4"/>
  <c r="E995" i="4"/>
  <c r="J995" i="4"/>
  <c r="E996" i="4"/>
  <c r="J996" i="4"/>
  <c r="E997" i="4"/>
  <c r="J997" i="4"/>
  <c r="E998" i="4"/>
  <c r="J998" i="4"/>
  <c r="E999" i="4"/>
  <c r="J999" i="4"/>
  <c r="E1000" i="4"/>
  <c r="J1000" i="4"/>
  <c r="E1001" i="4"/>
  <c r="J1001" i="4"/>
  <c r="E1002" i="4"/>
  <c r="J1002" i="4"/>
  <c r="E1003" i="4"/>
  <c r="J1003" i="4"/>
  <c r="D36" i="2"/>
  <c r="D38" i="2"/>
  <c r="K3" i="4"/>
  <c r="E36" i="2"/>
  <c r="E38" i="2"/>
  <c r="B38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30" i="2"/>
  <c r="C30" i="2"/>
  <c r="D30" i="2"/>
  <c r="B31" i="2"/>
  <c r="C31" i="2"/>
  <c r="D31" i="2"/>
  <c r="B32" i="2"/>
  <c r="C32" i="2"/>
  <c r="D32" i="2"/>
  <c r="E32" i="2"/>
  <c r="E31" i="2"/>
  <c r="E30" i="2"/>
  <c r="E29" i="2" a="1"/>
  <c r="E29" i="2"/>
  <c r="E28" i="2"/>
  <c r="E27" i="2"/>
  <c r="E26" i="2"/>
  <c r="E25" i="2"/>
  <c r="E24" i="2"/>
  <c r="E23" i="2"/>
  <c r="D2" i="4"/>
  <c r="I2" i="4"/>
  <c r="D19" i="3"/>
  <c r="D15" i="3"/>
  <c r="D17" i="3"/>
  <c r="D21" i="3"/>
  <c r="C22" i="3"/>
  <c r="D23" i="3"/>
  <c r="C4" i="3"/>
  <c r="C2" i="3"/>
  <c r="C5" i="3"/>
  <c r="C15" i="3"/>
  <c r="C17" i="3"/>
  <c r="C3" i="3"/>
  <c r="C6" i="3"/>
  <c r="D24" i="3" a="1"/>
  <c r="D24" i="3"/>
  <c r="C26" i="3" a="1"/>
  <c r="C26" i="3"/>
  <c r="C16" i="3"/>
  <c r="C18" i="3"/>
  <c r="C34" i="3"/>
  <c r="C27" i="3" a="1"/>
  <c r="C27" i="3"/>
  <c r="J3" i="3"/>
  <c r="F3" i="3"/>
  <c r="J4" i="3"/>
  <c r="F4" i="3"/>
  <c r="J5" i="3"/>
  <c r="F5" i="3"/>
  <c r="F6" i="3"/>
  <c r="J7" i="3"/>
  <c r="F7" i="3"/>
  <c r="J8" i="3"/>
  <c r="F8" i="3"/>
  <c r="F9" i="3"/>
  <c r="C36" i="3"/>
  <c r="C28" i="3" a="1"/>
  <c r="C28" i="3"/>
  <c r="C37" i="3"/>
  <c r="C38" i="3"/>
  <c r="C29" i="3" a="1"/>
  <c r="C29" i="3"/>
  <c r="C43" i="3"/>
  <c r="D13" i="3"/>
  <c r="D30" i="3" a="1"/>
  <c r="D30" i="3"/>
  <c r="D14" i="3" a="1"/>
  <c r="D14" i="3"/>
  <c r="D32" i="3"/>
  <c r="D26" i="3" a="1"/>
  <c r="D26" i="3"/>
  <c r="D16" i="3"/>
  <c r="D18" i="3"/>
  <c r="D34" i="3"/>
  <c r="D27" i="3" a="1"/>
  <c r="D27" i="3"/>
  <c r="D36" i="3"/>
  <c r="D28" i="3" a="1"/>
  <c r="D28" i="3"/>
  <c r="D37" i="3"/>
  <c r="D38" i="3"/>
  <c r="D29" i="3" a="1"/>
  <c r="D29" i="3"/>
  <c r="D43" i="3"/>
  <c r="K22" i="3" a="1"/>
  <c r="K22" i="3"/>
  <c r="K25" i="3"/>
  <c r="K23" i="3"/>
  <c r="K24" i="3"/>
  <c r="K27" i="3"/>
  <c r="K29" i="3" a="1"/>
  <c r="K29" i="3"/>
  <c r="K30" i="3"/>
  <c r="K31" i="3"/>
  <c r="K26" i="3"/>
  <c r="D40" i="3"/>
  <c r="K28" i="3"/>
  <c r="C2" i="4"/>
  <c r="H2" i="4"/>
  <c r="C19" i="3"/>
  <c r="C21" i="3"/>
  <c r="C23" i="3"/>
  <c r="C24" i="3" a="1"/>
  <c r="C24" i="3"/>
  <c r="C13" i="3"/>
  <c r="C30" i="3" a="1"/>
  <c r="C30" i="3"/>
  <c r="C14" i="3" a="1"/>
  <c r="C14" i="3"/>
  <c r="C32" i="3"/>
  <c r="J22" i="3" a="1"/>
  <c r="J22" i="3"/>
  <c r="J25" i="3"/>
  <c r="J23" i="3"/>
  <c r="J24" i="3"/>
  <c r="J27" i="3"/>
  <c r="J29" i="3" a="1"/>
  <c r="J29" i="3"/>
  <c r="J30" i="3"/>
  <c r="J31" i="3"/>
  <c r="J26" i="3"/>
  <c r="C40" i="3"/>
  <c r="J28" i="3"/>
  <c r="E2" i="4"/>
  <c r="J2" i="4"/>
  <c r="E19" i="3"/>
  <c r="E15" i="3"/>
  <c r="E17" i="3"/>
  <c r="E21" i="3"/>
  <c r="E23" i="3"/>
  <c r="E24" i="3" a="1"/>
  <c r="E24" i="3"/>
  <c r="E13" i="3"/>
  <c r="E30" i="3" a="1"/>
  <c r="E30" i="3"/>
  <c r="E14" i="3" a="1"/>
  <c r="E14" i="3"/>
  <c r="E32" i="3"/>
  <c r="E26" i="3" a="1"/>
  <c r="E26" i="3"/>
  <c r="E16" i="3"/>
  <c r="E18" i="3"/>
  <c r="E34" i="3"/>
  <c r="E27" i="3" a="1"/>
  <c r="E27" i="3"/>
  <c r="E36" i="3"/>
  <c r="E28" i="3" a="1"/>
  <c r="E28" i="3"/>
  <c r="E37" i="3"/>
  <c r="E38" i="3"/>
  <c r="E29" i="3" a="1"/>
  <c r="E29" i="3"/>
  <c r="E43" i="3"/>
  <c r="L22" i="3" a="1"/>
  <c r="L22" i="3"/>
  <c r="L25" i="3"/>
  <c r="L23" i="3"/>
  <c r="L24" i="3"/>
  <c r="L27" i="3"/>
  <c r="L29" i="3" a="1"/>
  <c r="L29" i="3"/>
  <c r="L30" i="3"/>
  <c r="L31" i="3"/>
  <c r="L26" i="3"/>
  <c r="E40" i="3"/>
  <c r="L28" i="3"/>
  <c r="F2" i="4"/>
  <c r="K2" i="4"/>
  <c r="K1003" i="4"/>
  <c r="F19" i="3"/>
  <c r="F15" i="3"/>
  <c r="F17" i="3"/>
  <c r="F21" i="3"/>
  <c r="F23" i="3"/>
  <c r="F24" i="3" a="1"/>
  <c r="F24" i="3"/>
  <c r="F13" i="3"/>
  <c r="F30" i="3" a="1"/>
  <c r="F30" i="3"/>
  <c r="F14" i="3" a="1"/>
  <c r="F14" i="3"/>
  <c r="F32" i="3"/>
  <c r="F26" i="3" a="1"/>
  <c r="F26" i="3"/>
  <c r="F16" i="3"/>
  <c r="F18" i="3"/>
  <c r="F34" i="3"/>
  <c r="F27" i="3" a="1"/>
  <c r="F27" i="3"/>
  <c r="F36" i="3"/>
  <c r="F28" i="3" a="1"/>
  <c r="F28" i="3"/>
  <c r="F37" i="3"/>
  <c r="F38" i="3"/>
  <c r="F29" i="3" a="1"/>
  <c r="F29" i="3"/>
  <c r="F43" i="3"/>
  <c r="M22" i="3" a="1"/>
  <c r="M22" i="3"/>
  <c r="M25" i="3"/>
  <c r="M23" i="3"/>
  <c r="M24" i="3"/>
  <c r="M27" i="3"/>
  <c r="M29" i="3" a="1"/>
  <c r="M29" i="3"/>
  <c r="M30" i="3"/>
  <c r="M31" i="3"/>
  <c r="M26" i="3"/>
  <c r="F40" i="3"/>
  <c r="M28" i="3"/>
  <c r="K1002" i="4"/>
  <c r="F1003" i="4"/>
  <c r="K1001" i="4"/>
  <c r="F1002" i="4"/>
  <c r="K1000" i="4"/>
  <c r="F1001" i="4"/>
  <c r="K999" i="4"/>
  <c r="F1000" i="4"/>
  <c r="K998" i="4"/>
  <c r="F999" i="4"/>
  <c r="K997" i="4"/>
  <c r="F998" i="4"/>
  <c r="K996" i="4"/>
  <c r="F997" i="4"/>
  <c r="K995" i="4"/>
  <c r="F996" i="4"/>
  <c r="K994" i="4"/>
  <c r="F995" i="4"/>
  <c r="K993" i="4"/>
  <c r="F994" i="4"/>
  <c r="K992" i="4"/>
  <c r="F993" i="4"/>
  <c r="K991" i="4"/>
  <c r="F992" i="4"/>
  <c r="K990" i="4"/>
  <c r="F991" i="4"/>
  <c r="K989" i="4"/>
  <c r="F990" i="4"/>
  <c r="K988" i="4"/>
  <c r="F989" i="4"/>
  <c r="K987" i="4"/>
  <c r="F988" i="4"/>
  <c r="K986" i="4"/>
  <c r="F987" i="4"/>
  <c r="K985" i="4"/>
  <c r="F986" i="4"/>
  <c r="K984" i="4"/>
  <c r="F985" i="4"/>
  <c r="K983" i="4"/>
  <c r="F984" i="4"/>
  <c r="K982" i="4"/>
  <c r="F983" i="4"/>
  <c r="K981" i="4"/>
  <c r="F982" i="4"/>
  <c r="K980" i="4"/>
  <c r="F981" i="4"/>
  <c r="K979" i="4"/>
  <c r="F980" i="4"/>
  <c r="K978" i="4"/>
  <c r="F979" i="4"/>
  <c r="K977" i="4"/>
  <c r="F978" i="4"/>
  <c r="K976" i="4"/>
  <c r="F977" i="4"/>
  <c r="K975" i="4"/>
  <c r="F976" i="4"/>
  <c r="K974" i="4"/>
  <c r="F975" i="4"/>
  <c r="K973" i="4"/>
  <c r="F974" i="4"/>
  <c r="K972" i="4"/>
  <c r="F973" i="4"/>
  <c r="K971" i="4"/>
  <c r="F972" i="4"/>
  <c r="K970" i="4"/>
  <c r="F971" i="4"/>
  <c r="K969" i="4"/>
  <c r="F970" i="4"/>
  <c r="K968" i="4"/>
  <c r="F969" i="4"/>
  <c r="K967" i="4"/>
  <c r="F968" i="4"/>
  <c r="K966" i="4"/>
  <c r="F967" i="4"/>
  <c r="K965" i="4"/>
  <c r="F966" i="4"/>
  <c r="K964" i="4"/>
  <c r="F965" i="4"/>
  <c r="K963" i="4"/>
  <c r="F964" i="4"/>
  <c r="K962" i="4"/>
  <c r="F963" i="4"/>
  <c r="K961" i="4"/>
  <c r="F962" i="4"/>
  <c r="K960" i="4"/>
  <c r="F961" i="4"/>
  <c r="K959" i="4"/>
  <c r="F960" i="4"/>
  <c r="K958" i="4"/>
  <c r="F959" i="4"/>
  <c r="K957" i="4"/>
  <c r="F958" i="4"/>
  <c r="K956" i="4"/>
  <c r="F957" i="4"/>
  <c r="K955" i="4"/>
  <c r="F956" i="4"/>
  <c r="K954" i="4"/>
  <c r="F955" i="4"/>
  <c r="K953" i="4"/>
  <c r="F954" i="4"/>
  <c r="K952" i="4"/>
  <c r="F953" i="4"/>
  <c r="K951" i="4"/>
  <c r="F952" i="4"/>
  <c r="K950" i="4"/>
  <c r="F951" i="4"/>
  <c r="K949" i="4"/>
  <c r="F950" i="4"/>
  <c r="K948" i="4"/>
  <c r="F949" i="4"/>
  <c r="K947" i="4"/>
  <c r="F948" i="4"/>
  <c r="K946" i="4"/>
  <c r="F947" i="4"/>
  <c r="K945" i="4"/>
  <c r="F946" i="4"/>
  <c r="K944" i="4"/>
  <c r="F945" i="4"/>
  <c r="K943" i="4"/>
  <c r="F944" i="4"/>
  <c r="K942" i="4"/>
  <c r="F943" i="4"/>
  <c r="K941" i="4"/>
  <c r="F942" i="4"/>
  <c r="K940" i="4"/>
  <c r="F941" i="4"/>
  <c r="K939" i="4"/>
  <c r="F940" i="4"/>
  <c r="K938" i="4"/>
  <c r="F939" i="4"/>
  <c r="K937" i="4"/>
  <c r="F938" i="4"/>
  <c r="K936" i="4"/>
  <c r="F937" i="4"/>
  <c r="K935" i="4"/>
  <c r="F936" i="4"/>
  <c r="K934" i="4"/>
  <c r="F935" i="4"/>
  <c r="K933" i="4"/>
  <c r="F934" i="4"/>
  <c r="K932" i="4"/>
  <c r="F933" i="4"/>
  <c r="K931" i="4"/>
  <c r="F932" i="4"/>
  <c r="K930" i="4"/>
  <c r="F931" i="4"/>
  <c r="K929" i="4"/>
  <c r="F930" i="4"/>
  <c r="K928" i="4"/>
  <c r="F929" i="4"/>
  <c r="K927" i="4"/>
  <c r="F928" i="4"/>
  <c r="K926" i="4"/>
  <c r="F927" i="4"/>
  <c r="K925" i="4"/>
  <c r="F926" i="4"/>
  <c r="K924" i="4"/>
  <c r="F925" i="4"/>
  <c r="K923" i="4"/>
  <c r="F924" i="4"/>
  <c r="K922" i="4"/>
  <c r="F923" i="4"/>
  <c r="K921" i="4"/>
  <c r="F922" i="4"/>
  <c r="K920" i="4"/>
  <c r="F921" i="4"/>
  <c r="K919" i="4"/>
  <c r="F920" i="4"/>
  <c r="K918" i="4"/>
  <c r="F919" i="4"/>
  <c r="K917" i="4"/>
  <c r="F918" i="4"/>
  <c r="K916" i="4"/>
  <c r="F917" i="4"/>
  <c r="K915" i="4"/>
  <c r="F916" i="4"/>
  <c r="K914" i="4"/>
  <c r="F915" i="4"/>
  <c r="K913" i="4"/>
  <c r="F914" i="4"/>
  <c r="K912" i="4"/>
  <c r="F913" i="4"/>
  <c r="K911" i="4"/>
  <c r="F912" i="4"/>
  <c r="K910" i="4"/>
  <c r="F911" i="4"/>
  <c r="K909" i="4"/>
  <c r="F910" i="4"/>
  <c r="K908" i="4"/>
  <c r="F909" i="4"/>
  <c r="K907" i="4"/>
  <c r="F908" i="4"/>
  <c r="K906" i="4"/>
  <c r="F907" i="4"/>
  <c r="K905" i="4"/>
  <c r="F906" i="4"/>
  <c r="K904" i="4"/>
  <c r="F905" i="4"/>
  <c r="K903" i="4"/>
  <c r="F904" i="4"/>
  <c r="K902" i="4"/>
  <c r="F903" i="4"/>
  <c r="K901" i="4"/>
  <c r="F902" i="4"/>
  <c r="K900" i="4"/>
  <c r="F901" i="4"/>
  <c r="K899" i="4"/>
  <c r="F900" i="4"/>
  <c r="K898" i="4"/>
  <c r="F899" i="4"/>
  <c r="K897" i="4"/>
  <c r="F898" i="4"/>
  <c r="K896" i="4"/>
  <c r="F897" i="4"/>
  <c r="K895" i="4"/>
  <c r="F896" i="4"/>
  <c r="K894" i="4"/>
  <c r="F895" i="4"/>
  <c r="K893" i="4"/>
  <c r="F894" i="4"/>
  <c r="K892" i="4"/>
  <c r="F893" i="4"/>
  <c r="K891" i="4"/>
  <c r="F892" i="4"/>
  <c r="K890" i="4"/>
  <c r="F891" i="4"/>
  <c r="K889" i="4"/>
  <c r="F890" i="4"/>
  <c r="K888" i="4"/>
  <c r="F889" i="4"/>
  <c r="K887" i="4"/>
  <c r="F888" i="4"/>
  <c r="K886" i="4"/>
  <c r="F887" i="4"/>
  <c r="K885" i="4"/>
  <c r="F886" i="4"/>
  <c r="K884" i="4"/>
  <c r="F885" i="4"/>
  <c r="K883" i="4"/>
  <c r="F884" i="4"/>
  <c r="K882" i="4"/>
  <c r="F883" i="4"/>
  <c r="K881" i="4"/>
  <c r="F882" i="4"/>
  <c r="K880" i="4"/>
  <c r="F881" i="4"/>
  <c r="K879" i="4"/>
  <c r="F880" i="4"/>
  <c r="K878" i="4"/>
  <c r="F879" i="4"/>
  <c r="K877" i="4"/>
  <c r="F878" i="4"/>
  <c r="K876" i="4"/>
  <c r="F877" i="4"/>
  <c r="K875" i="4"/>
  <c r="F876" i="4"/>
  <c r="K874" i="4"/>
  <c r="F875" i="4"/>
  <c r="K873" i="4"/>
  <c r="F874" i="4"/>
  <c r="K872" i="4"/>
  <c r="F873" i="4"/>
  <c r="K871" i="4"/>
  <c r="F872" i="4"/>
  <c r="K870" i="4"/>
  <c r="F871" i="4"/>
  <c r="K869" i="4"/>
  <c r="F870" i="4"/>
  <c r="K868" i="4"/>
  <c r="F869" i="4"/>
  <c r="K867" i="4"/>
  <c r="F868" i="4"/>
  <c r="K866" i="4"/>
  <c r="F867" i="4"/>
  <c r="K865" i="4"/>
  <c r="F866" i="4"/>
  <c r="K864" i="4"/>
  <c r="F865" i="4"/>
  <c r="K863" i="4"/>
  <c r="F864" i="4"/>
  <c r="K862" i="4"/>
  <c r="F863" i="4"/>
  <c r="K861" i="4"/>
  <c r="F862" i="4"/>
  <c r="K860" i="4"/>
  <c r="F861" i="4"/>
  <c r="K859" i="4"/>
  <c r="F860" i="4"/>
  <c r="K858" i="4"/>
  <c r="F859" i="4"/>
  <c r="K857" i="4"/>
  <c r="F858" i="4"/>
  <c r="K856" i="4"/>
  <c r="F857" i="4"/>
  <c r="K855" i="4"/>
  <c r="F856" i="4"/>
  <c r="K854" i="4"/>
  <c r="F855" i="4"/>
  <c r="K853" i="4"/>
  <c r="F854" i="4"/>
  <c r="K852" i="4"/>
  <c r="F853" i="4"/>
  <c r="K851" i="4"/>
  <c r="F852" i="4"/>
  <c r="K850" i="4"/>
  <c r="F851" i="4"/>
  <c r="K849" i="4"/>
  <c r="F850" i="4"/>
  <c r="K848" i="4"/>
  <c r="F849" i="4"/>
  <c r="K847" i="4"/>
  <c r="F848" i="4"/>
  <c r="K846" i="4"/>
  <c r="F847" i="4"/>
  <c r="K845" i="4"/>
  <c r="F846" i="4"/>
  <c r="K844" i="4"/>
  <c r="F845" i="4"/>
  <c r="K843" i="4"/>
  <c r="F844" i="4"/>
  <c r="K842" i="4"/>
  <c r="F843" i="4"/>
  <c r="K841" i="4"/>
  <c r="F842" i="4"/>
  <c r="K840" i="4"/>
  <c r="F841" i="4"/>
  <c r="K839" i="4"/>
  <c r="F840" i="4"/>
  <c r="K838" i="4"/>
  <c r="F839" i="4"/>
  <c r="K837" i="4"/>
  <c r="F838" i="4"/>
  <c r="K836" i="4"/>
  <c r="F837" i="4"/>
  <c r="K835" i="4"/>
  <c r="F836" i="4"/>
  <c r="K834" i="4"/>
  <c r="F835" i="4"/>
  <c r="K833" i="4"/>
  <c r="F834" i="4"/>
  <c r="K832" i="4"/>
  <c r="F833" i="4"/>
  <c r="K831" i="4"/>
  <c r="F832" i="4"/>
  <c r="K830" i="4"/>
  <c r="F831" i="4"/>
  <c r="K829" i="4"/>
  <c r="F830" i="4"/>
  <c r="K828" i="4"/>
  <c r="F829" i="4"/>
  <c r="K827" i="4"/>
  <c r="F828" i="4"/>
  <c r="K826" i="4"/>
  <c r="F827" i="4"/>
  <c r="K825" i="4"/>
  <c r="F826" i="4"/>
  <c r="K824" i="4"/>
  <c r="F825" i="4"/>
  <c r="K823" i="4"/>
  <c r="F824" i="4"/>
  <c r="K822" i="4"/>
  <c r="F823" i="4"/>
  <c r="K821" i="4"/>
  <c r="F822" i="4"/>
  <c r="K820" i="4"/>
  <c r="F821" i="4"/>
  <c r="K819" i="4"/>
  <c r="F820" i="4"/>
  <c r="K818" i="4"/>
  <c r="F819" i="4"/>
  <c r="K817" i="4"/>
  <c r="F818" i="4"/>
  <c r="K816" i="4"/>
  <c r="F817" i="4"/>
  <c r="K815" i="4"/>
  <c r="F816" i="4"/>
  <c r="K814" i="4"/>
  <c r="F815" i="4"/>
  <c r="K813" i="4"/>
  <c r="F814" i="4"/>
  <c r="K812" i="4"/>
  <c r="F813" i="4"/>
  <c r="K811" i="4"/>
  <c r="F812" i="4"/>
  <c r="K810" i="4"/>
  <c r="F811" i="4"/>
  <c r="K809" i="4"/>
  <c r="F810" i="4"/>
  <c r="K808" i="4"/>
  <c r="F809" i="4"/>
  <c r="K807" i="4"/>
  <c r="F808" i="4"/>
  <c r="K806" i="4"/>
  <c r="F807" i="4"/>
  <c r="K805" i="4"/>
  <c r="F806" i="4"/>
  <c r="K804" i="4"/>
  <c r="F805" i="4"/>
  <c r="K803" i="4"/>
  <c r="F804" i="4"/>
  <c r="K802" i="4"/>
  <c r="F803" i="4"/>
  <c r="K801" i="4"/>
  <c r="F802" i="4"/>
  <c r="K800" i="4"/>
  <c r="F801" i="4"/>
  <c r="K799" i="4"/>
  <c r="F800" i="4"/>
  <c r="K798" i="4"/>
  <c r="F799" i="4"/>
  <c r="K797" i="4"/>
  <c r="F798" i="4"/>
  <c r="K796" i="4"/>
  <c r="F797" i="4"/>
  <c r="K795" i="4"/>
  <c r="F796" i="4"/>
  <c r="K794" i="4"/>
  <c r="F795" i="4"/>
  <c r="K793" i="4"/>
  <c r="F794" i="4"/>
  <c r="K792" i="4"/>
  <c r="F793" i="4"/>
  <c r="K791" i="4"/>
  <c r="F792" i="4"/>
  <c r="K790" i="4"/>
  <c r="F791" i="4"/>
  <c r="K789" i="4"/>
  <c r="F790" i="4"/>
  <c r="K788" i="4"/>
  <c r="F789" i="4"/>
  <c r="K787" i="4"/>
  <c r="F788" i="4"/>
  <c r="K786" i="4"/>
  <c r="F787" i="4"/>
  <c r="K785" i="4"/>
  <c r="F786" i="4"/>
  <c r="K784" i="4"/>
  <c r="F785" i="4"/>
  <c r="K783" i="4"/>
  <c r="F784" i="4"/>
  <c r="K782" i="4"/>
  <c r="F783" i="4"/>
  <c r="K781" i="4"/>
  <c r="F782" i="4"/>
  <c r="K780" i="4"/>
  <c r="F781" i="4"/>
  <c r="K779" i="4"/>
  <c r="F780" i="4"/>
  <c r="K778" i="4"/>
  <c r="F779" i="4"/>
  <c r="K777" i="4"/>
  <c r="F778" i="4"/>
  <c r="K776" i="4"/>
  <c r="F777" i="4"/>
  <c r="K775" i="4"/>
  <c r="F776" i="4"/>
  <c r="K774" i="4"/>
  <c r="F775" i="4"/>
  <c r="K773" i="4"/>
  <c r="F774" i="4"/>
  <c r="K772" i="4"/>
  <c r="F773" i="4"/>
  <c r="K771" i="4"/>
  <c r="F772" i="4"/>
  <c r="K770" i="4"/>
  <c r="F771" i="4"/>
  <c r="K769" i="4"/>
  <c r="F770" i="4"/>
  <c r="K768" i="4"/>
  <c r="F769" i="4"/>
  <c r="K767" i="4"/>
  <c r="F768" i="4"/>
  <c r="K766" i="4"/>
  <c r="F767" i="4"/>
  <c r="K765" i="4"/>
  <c r="F766" i="4"/>
  <c r="K764" i="4"/>
  <c r="F765" i="4"/>
  <c r="K763" i="4"/>
  <c r="F764" i="4"/>
  <c r="K762" i="4"/>
  <c r="F763" i="4"/>
  <c r="K761" i="4"/>
  <c r="F762" i="4"/>
  <c r="K760" i="4"/>
  <c r="F761" i="4"/>
  <c r="K759" i="4"/>
  <c r="F760" i="4"/>
  <c r="K758" i="4"/>
  <c r="F759" i="4"/>
  <c r="K757" i="4"/>
  <c r="F758" i="4"/>
  <c r="K756" i="4"/>
  <c r="F757" i="4"/>
  <c r="K755" i="4"/>
  <c r="F756" i="4"/>
  <c r="K754" i="4"/>
  <c r="F755" i="4"/>
  <c r="K753" i="4"/>
  <c r="F754" i="4"/>
  <c r="K752" i="4"/>
  <c r="F753" i="4"/>
  <c r="K751" i="4"/>
  <c r="F752" i="4"/>
  <c r="K750" i="4"/>
  <c r="F751" i="4"/>
  <c r="K749" i="4"/>
  <c r="F750" i="4"/>
  <c r="K748" i="4"/>
  <c r="F749" i="4"/>
  <c r="K747" i="4"/>
  <c r="F748" i="4"/>
  <c r="K746" i="4"/>
  <c r="F747" i="4"/>
  <c r="K745" i="4"/>
  <c r="F746" i="4"/>
  <c r="K744" i="4"/>
  <c r="F745" i="4"/>
  <c r="K743" i="4"/>
  <c r="F744" i="4"/>
  <c r="K742" i="4"/>
  <c r="F743" i="4"/>
  <c r="K741" i="4"/>
  <c r="F742" i="4"/>
  <c r="K740" i="4"/>
  <c r="F741" i="4"/>
  <c r="K739" i="4"/>
  <c r="F740" i="4"/>
  <c r="K738" i="4"/>
  <c r="F739" i="4"/>
  <c r="K737" i="4"/>
  <c r="F738" i="4"/>
  <c r="K736" i="4"/>
  <c r="F737" i="4"/>
  <c r="K735" i="4"/>
  <c r="F736" i="4"/>
  <c r="K734" i="4"/>
  <c r="F735" i="4"/>
  <c r="K733" i="4"/>
  <c r="F734" i="4"/>
  <c r="K732" i="4"/>
  <c r="F733" i="4"/>
  <c r="K731" i="4"/>
  <c r="F732" i="4"/>
  <c r="K730" i="4"/>
  <c r="F731" i="4"/>
  <c r="K729" i="4"/>
  <c r="F730" i="4"/>
  <c r="K728" i="4"/>
  <c r="F729" i="4"/>
  <c r="K727" i="4"/>
  <c r="F728" i="4"/>
  <c r="K726" i="4"/>
  <c r="F727" i="4"/>
  <c r="K725" i="4"/>
  <c r="F726" i="4"/>
  <c r="K724" i="4"/>
  <c r="F725" i="4"/>
  <c r="K723" i="4"/>
  <c r="F724" i="4"/>
  <c r="K722" i="4"/>
  <c r="F723" i="4"/>
  <c r="K721" i="4"/>
  <c r="F722" i="4"/>
  <c r="K720" i="4"/>
  <c r="F721" i="4"/>
  <c r="K719" i="4"/>
  <c r="F720" i="4"/>
  <c r="K718" i="4"/>
  <c r="F719" i="4"/>
  <c r="K717" i="4"/>
  <c r="F718" i="4"/>
  <c r="K716" i="4"/>
  <c r="F717" i="4"/>
  <c r="K715" i="4"/>
  <c r="F716" i="4"/>
  <c r="K714" i="4"/>
  <c r="F715" i="4"/>
  <c r="K713" i="4"/>
  <c r="F714" i="4"/>
  <c r="K712" i="4"/>
  <c r="F713" i="4"/>
  <c r="K711" i="4"/>
  <c r="F712" i="4"/>
  <c r="K710" i="4"/>
  <c r="F711" i="4"/>
  <c r="K709" i="4"/>
  <c r="F710" i="4"/>
  <c r="K708" i="4"/>
  <c r="F709" i="4"/>
  <c r="K707" i="4"/>
  <c r="F708" i="4"/>
  <c r="K706" i="4"/>
  <c r="F707" i="4"/>
  <c r="K705" i="4"/>
  <c r="F706" i="4"/>
  <c r="K704" i="4"/>
  <c r="F705" i="4"/>
  <c r="K703" i="4"/>
  <c r="F704" i="4"/>
  <c r="K702" i="4"/>
  <c r="F703" i="4"/>
  <c r="K701" i="4"/>
  <c r="F702" i="4"/>
  <c r="K700" i="4"/>
  <c r="F701" i="4"/>
  <c r="K699" i="4"/>
  <c r="F700" i="4"/>
  <c r="K698" i="4"/>
  <c r="F699" i="4"/>
  <c r="K697" i="4"/>
  <c r="F698" i="4"/>
  <c r="K696" i="4"/>
  <c r="F697" i="4"/>
  <c r="K695" i="4"/>
  <c r="F696" i="4"/>
  <c r="K694" i="4"/>
  <c r="F695" i="4"/>
  <c r="K693" i="4"/>
  <c r="F694" i="4"/>
  <c r="K692" i="4"/>
  <c r="F693" i="4"/>
  <c r="K691" i="4"/>
  <c r="F692" i="4"/>
  <c r="K690" i="4"/>
  <c r="F691" i="4"/>
  <c r="K689" i="4"/>
  <c r="F690" i="4"/>
  <c r="K688" i="4"/>
  <c r="F689" i="4"/>
  <c r="K687" i="4"/>
  <c r="F688" i="4"/>
  <c r="K686" i="4"/>
  <c r="F687" i="4"/>
  <c r="K685" i="4"/>
  <c r="F686" i="4"/>
  <c r="K684" i="4"/>
  <c r="F685" i="4"/>
  <c r="K683" i="4"/>
  <c r="F684" i="4"/>
  <c r="K682" i="4"/>
  <c r="F683" i="4"/>
  <c r="K681" i="4"/>
  <c r="F682" i="4"/>
  <c r="K680" i="4"/>
  <c r="F681" i="4"/>
  <c r="K679" i="4"/>
  <c r="F680" i="4"/>
  <c r="K678" i="4"/>
  <c r="F679" i="4"/>
  <c r="K677" i="4"/>
  <c r="F678" i="4"/>
  <c r="K676" i="4"/>
  <c r="F677" i="4"/>
  <c r="K675" i="4"/>
  <c r="F676" i="4"/>
  <c r="K674" i="4"/>
  <c r="F675" i="4"/>
  <c r="K673" i="4"/>
  <c r="F674" i="4"/>
  <c r="K672" i="4"/>
  <c r="F673" i="4"/>
  <c r="K671" i="4"/>
  <c r="F672" i="4"/>
  <c r="K670" i="4"/>
  <c r="F671" i="4"/>
  <c r="K669" i="4"/>
  <c r="F670" i="4"/>
  <c r="K668" i="4"/>
  <c r="F669" i="4"/>
  <c r="K667" i="4"/>
  <c r="F668" i="4"/>
  <c r="K666" i="4"/>
  <c r="F667" i="4"/>
  <c r="K665" i="4"/>
  <c r="F666" i="4"/>
  <c r="K664" i="4"/>
  <c r="F665" i="4"/>
  <c r="K663" i="4"/>
  <c r="F664" i="4"/>
  <c r="K662" i="4"/>
  <c r="F663" i="4"/>
  <c r="K661" i="4"/>
  <c r="F662" i="4"/>
  <c r="K660" i="4"/>
  <c r="F661" i="4"/>
  <c r="K659" i="4"/>
  <c r="F660" i="4"/>
  <c r="K658" i="4"/>
  <c r="F659" i="4"/>
  <c r="K657" i="4"/>
  <c r="F658" i="4"/>
  <c r="K656" i="4"/>
  <c r="F657" i="4"/>
  <c r="K655" i="4"/>
  <c r="F656" i="4"/>
  <c r="K654" i="4"/>
  <c r="F655" i="4"/>
  <c r="K653" i="4"/>
  <c r="F654" i="4"/>
  <c r="K652" i="4"/>
  <c r="F653" i="4"/>
  <c r="K651" i="4"/>
  <c r="F652" i="4"/>
  <c r="K650" i="4"/>
  <c r="F651" i="4"/>
  <c r="K649" i="4"/>
  <c r="F650" i="4"/>
  <c r="K648" i="4"/>
  <c r="F649" i="4"/>
  <c r="K647" i="4"/>
  <c r="F648" i="4"/>
  <c r="K646" i="4"/>
  <c r="F647" i="4"/>
  <c r="K645" i="4"/>
  <c r="F646" i="4"/>
  <c r="K644" i="4"/>
  <c r="F645" i="4"/>
  <c r="K643" i="4"/>
  <c r="F644" i="4"/>
  <c r="K642" i="4"/>
  <c r="F643" i="4"/>
  <c r="K641" i="4"/>
  <c r="F642" i="4"/>
  <c r="K640" i="4"/>
  <c r="F641" i="4"/>
  <c r="K639" i="4"/>
  <c r="F640" i="4"/>
  <c r="K638" i="4"/>
  <c r="F639" i="4"/>
  <c r="K637" i="4"/>
  <c r="F638" i="4"/>
  <c r="K636" i="4"/>
  <c r="F637" i="4"/>
  <c r="K635" i="4"/>
  <c r="F636" i="4"/>
  <c r="K634" i="4"/>
  <c r="F635" i="4"/>
  <c r="K633" i="4"/>
  <c r="F634" i="4"/>
  <c r="K632" i="4"/>
  <c r="F633" i="4"/>
  <c r="K631" i="4"/>
  <c r="F632" i="4"/>
  <c r="K630" i="4"/>
  <c r="F631" i="4"/>
  <c r="K629" i="4"/>
  <c r="F630" i="4"/>
  <c r="K628" i="4"/>
  <c r="F629" i="4"/>
  <c r="K627" i="4"/>
  <c r="F628" i="4"/>
  <c r="K626" i="4"/>
  <c r="F627" i="4"/>
  <c r="K625" i="4"/>
  <c r="F626" i="4"/>
  <c r="K624" i="4"/>
  <c r="F625" i="4"/>
  <c r="K623" i="4"/>
  <c r="F624" i="4"/>
  <c r="K622" i="4"/>
  <c r="F623" i="4"/>
  <c r="K621" i="4"/>
  <c r="F622" i="4"/>
  <c r="K620" i="4"/>
  <c r="F621" i="4"/>
  <c r="K619" i="4"/>
  <c r="F620" i="4"/>
  <c r="K618" i="4"/>
  <c r="F619" i="4"/>
  <c r="K617" i="4"/>
  <c r="F618" i="4"/>
  <c r="K616" i="4"/>
  <c r="F617" i="4"/>
  <c r="K615" i="4"/>
  <c r="F616" i="4"/>
  <c r="K614" i="4"/>
  <c r="F615" i="4"/>
  <c r="K613" i="4"/>
  <c r="F614" i="4"/>
  <c r="K612" i="4"/>
  <c r="F613" i="4"/>
  <c r="K611" i="4"/>
  <c r="F612" i="4"/>
  <c r="K610" i="4"/>
  <c r="F611" i="4"/>
  <c r="K609" i="4"/>
  <c r="F610" i="4"/>
  <c r="K608" i="4"/>
  <c r="F609" i="4"/>
  <c r="K607" i="4"/>
  <c r="F608" i="4"/>
  <c r="K606" i="4"/>
  <c r="F607" i="4"/>
  <c r="K605" i="4"/>
  <c r="F606" i="4"/>
  <c r="K604" i="4"/>
  <c r="F605" i="4"/>
  <c r="K603" i="4"/>
  <c r="F604" i="4"/>
  <c r="K602" i="4"/>
  <c r="F603" i="4"/>
  <c r="K601" i="4"/>
  <c r="F602" i="4"/>
  <c r="K600" i="4"/>
  <c r="F601" i="4"/>
  <c r="K599" i="4"/>
  <c r="F600" i="4"/>
  <c r="K598" i="4"/>
  <c r="F599" i="4"/>
  <c r="K597" i="4"/>
  <c r="F598" i="4"/>
  <c r="K596" i="4"/>
  <c r="F597" i="4"/>
  <c r="K595" i="4"/>
  <c r="F596" i="4"/>
  <c r="K594" i="4"/>
  <c r="F595" i="4"/>
  <c r="K593" i="4"/>
  <c r="F594" i="4"/>
  <c r="K592" i="4"/>
  <c r="F593" i="4"/>
  <c r="K591" i="4"/>
  <c r="F592" i="4"/>
  <c r="K590" i="4"/>
  <c r="F591" i="4"/>
  <c r="K589" i="4"/>
  <c r="F590" i="4"/>
  <c r="K588" i="4"/>
  <c r="F589" i="4"/>
  <c r="K587" i="4"/>
  <c r="F588" i="4"/>
  <c r="K586" i="4"/>
  <c r="F587" i="4"/>
  <c r="K585" i="4"/>
  <c r="F586" i="4"/>
  <c r="K584" i="4"/>
  <c r="F585" i="4"/>
  <c r="K583" i="4"/>
  <c r="F584" i="4"/>
  <c r="K582" i="4"/>
  <c r="F583" i="4"/>
  <c r="K581" i="4"/>
  <c r="F582" i="4"/>
  <c r="K580" i="4"/>
  <c r="F581" i="4"/>
  <c r="K579" i="4"/>
  <c r="F580" i="4"/>
  <c r="K578" i="4"/>
  <c r="F579" i="4"/>
  <c r="K577" i="4"/>
  <c r="F578" i="4"/>
  <c r="K576" i="4"/>
  <c r="F577" i="4"/>
  <c r="K575" i="4"/>
  <c r="F576" i="4"/>
  <c r="K574" i="4"/>
  <c r="F575" i="4"/>
  <c r="K573" i="4"/>
  <c r="F574" i="4"/>
  <c r="K572" i="4"/>
  <c r="F573" i="4"/>
  <c r="K571" i="4"/>
  <c r="F572" i="4"/>
  <c r="K570" i="4"/>
  <c r="F571" i="4"/>
  <c r="K569" i="4"/>
  <c r="F570" i="4"/>
  <c r="K568" i="4"/>
  <c r="F569" i="4"/>
  <c r="K567" i="4"/>
  <c r="F568" i="4"/>
  <c r="K566" i="4"/>
  <c r="F567" i="4"/>
  <c r="K565" i="4"/>
  <c r="F566" i="4"/>
  <c r="K564" i="4"/>
  <c r="F565" i="4"/>
  <c r="K563" i="4"/>
  <c r="F564" i="4"/>
  <c r="K562" i="4"/>
  <c r="F563" i="4"/>
  <c r="K561" i="4"/>
  <c r="F562" i="4"/>
  <c r="K560" i="4"/>
  <c r="F561" i="4"/>
  <c r="K559" i="4"/>
  <c r="F560" i="4"/>
  <c r="K558" i="4"/>
  <c r="F559" i="4"/>
  <c r="K557" i="4"/>
  <c r="F558" i="4"/>
  <c r="K556" i="4"/>
  <c r="F557" i="4"/>
  <c r="K555" i="4"/>
  <c r="F556" i="4"/>
  <c r="K554" i="4"/>
  <c r="F555" i="4"/>
  <c r="K553" i="4"/>
  <c r="F554" i="4"/>
  <c r="K552" i="4"/>
  <c r="F553" i="4"/>
  <c r="K551" i="4"/>
  <c r="F552" i="4"/>
  <c r="K550" i="4"/>
  <c r="F551" i="4"/>
  <c r="K549" i="4"/>
  <c r="F550" i="4"/>
  <c r="K548" i="4"/>
  <c r="F549" i="4"/>
  <c r="K547" i="4"/>
  <c r="F548" i="4"/>
  <c r="K546" i="4"/>
  <c r="F547" i="4"/>
  <c r="K545" i="4"/>
  <c r="F546" i="4"/>
  <c r="K544" i="4"/>
  <c r="F545" i="4"/>
  <c r="K543" i="4"/>
  <c r="F544" i="4"/>
  <c r="K542" i="4"/>
  <c r="F543" i="4"/>
  <c r="K541" i="4"/>
  <c r="F542" i="4"/>
  <c r="K540" i="4"/>
  <c r="F541" i="4"/>
  <c r="K539" i="4"/>
  <c r="F540" i="4"/>
  <c r="K538" i="4"/>
  <c r="F539" i="4"/>
  <c r="K537" i="4"/>
  <c r="F538" i="4"/>
  <c r="K536" i="4"/>
  <c r="F537" i="4"/>
  <c r="K535" i="4"/>
  <c r="F536" i="4"/>
  <c r="K534" i="4"/>
  <c r="F535" i="4"/>
  <c r="K533" i="4"/>
  <c r="F534" i="4"/>
  <c r="K532" i="4"/>
  <c r="F533" i="4"/>
  <c r="K531" i="4"/>
  <c r="F532" i="4"/>
  <c r="K530" i="4"/>
  <c r="F531" i="4"/>
  <c r="K529" i="4"/>
  <c r="F530" i="4"/>
  <c r="K528" i="4"/>
  <c r="F529" i="4"/>
  <c r="K527" i="4"/>
  <c r="F528" i="4"/>
  <c r="K526" i="4"/>
  <c r="F527" i="4"/>
  <c r="K525" i="4"/>
  <c r="F526" i="4"/>
  <c r="K524" i="4"/>
  <c r="F525" i="4"/>
  <c r="K523" i="4"/>
  <c r="F524" i="4"/>
  <c r="K522" i="4"/>
  <c r="F523" i="4"/>
  <c r="K521" i="4"/>
  <c r="F522" i="4"/>
  <c r="K520" i="4"/>
  <c r="F521" i="4"/>
  <c r="K519" i="4"/>
  <c r="F520" i="4"/>
  <c r="K518" i="4"/>
  <c r="F519" i="4"/>
  <c r="K517" i="4"/>
  <c r="F518" i="4"/>
  <c r="K516" i="4"/>
  <c r="F517" i="4"/>
  <c r="K515" i="4"/>
  <c r="F516" i="4"/>
  <c r="K514" i="4"/>
  <c r="F515" i="4"/>
  <c r="K513" i="4"/>
  <c r="F514" i="4"/>
  <c r="K512" i="4"/>
  <c r="F513" i="4"/>
  <c r="K511" i="4"/>
  <c r="F512" i="4"/>
  <c r="K510" i="4"/>
  <c r="F511" i="4"/>
  <c r="K509" i="4"/>
  <c r="F510" i="4"/>
  <c r="K508" i="4"/>
  <c r="F509" i="4"/>
  <c r="K507" i="4"/>
  <c r="F508" i="4"/>
  <c r="K506" i="4"/>
  <c r="F507" i="4"/>
  <c r="K505" i="4"/>
  <c r="F506" i="4"/>
  <c r="K504" i="4"/>
  <c r="F505" i="4"/>
  <c r="K503" i="4"/>
  <c r="F504" i="4"/>
  <c r="K502" i="4"/>
  <c r="F503" i="4"/>
  <c r="K501" i="4"/>
  <c r="F502" i="4"/>
  <c r="K500" i="4"/>
  <c r="F501" i="4"/>
  <c r="K499" i="4"/>
  <c r="F500" i="4"/>
  <c r="K498" i="4"/>
  <c r="F499" i="4"/>
  <c r="K497" i="4"/>
  <c r="F498" i="4"/>
  <c r="K496" i="4"/>
  <c r="F497" i="4"/>
  <c r="K495" i="4"/>
  <c r="F496" i="4"/>
  <c r="K494" i="4"/>
  <c r="F495" i="4"/>
  <c r="K493" i="4"/>
  <c r="F494" i="4"/>
  <c r="K492" i="4"/>
  <c r="F493" i="4"/>
  <c r="K491" i="4"/>
  <c r="F492" i="4"/>
  <c r="K490" i="4"/>
  <c r="F491" i="4"/>
  <c r="K489" i="4"/>
  <c r="F490" i="4"/>
  <c r="K488" i="4"/>
  <c r="F489" i="4"/>
  <c r="K487" i="4"/>
  <c r="F488" i="4"/>
  <c r="K486" i="4"/>
  <c r="F487" i="4"/>
  <c r="K485" i="4"/>
  <c r="F486" i="4"/>
  <c r="K484" i="4"/>
  <c r="F485" i="4"/>
  <c r="K483" i="4"/>
  <c r="F484" i="4"/>
  <c r="K482" i="4"/>
  <c r="F483" i="4"/>
  <c r="K481" i="4"/>
  <c r="F482" i="4"/>
  <c r="K480" i="4"/>
  <c r="F481" i="4"/>
  <c r="K479" i="4"/>
  <c r="F480" i="4"/>
  <c r="K478" i="4"/>
  <c r="F479" i="4"/>
  <c r="K477" i="4"/>
  <c r="F478" i="4"/>
  <c r="K476" i="4"/>
  <c r="F477" i="4"/>
  <c r="K475" i="4"/>
  <c r="F476" i="4"/>
  <c r="K474" i="4"/>
  <c r="F475" i="4"/>
  <c r="K473" i="4"/>
  <c r="F474" i="4"/>
  <c r="K472" i="4"/>
  <c r="F473" i="4"/>
  <c r="K471" i="4"/>
  <c r="F472" i="4"/>
  <c r="K470" i="4"/>
  <c r="F471" i="4"/>
  <c r="K469" i="4"/>
  <c r="F470" i="4"/>
  <c r="K468" i="4"/>
  <c r="F469" i="4"/>
  <c r="K467" i="4"/>
  <c r="F468" i="4"/>
  <c r="K466" i="4"/>
  <c r="F467" i="4"/>
  <c r="K465" i="4"/>
  <c r="F466" i="4"/>
  <c r="K464" i="4"/>
  <c r="F465" i="4"/>
  <c r="K463" i="4"/>
  <c r="F464" i="4"/>
  <c r="K462" i="4"/>
  <c r="F463" i="4"/>
  <c r="K461" i="4"/>
  <c r="F462" i="4"/>
  <c r="K460" i="4"/>
  <c r="F461" i="4"/>
  <c r="K459" i="4"/>
  <c r="F460" i="4"/>
  <c r="K458" i="4"/>
  <c r="F459" i="4"/>
  <c r="K457" i="4"/>
  <c r="F458" i="4"/>
  <c r="K456" i="4"/>
  <c r="F457" i="4"/>
  <c r="K455" i="4"/>
  <c r="F456" i="4"/>
  <c r="K454" i="4"/>
  <c r="F455" i="4"/>
  <c r="K453" i="4"/>
  <c r="F454" i="4"/>
  <c r="K452" i="4"/>
  <c r="F453" i="4"/>
  <c r="K451" i="4"/>
  <c r="F452" i="4"/>
  <c r="K450" i="4"/>
  <c r="F451" i="4"/>
  <c r="K449" i="4"/>
  <c r="F450" i="4"/>
  <c r="K448" i="4"/>
  <c r="F449" i="4"/>
  <c r="K447" i="4"/>
  <c r="F448" i="4"/>
  <c r="K446" i="4"/>
  <c r="F447" i="4"/>
  <c r="K445" i="4"/>
  <c r="F446" i="4"/>
  <c r="K444" i="4"/>
  <c r="F445" i="4"/>
  <c r="K443" i="4"/>
  <c r="F444" i="4"/>
  <c r="K442" i="4"/>
  <c r="F443" i="4"/>
  <c r="K441" i="4"/>
  <c r="F442" i="4"/>
  <c r="K440" i="4"/>
  <c r="F441" i="4"/>
  <c r="K439" i="4"/>
  <c r="F440" i="4"/>
  <c r="K438" i="4"/>
  <c r="F439" i="4"/>
  <c r="K437" i="4"/>
  <c r="F438" i="4"/>
  <c r="K436" i="4"/>
  <c r="F437" i="4"/>
  <c r="K435" i="4"/>
  <c r="F436" i="4"/>
  <c r="K434" i="4"/>
  <c r="F435" i="4"/>
  <c r="K433" i="4"/>
  <c r="F434" i="4"/>
  <c r="K432" i="4"/>
  <c r="F433" i="4"/>
  <c r="K431" i="4"/>
  <c r="F432" i="4"/>
  <c r="K430" i="4"/>
  <c r="F431" i="4"/>
  <c r="K429" i="4"/>
  <c r="F430" i="4"/>
  <c r="K428" i="4"/>
  <c r="F429" i="4"/>
  <c r="K427" i="4"/>
  <c r="F428" i="4"/>
  <c r="K426" i="4"/>
  <c r="F427" i="4"/>
  <c r="K425" i="4"/>
  <c r="F426" i="4"/>
  <c r="K424" i="4"/>
  <c r="F425" i="4"/>
  <c r="K423" i="4"/>
  <c r="F424" i="4"/>
  <c r="K422" i="4"/>
  <c r="F423" i="4"/>
  <c r="K421" i="4"/>
  <c r="F422" i="4"/>
  <c r="K420" i="4"/>
  <c r="F421" i="4"/>
  <c r="K419" i="4"/>
  <c r="F420" i="4"/>
  <c r="K418" i="4"/>
  <c r="F419" i="4"/>
  <c r="K417" i="4"/>
  <c r="F418" i="4"/>
  <c r="K416" i="4"/>
  <c r="F417" i="4"/>
  <c r="K415" i="4"/>
  <c r="F416" i="4"/>
  <c r="K414" i="4"/>
  <c r="F415" i="4"/>
  <c r="K413" i="4"/>
  <c r="F414" i="4"/>
  <c r="K412" i="4"/>
  <c r="F413" i="4"/>
  <c r="K411" i="4"/>
  <c r="F412" i="4"/>
  <c r="K410" i="4"/>
  <c r="F411" i="4"/>
  <c r="K409" i="4"/>
  <c r="F410" i="4"/>
  <c r="K408" i="4"/>
  <c r="F409" i="4"/>
  <c r="K407" i="4"/>
  <c r="F408" i="4"/>
  <c r="K406" i="4"/>
  <c r="F407" i="4"/>
  <c r="K405" i="4"/>
  <c r="F406" i="4"/>
  <c r="K404" i="4"/>
  <c r="F405" i="4"/>
  <c r="K403" i="4"/>
  <c r="F404" i="4"/>
  <c r="K402" i="4"/>
  <c r="F403" i="4"/>
  <c r="K401" i="4"/>
  <c r="F402" i="4"/>
  <c r="K400" i="4"/>
  <c r="F401" i="4"/>
  <c r="K399" i="4"/>
  <c r="F400" i="4"/>
  <c r="K398" i="4"/>
  <c r="F399" i="4"/>
  <c r="K397" i="4"/>
  <c r="F398" i="4"/>
  <c r="K396" i="4"/>
  <c r="F397" i="4"/>
  <c r="K395" i="4"/>
  <c r="F396" i="4"/>
  <c r="K394" i="4"/>
  <c r="F395" i="4"/>
  <c r="K393" i="4"/>
  <c r="F394" i="4"/>
  <c r="K392" i="4"/>
  <c r="F393" i="4"/>
  <c r="K391" i="4"/>
  <c r="F392" i="4"/>
  <c r="K390" i="4"/>
  <c r="F391" i="4"/>
  <c r="K389" i="4"/>
  <c r="F390" i="4"/>
  <c r="K388" i="4"/>
  <c r="F389" i="4"/>
  <c r="K387" i="4"/>
  <c r="F388" i="4"/>
  <c r="K386" i="4"/>
  <c r="F387" i="4"/>
  <c r="K385" i="4"/>
  <c r="F386" i="4"/>
  <c r="K384" i="4"/>
  <c r="F385" i="4"/>
  <c r="K383" i="4"/>
  <c r="F384" i="4"/>
  <c r="K382" i="4"/>
  <c r="F383" i="4"/>
  <c r="K381" i="4"/>
  <c r="F382" i="4"/>
  <c r="K380" i="4"/>
  <c r="F381" i="4"/>
  <c r="K379" i="4"/>
  <c r="F380" i="4"/>
  <c r="K378" i="4"/>
  <c r="F379" i="4"/>
  <c r="K377" i="4"/>
  <c r="F378" i="4"/>
  <c r="K376" i="4"/>
  <c r="F377" i="4"/>
  <c r="K375" i="4"/>
  <c r="F376" i="4"/>
  <c r="K374" i="4"/>
  <c r="F375" i="4"/>
  <c r="K373" i="4"/>
  <c r="F374" i="4"/>
  <c r="K372" i="4"/>
  <c r="F373" i="4"/>
  <c r="K371" i="4"/>
  <c r="F372" i="4"/>
  <c r="K370" i="4"/>
  <c r="F371" i="4"/>
  <c r="K369" i="4"/>
  <c r="F370" i="4"/>
  <c r="K368" i="4"/>
  <c r="F369" i="4"/>
  <c r="K367" i="4"/>
  <c r="F368" i="4"/>
  <c r="K366" i="4"/>
  <c r="F367" i="4"/>
  <c r="K365" i="4"/>
  <c r="F366" i="4"/>
  <c r="K364" i="4"/>
  <c r="F365" i="4"/>
  <c r="K363" i="4"/>
  <c r="F364" i="4"/>
  <c r="K362" i="4"/>
  <c r="F363" i="4"/>
  <c r="K361" i="4"/>
  <c r="F362" i="4"/>
  <c r="K360" i="4"/>
  <c r="F361" i="4"/>
  <c r="K359" i="4"/>
  <c r="F360" i="4"/>
  <c r="K358" i="4"/>
  <c r="F359" i="4"/>
  <c r="K357" i="4"/>
  <c r="F358" i="4"/>
  <c r="K356" i="4"/>
  <c r="F357" i="4"/>
  <c r="K355" i="4"/>
  <c r="F356" i="4"/>
  <c r="K354" i="4"/>
  <c r="F355" i="4"/>
  <c r="K353" i="4"/>
  <c r="F354" i="4"/>
  <c r="K352" i="4"/>
  <c r="F353" i="4"/>
  <c r="K351" i="4"/>
  <c r="F352" i="4"/>
  <c r="K350" i="4"/>
  <c r="F351" i="4"/>
  <c r="K349" i="4"/>
  <c r="F350" i="4"/>
  <c r="K348" i="4"/>
  <c r="F349" i="4"/>
  <c r="K347" i="4"/>
  <c r="F348" i="4"/>
  <c r="K346" i="4"/>
  <c r="F347" i="4"/>
  <c r="K345" i="4"/>
  <c r="F346" i="4"/>
  <c r="K344" i="4"/>
  <c r="F345" i="4"/>
  <c r="K343" i="4"/>
  <c r="F344" i="4"/>
  <c r="K342" i="4"/>
  <c r="F343" i="4"/>
  <c r="K341" i="4"/>
  <c r="F342" i="4"/>
  <c r="K340" i="4"/>
  <c r="F341" i="4"/>
  <c r="K339" i="4"/>
  <c r="F340" i="4"/>
  <c r="K338" i="4"/>
  <c r="F339" i="4"/>
  <c r="K337" i="4"/>
  <c r="F338" i="4"/>
  <c r="K336" i="4"/>
  <c r="F337" i="4"/>
  <c r="K335" i="4"/>
  <c r="F336" i="4"/>
  <c r="K334" i="4"/>
  <c r="F335" i="4"/>
  <c r="K333" i="4"/>
  <c r="F334" i="4"/>
  <c r="K332" i="4"/>
  <c r="F333" i="4"/>
  <c r="K331" i="4"/>
  <c r="F332" i="4"/>
  <c r="K330" i="4"/>
  <c r="F331" i="4"/>
  <c r="K329" i="4"/>
  <c r="F330" i="4"/>
  <c r="K328" i="4"/>
  <c r="F329" i="4"/>
  <c r="K327" i="4"/>
  <c r="F328" i="4"/>
  <c r="K326" i="4"/>
  <c r="F327" i="4"/>
  <c r="K325" i="4"/>
  <c r="F326" i="4"/>
  <c r="K324" i="4"/>
  <c r="F325" i="4"/>
  <c r="K323" i="4"/>
  <c r="F324" i="4"/>
  <c r="K322" i="4"/>
  <c r="F323" i="4"/>
  <c r="K321" i="4"/>
  <c r="F322" i="4"/>
  <c r="K320" i="4"/>
  <c r="F321" i="4"/>
  <c r="K319" i="4"/>
  <c r="F320" i="4"/>
  <c r="K318" i="4"/>
  <c r="F319" i="4"/>
  <c r="K317" i="4"/>
  <c r="F318" i="4"/>
  <c r="K316" i="4"/>
  <c r="F317" i="4"/>
  <c r="K315" i="4"/>
  <c r="F316" i="4"/>
  <c r="K314" i="4"/>
  <c r="F315" i="4"/>
  <c r="K313" i="4"/>
  <c r="F314" i="4"/>
  <c r="K312" i="4"/>
  <c r="F313" i="4"/>
  <c r="K311" i="4"/>
  <c r="F312" i="4"/>
  <c r="K310" i="4"/>
  <c r="F311" i="4"/>
  <c r="K309" i="4"/>
  <c r="F310" i="4"/>
  <c r="K308" i="4"/>
  <c r="F309" i="4"/>
  <c r="K307" i="4"/>
  <c r="F308" i="4"/>
  <c r="K306" i="4"/>
  <c r="F307" i="4"/>
  <c r="K305" i="4"/>
  <c r="F306" i="4"/>
  <c r="K304" i="4"/>
  <c r="F305" i="4"/>
  <c r="K303" i="4"/>
  <c r="F304" i="4"/>
  <c r="K302" i="4"/>
  <c r="F303" i="4"/>
  <c r="K301" i="4"/>
  <c r="F302" i="4"/>
  <c r="K300" i="4"/>
  <c r="F301" i="4"/>
  <c r="K299" i="4"/>
  <c r="F300" i="4"/>
  <c r="K298" i="4"/>
  <c r="F299" i="4"/>
  <c r="K297" i="4"/>
  <c r="F298" i="4"/>
  <c r="K296" i="4"/>
  <c r="F297" i="4"/>
  <c r="K295" i="4"/>
  <c r="F296" i="4"/>
  <c r="K294" i="4"/>
  <c r="F295" i="4"/>
  <c r="K293" i="4"/>
  <c r="F294" i="4"/>
  <c r="K292" i="4"/>
  <c r="F293" i="4"/>
  <c r="K291" i="4"/>
  <c r="F292" i="4"/>
  <c r="K290" i="4"/>
  <c r="F291" i="4"/>
  <c r="K289" i="4"/>
  <c r="F290" i="4"/>
  <c r="K288" i="4"/>
  <c r="F289" i="4"/>
  <c r="K287" i="4"/>
  <c r="F288" i="4"/>
  <c r="K286" i="4"/>
  <c r="F287" i="4"/>
  <c r="K285" i="4"/>
  <c r="F286" i="4"/>
  <c r="K284" i="4"/>
  <c r="F285" i="4"/>
  <c r="K283" i="4"/>
  <c r="F284" i="4"/>
  <c r="K282" i="4"/>
  <c r="F283" i="4"/>
  <c r="K281" i="4"/>
  <c r="F282" i="4"/>
  <c r="K280" i="4"/>
  <c r="F281" i="4"/>
  <c r="K279" i="4"/>
  <c r="F280" i="4"/>
  <c r="K278" i="4"/>
  <c r="F279" i="4"/>
  <c r="K277" i="4"/>
  <c r="F278" i="4"/>
  <c r="K276" i="4"/>
  <c r="F277" i="4"/>
  <c r="K275" i="4"/>
  <c r="F276" i="4"/>
  <c r="K274" i="4"/>
  <c r="F275" i="4"/>
  <c r="K273" i="4"/>
  <c r="F274" i="4"/>
  <c r="K272" i="4"/>
  <c r="F273" i="4"/>
  <c r="K271" i="4"/>
  <c r="F272" i="4"/>
  <c r="K270" i="4"/>
  <c r="F271" i="4"/>
  <c r="K269" i="4"/>
  <c r="F270" i="4"/>
  <c r="K268" i="4"/>
  <c r="F269" i="4"/>
  <c r="K267" i="4"/>
  <c r="F268" i="4"/>
  <c r="K266" i="4"/>
  <c r="F267" i="4"/>
  <c r="K265" i="4"/>
  <c r="F266" i="4"/>
  <c r="K264" i="4"/>
  <c r="F265" i="4"/>
  <c r="K263" i="4"/>
  <c r="F264" i="4"/>
  <c r="K262" i="4"/>
  <c r="F263" i="4"/>
  <c r="K261" i="4"/>
  <c r="F262" i="4"/>
  <c r="K260" i="4"/>
  <c r="F261" i="4"/>
  <c r="K259" i="4"/>
  <c r="F260" i="4"/>
  <c r="K258" i="4"/>
  <c r="F259" i="4"/>
  <c r="K257" i="4"/>
  <c r="F258" i="4"/>
  <c r="K256" i="4"/>
  <c r="F257" i="4"/>
  <c r="K255" i="4"/>
  <c r="F256" i="4"/>
  <c r="K254" i="4"/>
  <c r="F255" i="4"/>
  <c r="K253" i="4"/>
  <c r="F254" i="4"/>
  <c r="K252" i="4"/>
  <c r="F253" i="4"/>
  <c r="K251" i="4"/>
  <c r="F252" i="4"/>
  <c r="K250" i="4"/>
  <c r="F251" i="4"/>
  <c r="K249" i="4"/>
  <c r="F250" i="4"/>
  <c r="K248" i="4"/>
  <c r="F249" i="4"/>
  <c r="K247" i="4"/>
  <c r="F248" i="4"/>
  <c r="K246" i="4"/>
  <c r="F247" i="4"/>
  <c r="K245" i="4"/>
  <c r="F246" i="4"/>
  <c r="K244" i="4"/>
  <c r="F245" i="4"/>
  <c r="K243" i="4"/>
  <c r="F244" i="4"/>
  <c r="K242" i="4"/>
  <c r="F243" i="4"/>
  <c r="K241" i="4"/>
  <c r="F242" i="4"/>
  <c r="K240" i="4"/>
  <c r="F241" i="4"/>
  <c r="K239" i="4"/>
  <c r="F240" i="4"/>
  <c r="K238" i="4"/>
  <c r="F239" i="4"/>
  <c r="K237" i="4"/>
  <c r="F238" i="4"/>
  <c r="K236" i="4"/>
  <c r="F237" i="4"/>
  <c r="K235" i="4"/>
  <c r="F236" i="4"/>
  <c r="K234" i="4"/>
  <c r="F235" i="4"/>
  <c r="K233" i="4"/>
  <c r="F234" i="4"/>
  <c r="K232" i="4"/>
  <c r="F233" i="4"/>
  <c r="K231" i="4"/>
  <c r="F232" i="4"/>
  <c r="K230" i="4"/>
  <c r="F231" i="4"/>
  <c r="K229" i="4"/>
  <c r="F230" i="4"/>
  <c r="K228" i="4"/>
  <c r="F229" i="4"/>
  <c r="K227" i="4"/>
  <c r="F228" i="4"/>
  <c r="K226" i="4"/>
  <c r="F227" i="4"/>
  <c r="K225" i="4"/>
  <c r="F226" i="4"/>
  <c r="K224" i="4"/>
  <c r="F225" i="4"/>
  <c r="K223" i="4"/>
  <c r="F224" i="4"/>
  <c r="K222" i="4"/>
  <c r="F223" i="4"/>
  <c r="K221" i="4"/>
  <c r="F222" i="4"/>
  <c r="K220" i="4"/>
  <c r="F221" i="4"/>
  <c r="K219" i="4"/>
  <c r="F220" i="4"/>
  <c r="K218" i="4"/>
  <c r="F219" i="4"/>
  <c r="K217" i="4"/>
  <c r="F218" i="4"/>
  <c r="K216" i="4"/>
  <c r="F217" i="4"/>
  <c r="K215" i="4"/>
  <c r="F216" i="4"/>
  <c r="K214" i="4"/>
  <c r="F215" i="4"/>
  <c r="K213" i="4"/>
  <c r="F214" i="4"/>
  <c r="K212" i="4"/>
  <c r="F213" i="4"/>
  <c r="K211" i="4"/>
  <c r="F212" i="4"/>
  <c r="K210" i="4"/>
  <c r="F211" i="4"/>
  <c r="K209" i="4"/>
  <c r="F210" i="4"/>
  <c r="K208" i="4"/>
  <c r="F209" i="4"/>
  <c r="K207" i="4"/>
  <c r="F208" i="4"/>
  <c r="K206" i="4"/>
  <c r="F207" i="4"/>
  <c r="K205" i="4"/>
  <c r="F206" i="4"/>
  <c r="K204" i="4"/>
  <c r="F205" i="4"/>
  <c r="K203" i="4"/>
  <c r="F204" i="4"/>
  <c r="K202" i="4"/>
  <c r="F203" i="4"/>
  <c r="K201" i="4"/>
  <c r="F202" i="4"/>
  <c r="K200" i="4"/>
  <c r="F201" i="4"/>
  <c r="K199" i="4"/>
  <c r="F200" i="4"/>
  <c r="K198" i="4"/>
  <c r="F199" i="4"/>
  <c r="K197" i="4"/>
  <c r="F198" i="4"/>
  <c r="K196" i="4"/>
  <c r="F197" i="4"/>
  <c r="K195" i="4"/>
  <c r="F196" i="4"/>
  <c r="K194" i="4"/>
  <c r="F195" i="4"/>
  <c r="K193" i="4"/>
  <c r="F194" i="4"/>
  <c r="K192" i="4"/>
  <c r="F193" i="4"/>
  <c r="K191" i="4"/>
  <c r="F192" i="4"/>
  <c r="K190" i="4"/>
  <c r="F191" i="4"/>
  <c r="K189" i="4"/>
  <c r="F190" i="4"/>
  <c r="K188" i="4"/>
  <c r="F189" i="4"/>
  <c r="K187" i="4"/>
  <c r="F188" i="4"/>
  <c r="K186" i="4"/>
  <c r="F187" i="4"/>
  <c r="K185" i="4"/>
  <c r="F186" i="4"/>
  <c r="K184" i="4"/>
  <c r="F185" i="4"/>
  <c r="K183" i="4"/>
  <c r="F184" i="4"/>
  <c r="K182" i="4"/>
  <c r="F183" i="4"/>
  <c r="K181" i="4"/>
  <c r="F182" i="4"/>
  <c r="K180" i="4"/>
  <c r="F181" i="4"/>
  <c r="K179" i="4"/>
  <c r="F180" i="4"/>
  <c r="K178" i="4"/>
  <c r="F179" i="4"/>
  <c r="K177" i="4"/>
  <c r="F178" i="4"/>
  <c r="K176" i="4"/>
  <c r="F177" i="4"/>
  <c r="K175" i="4"/>
  <c r="F176" i="4"/>
  <c r="K174" i="4"/>
  <c r="F175" i="4"/>
  <c r="K173" i="4"/>
  <c r="F174" i="4"/>
  <c r="K172" i="4"/>
  <c r="F173" i="4"/>
  <c r="K171" i="4"/>
  <c r="F172" i="4"/>
  <c r="K170" i="4"/>
  <c r="F171" i="4"/>
  <c r="K169" i="4"/>
  <c r="F170" i="4"/>
  <c r="K168" i="4"/>
  <c r="F169" i="4"/>
  <c r="K167" i="4"/>
  <c r="F168" i="4"/>
  <c r="K166" i="4"/>
  <c r="F167" i="4"/>
  <c r="K165" i="4"/>
  <c r="F166" i="4"/>
  <c r="K164" i="4"/>
  <c r="F165" i="4"/>
  <c r="K163" i="4"/>
  <c r="F164" i="4"/>
  <c r="K162" i="4"/>
  <c r="F163" i="4"/>
  <c r="K161" i="4"/>
  <c r="F162" i="4"/>
  <c r="K160" i="4"/>
  <c r="F161" i="4"/>
  <c r="K159" i="4"/>
  <c r="F160" i="4"/>
  <c r="K158" i="4"/>
  <c r="F159" i="4"/>
  <c r="K157" i="4"/>
  <c r="F158" i="4"/>
  <c r="K156" i="4"/>
  <c r="F157" i="4"/>
  <c r="K155" i="4"/>
  <c r="F156" i="4"/>
  <c r="K154" i="4"/>
  <c r="F155" i="4"/>
  <c r="K153" i="4"/>
  <c r="F154" i="4"/>
  <c r="K152" i="4"/>
  <c r="F153" i="4"/>
  <c r="K151" i="4"/>
  <c r="F152" i="4"/>
  <c r="K150" i="4"/>
  <c r="F151" i="4"/>
  <c r="K149" i="4"/>
  <c r="F150" i="4"/>
  <c r="K148" i="4"/>
  <c r="F149" i="4"/>
  <c r="K147" i="4"/>
  <c r="F148" i="4"/>
  <c r="K146" i="4"/>
  <c r="F147" i="4"/>
  <c r="K145" i="4"/>
  <c r="F146" i="4"/>
  <c r="K144" i="4"/>
  <c r="F145" i="4"/>
  <c r="K143" i="4"/>
  <c r="F144" i="4"/>
  <c r="K142" i="4"/>
  <c r="F143" i="4"/>
  <c r="K141" i="4"/>
  <c r="F142" i="4"/>
  <c r="K140" i="4"/>
  <c r="F141" i="4"/>
  <c r="K139" i="4"/>
  <c r="F140" i="4"/>
  <c r="K138" i="4"/>
  <c r="F139" i="4"/>
  <c r="K137" i="4"/>
  <c r="F138" i="4"/>
  <c r="K136" i="4"/>
  <c r="F137" i="4"/>
  <c r="K135" i="4"/>
  <c r="F136" i="4"/>
  <c r="K134" i="4"/>
  <c r="F135" i="4"/>
  <c r="K133" i="4"/>
  <c r="F134" i="4"/>
  <c r="K132" i="4"/>
  <c r="F133" i="4"/>
  <c r="K131" i="4"/>
  <c r="F132" i="4"/>
  <c r="K130" i="4"/>
  <c r="F131" i="4"/>
  <c r="K129" i="4"/>
  <c r="F130" i="4"/>
  <c r="K128" i="4"/>
  <c r="F129" i="4"/>
  <c r="K127" i="4"/>
  <c r="F128" i="4"/>
  <c r="K126" i="4"/>
  <c r="F127" i="4"/>
  <c r="K125" i="4"/>
  <c r="F126" i="4"/>
  <c r="K124" i="4"/>
  <c r="F125" i="4"/>
  <c r="K123" i="4"/>
  <c r="F124" i="4"/>
  <c r="K122" i="4"/>
  <c r="F123" i="4"/>
  <c r="K121" i="4"/>
  <c r="F122" i="4"/>
  <c r="K120" i="4"/>
  <c r="F121" i="4"/>
  <c r="K119" i="4"/>
  <c r="F120" i="4"/>
  <c r="K118" i="4"/>
  <c r="F119" i="4"/>
  <c r="K117" i="4"/>
  <c r="F118" i="4"/>
  <c r="K116" i="4"/>
  <c r="F117" i="4"/>
  <c r="K115" i="4"/>
  <c r="F116" i="4"/>
  <c r="K114" i="4"/>
  <c r="F115" i="4"/>
  <c r="K113" i="4"/>
  <c r="F114" i="4"/>
  <c r="K112" i="4"/>
  <c r="F113" i="4"/>
  <c r="K111" i="4"/>
  <c r="F112" i="4"/>
  <c r="K110" i="4"/>
  <c r="F111" i="4"/>
  <c r="K109" i="4"/>
  <c r="F110" i="4"/>
  <c r="K108" i="4"/>
  <c r="F109" i="4"/>
  <c r="K107" i="4"/>
  <c r="F108" i="4"/>
  <c r="K106" i="4"/>
  <c r="F107" i="4"/>
  <c r="K105" i="4"/>
  <c r="F106" i="4"/>
  <c r="K104" i="4"/>
  <c r="F105" i="4"/>
  <c r="K103" i="4"/>
  <c r="F104" i="4"/>
  <c r="K102" i="4"/>
  <c r="F103" i="4"/>
  <c r="K101" i="4"/>
  <c r="F102" i="4"/>
  <c r="K100" i="4"/>
  <c r="F101" i="4"/>
  <c r="K99" i="4"/>
  <c r="F100" i="4"/>
  <c r="K98" i="4"/>
  <c r="F99" i="4"/>
  <c r="K97" i="4"/>
  <c r="F98" i="4"/>
  <c r="K96" i="4"/>
  <c r="F97" i="4"/>
  <c r="K95" i="4"/>
  <c r="F96" i="4"/>
  <c r="K94" i="4"/>
  <c r="F95" i="4"/>
  <c r="K93" i="4"/>
  <c r="F94" i="4"/>
  <c r="K92" i="4"/>
  <c r="F93" i="4"/>
  <c r="K91" i="4"/>
  <c r="F92" i="4"/>
  <c r="K90" i="4"/>
  <c r="F91" i="4"/>
  <c r="K89" i="4"/>
  <c r="F90" i="4"/>
  <c r="K88" i="4"/>
  <c r="F89" i="4"/>
  <c r="K87" i="4"/>
  <c r="F88" i="4"/>
  <c r="K86" i="4"/>
  <c r="F87" i="4"/>
  <c r="K85" i="4"/>
  <c r="F86" i="4"/>
  <c r="K84" i="4"/>
  <c r="F85" i="4"/>
  <c r="K83" i="4"/>
  <c r="F84" i="4"/>
  <c r="K82" i="4"/>
  <c r="F83" i="4"/>
  <c r="K81" i="4"/>
  <c r="F82" i="4"/>
  <c r="K80" i="4"/>
  <c r="F81" i="4"/>
  <c r="K79" i="4"/>
  <c r="F80" i="4"/>
  <c r="K78" i="4"/>
  <c r="F79" i="4"/>
  <c r="K77" i="4"/>
  <c r="F78" i="4"/>
  <c r="K76" i="4"/>
  <c r="F77" i="4"/>
  <c r="K75" i="4"/>
  <c r="F76" i="4"/>
  <c r="K74" i="4"/>
  <c r="F75" i="4"/>
  <c r="K73" i="4"/>
  <c r="F74" i="4"/>
  <c r="K72" i="4"/>
  <c r="F73" i="4"/>
  <c r="K71" i="4"/>
  <c r="F72" i="4"/>
  <c r="K70" i="4"/>
  <c r="F71" i="4"/>
  <c r="K69" i="4"/>
  <c r="F70" i="4"/>
  <c r="K68" i="4"/>
  <c r="F69" i="4"/>
  <c r="K67" i="4"/>
  <c r="F68" i="4"/>
  <c r="K66" i="4"/>
  <c r="F67" i="4"/>
  <c r="K65" i="4"/>
  <c r="F66" i="4"/>
  <c r="K64" i="4"/>
  <c r="F65" i="4"/>
  <c r="K63" i="4"/>
  <c r="F64" i="4"/>
  <c r="K62" i="4"/>
  <c r="F63" i="4"/>
  <c r="K61" i="4"/>
  <c r="F62" i="4"/>
  <c r="K60" i="4"/>
  <c r="F61" i="4"/>
  <c r="K59" i="4"/>
  <c r="F60" i="4"/>
  <c r="K58" i="4"/>
  <c r="F59" i="4"/>
  <c r="K57" i="4"/>
  <c r="F58" i="4"/>
  <c r="K56" i="4"/>
  <c r="F57" i="4"/>
  <c r="K55" i="4"/>
  <c r="F56" i="4"/>
  <c r="K54" i="4"/>
  <c r="F55" i="4"/>
  <c r="K53" i="4"/>
  <c r="F54" i="4"/>
  <c r="K52" i="4"/>
  <c r="F53" i="4"/>
  <c r="K51" i="4"/>
  <c r="F52" i="4"/>
  <c r="K50" i="4"/>
  <c r="F51" i="4"/>
  <c r="K49" i="4"/>
  <c r="F50" i="4"/>
  <c r="K48" i="4"/>
  <c r="F49" i="4"/>
  <c r="K47" i="4"/>
  <c r="F48" i="4"/>
  <c r="K46" i="4"/>
  <c r="F47" i="4"/>
  <c r="K45" i="4"/>
  <c r="F46" i="4"/>
  <c r="K44" i="4"/>
  <c r="F45" i="4"/>
  <c r="K43" i="4"/>
  <c r="F44" i="4"/>
  <c r="K42" i="4"/>
  <c r="F43" i="4"/>
  <c r="K41" i="4"/>
  <c r="F42" i="4"/>
  <c r="K40" i="4"/>
  <c r="F41" i="4"/>
  <c r="K39" i="4"/>
  <c r="F40" i="4"/>
  <c r="K38" i="4"/>
  <c r="F39" i="4"/>
  <c r="K37" i="4"/>
  <c r="F38" i="4"/>
  <c r="K36" i="4"/>
  <c r="F37" i="4"/>
  <c r="K35" i="4"/>
  <c r="F36" i="4"/>
  <c r="K34" i="4"/>
  <c r="F35" i="4"/>
  <c r="K33" i="4"/>
  <c r="F34" i="4"/>
  <c r="K32" i="4"/>
  <c r="F33" i="4"/>
  <c r="K31" i="4"/>
  <c r="F32" i="4"/>
  <c r="K30" i="4"/>
  <c r="F31" i="4"/>
  <c r="K29" i="4"/>
  <c r="F30" i="4"/>
  <c r="K28" i="4"/>
  <c r="F29" i="4"/>
  <c r="K27" i="4"/>
  <c r="F28" i="4"/>
  <c r="K26" i="4"/>
  <c r="F27" i="4"/>
  <c r="K25" i="4"/>
  <c r="F26" i="4"/>
  <c r="K24" i="4"/>
  <c r="F25" i="4"/>
  <c r="K23" i="4"/>
  <c r="F24" i="4"/>
  <c r="K22" i="4"/>
  <c r="F23" i="4"/>
  <c r="K21" i="4"/>
  <c r="F22" i="4"/>
  <c r="K20" i="4"/>
  <c r="F21" i="4"/>
  <c r="K19" i="4"/>
  <c r="F20" i="4"/>
  <c r="K18" i="4"/>
  <c r="F19" i="4"/>
  <c r="K17" i="4"/>
  <c r="F18" i="4"/>
  <c r="K16" i="4"/>
  <c r="F17" i="4"/>
  <c r="K15" i="4"/>
  <c r="F16" i="4"/>
  <c r="K14" i="4"/>
  <c r="F15" i="4"/>
  <c r="K13" i="4"/>
  <c r="F14" i="4"/>
  <c r="K12" i="4"/>
  <c r="F13" i="4"/>
  <c r="K11" i="4"/>
  <c r="F12" i="4"/>
  <c r="K10" i="4"/>
  <c r="F11" i="4"/>
  <c r="K9" i="4"/>
  <c r="F10" i="4"/>
  <c r="K8" i="4"/>
  <c r="F9" i="4"/>
  <c r="K7" i="4"/>
  <c r="F8" i="4"/>
  <c r="K6" i="4"/>
  <c r="F7" i="4"/>
  <c r="K5" i="4"/>
  <c r="F6" i="4"/>
  <c r="K4" i="4"/>
  <c r="F5" i="4"/>
  <c r="F4" i="4"/>
  <c r="F3" i="4"/>
  <c r="M19" i="3" a="1"/>
  <c r="M19" i="3"/>
  <c r="M13" i="3" a="1"/>
  <c r="M13" i="3"/>
  <c r="M14" i="3"/>
  <c r="M16" i="3"/>
  <c r="M20" i="3"/>
  <c r="M21" i="3"/>
  <c r="L19" i="3" a="1"/>
  <c r="L19" i="3"/>
  <c r="L13" i="3" a="1"/>
  <c r="L13" i="3"/>
  <c r="L14" i="3"/>
  <c r="L16" i="3"/>
  <c r="L20" i="3"/>
  <c r="L21" i="3"/>
  <c r="K19" i="3" a="1"/>
  <c r="K19" i="3"/>
  <c r="K13" i="3" a="1"/>
  <c r="K13" i="3"/>
  <c r="K14" i="3"/>
  <c r="K16" i="3"/>
  <c r="K20" i="3"/>
  <c r="K21" i="3"/>
  <c r="J19" i="3" a="1"/>
  <c r="J19" i="3"/>
  <c r="J13" i="3" a="1"/>
  <c r="J13" i="3"/>
  <c r="J14" i="3"/>
  <c r="J16" i="3"/>
  <c r="J20" i="3"/>
  <c r="J21" i="3"/>
  <c r="M17" i="3"/>
  <c r="L17" i="3"/>
  <c r="K17" i="3"/>
  <c r="J17" i="3"/>
  <c r="M15" i="3"/>
  <c r="L15" i="3"/>
  <c r="K15" i="3"/>
  <c r="J15" i="3"/>
  <c r="M12" i="3"/>
  <c r="L12" i="3"/>
  <c r="K12" i="3"/>
  <c r="J12" i="3"/>
  <c r="F35" i="3"/>
  <c r="F39" i="3"/>
  <c r="F42" i="3"/>
  <c r="E35" i="3"/>
  <c r="E39" i="3"/>
  <c r="E42" i="3"/>
  <c r="D35" i="3"/>
  <c r="D39" i="3"/>
  <c r="D42" i="3"/>
  <c r="C35" i="3"/>
  <c r="C39" i="3"/>
  <c r="C42" i="3"/>
  <c r="F41" i="3"/>
  <c r="E41" i="3"/>
  <c r="D41" i="3"/>
  <c r="C41" i="3"/>
  <c r="F22" i="3"/>
  <c r="E22" i="3"/>
  <c r="D22" i="3"/>
  <c r="F12" i="3"/>
  <c r="E12" i="3"/>
  <c r="D12" i="3"/>
  <c r="C12" i="3"/>
  <c r="H9" i="3"/>
  <c r="G9" i="3"/>
  <c r="K8" i="3"/>
  <c r="I8" i="3"/>
  <c r="K7" i="3"/>
  <c r="I7" i="3"/>
  <c r="H7" i="3"/>
  <c r="G7" i="3"/>
  <c r="H6" i="3"/>
  <c r="G6" i="3"/>
  <c r="K5" i="3"/>
  <c r="I5" i="3"/>
  <c r="G5" i="3"/>
  <c r="K4" i="3"/>
  <c r="I4" i="3"/>
  <c r="H4" i="3"/>
  <c r="G4" i="3"/>
  <c r="K3" i="3"/>
  <c r="I3" i="3"/>
  <c r="H3" i="3"/>
  <c r="G3" i="3"/>
  <c r="A35" i="2"/>
  <c r="E37" i="2"/>
  <c r="D37" i="2"/>
  <c r="C37" i="2"/>
  <c r="B37" i="2"/>
  <c r="E35" i="2"/>
  <c r="D35" i="2"/>
  <c r="C35" i="2"/>
  <c r="B35" i="2"/>
  <c r="E22" i="2"/>
  <c r="D22" i="2"/>
  <c r="C22" i="2"/>
  <c r="B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<sst xmlns="http://schemas.openxmlformats.org/spreadsheetml/2006/main" count="237" uniqueCount="213">
  <si>
    <t>Input Parameters</t>
  </si>
  <si>
    <t>Kinetic Constants</t>
  </si>
  <si>
    <t>Plants</t>
  </si>
  <si>
    <t>Fish</t>
  </si>
  <si>
    <t>Chemical Data (Manual)</t>
  </si>
  <si>
    <t>Conc. Change (ug/kg wet weight/day)</t>
  </si>
  <si>
    <t>Conc (ug/kg wet weight)</t>
  </si>
  <si>
    <t>Name</t>
  </si>
  <si>
    <t>k0_in-aq</t>
  </si>
  <si>
    <t>Timestep</t>
  </si>
  <si>
    <t>t</t>
  </si>
  <si>
    <t>logKow</t>
  </si>
  <si>
    <t>E</t>
  </si>
  <si>
    <t>k0_in-air</t>
  </si>
  <si>
    <t>Ionic logKow</t>
  </si>
  <si>
    <t>S</t>
  </si>
  <si>
    <t>k0_in-pw</t>
  </si>
  <si>
    <t>A</t>
  </si>
  <si>
    <t>k1_in</t>
  </si>
  <si>
    <t>logkoa</t>
  </si>
  <si>
    <t>B</t>
  </si>
  <si>
    <t>k0_out-aq</t>
  </si>
  <si>
    <t>Expiration to Water</t>
  </si>
  <si>
    <t>pka</t>
  </si>
  <si>
    <t>V</t>
  </si>
  <si>
    <t>k0_out-air</t>
  </si>
  <si>
    <t>Expiration to air</t>
  </si>
  <si>
    <t>Ionisation Type</t>
  </si>
  <si>
    <t>Basic</t>
  </si>
  <si>
    <t>L</t>
  </si>
  <si>
    <t>K1_out_urine</t>
  </si>
  <si>
    <t>Excretion to Urine</t>
  </si>
  <si>
    <t>Functional Group</t>
  </si>
  <si>
    <t>Carboxylic Acid</t>
  </si>
  <si>
    <t>http://www.ufz.de/lserd</t>
  </si>
  <si>
    <t>k1_out</t>
  </si>
  <si>
    <t>Egestion with Faeces</t>
  </si>
  <si>
    <t>Half-Life</t>
  </si>
  <si>
    <t>k2_out</t>
  </si>
  <si>
    <t>Dilution by biomass</t>
  </si>
  <si>
    <t>Environmental Data</t>
  </si>
  <si>
    <t>Species Data</t>
  </si>
  <si>
    <t>k3_out</t>
  </si>
  <si>
    <t>Biotransformation</t>
  </si>
  <si>
    <t>Aquatic</t>
  </si>
  <si>
    <t>Trohic  Level</t>
  </si>
  <si>
    <t>Concentration (ug/L)</t>
  </si>
  <si>
    <t>Species</t>
  </si>
  <si>
    <t>None</t>
  </si>
  <si>
    <t>Temperature (K)</t>
  </si>
  <si>
    <t>Mass (kg)</t>
  </si>
  <si>
    <t>Output Parameters</t>
  </si>
  <si>
    <t>pH</t>
  </si>
  <si>
    <t>Enivronment</t>
  </si>
  <si>
    <t>Terrestrial (Soil)</t>
  </si>
  <si>
    <t>Diet</t>
  </si>
  <si>
    <t>Herbivore</t>
  </si>
  <si>
    <t>Carnivore</t>
  </si>
  <si>
    <t>Concentration (ug/kg)</t>
  </si>
  <si>
    <t>Blood Type</t>
  </si>
  <si>
    <t>Cold Blooded</t>
  </si>
  <si>
    <t>Steady-State Conc. (ug/kg wet weight)</t>
  </si>
  <si>
    <t>pH (organism)</t>
  </si>
  <si>
    <t>BCF/BAF</t>
  </si>
  <si>
    <t>Timescale</t>
  </si>
  <si>
    <t>BMF</t>
  </si>
  <si>
    <t>OC Fraction</t>
  </si>
  <si>
    <t>Density (kg/m^3)</t>
  </si>
  <si>
    <t>Soil moisture Content</t>
  </si>
  <si>
    <t>Soil/ Water/Air Coefficients</t>
  </si>
  <si>
    <t>Air:Soil Partition Coefficient</t>
  </si>
  <si>
    <t>K_AS</t>
  </si>
  <si>
    <t>Soil:Water Partition Coefficient</t>
  </si>
  <si>
    <t>K_SW</t>
  </si>
  <si>
    <t>Concentration in Soil (ug/L)</t>
  </si>
  <si>
    <t>C_S</t>
  </si>
  <si>
    <t>Concentration in Air (ug/L)</t>
  </si>
  <si>
    <t>C_A</t>
  </si>
  <si>
    <t>Concentration in Pore Water  (ug/L)</t>
  </si>
  <si>
    <t>C_W</t>
  </si>
  <si>
    <t>LFER Calculations</t>
  </si>
  <si>
    <t>LFER Ionised Coefficient</t>
  </si>
  <si>
    <t>Current Selection</t>
  </si>
  <si>
    <t>Phenoxide</t>
  </si>
  <si>
    <t>1° Amine</t>
  </si>
  <si>
    <t>2° Amine</t>
  </si>
  <si>
    <t>3° Amine</t>
  </si>
  <si>
    <t>Ei</t>
  </si>
  <si>
    <t>Si</t>
  </si>
  <si>
    <t>Ai</t>
  </si>
  <si>
    <t>Bi</t>
  </si>
  <si>
    <t>Vi</t>
  </si>
  <si>
    <t>Ji_pos</t>
  </si>
  <si>
    <t>Ji_neg</t>
  </si>
  <si>
    <t>Parameter</t>
  </si>
  <si>
    <t>Symbol</t>
  </si>
  <si>
    <t>Temperature correction factor</t>
  </si>
  <si>
    <t>qT</t>
  </si>
  <si>
    <t>Production efficiency</t>
  </si>
  <si>
    <t>p_p</t>
  </si>
  <si>
    <t>Ion Ratio (Water)</t>
  </si>
  <si>
    <t>fn_w</t>
  </si>
  <si>
    <t>Ion Ratio (Organism)</t>
  </si>
  <si>
    <t>fn_int</t>
  </si>
  <si>
    <t>Dow (Water)</t>
  </si>
  <si>
    <t>Dow_w</t>
  </si>
  <si>
    <t>Dow (Organism</t>
  </si>
  <si>
    <t>Dow_int</t>
  </si>
  <si>
    <t>Water Resistance</t>
  </si>
  <si>
    <t>ρ_H2O_0</t>
  </si>
  <si>
    <t>Lipid Permiation Resistance</t>
  </si>
  <si>
    <t>ρ_CH2</t>
  </si>
  <si>
    <t>Oxygen consumption rate</t>
  </si>
  <si>
    <t>VO2</t>
  </si>
  <si>
    <t>Dissolved oxygen concentration</t>
  </si>
  <si>
    <t>C_ox</t>
  </si>
  <si>
    <t xml:space="preserve">Water absorption-excretion coefficient </t>
  </si>
  <si>
    <t>γ_0</t>
  </si>
  <si>
    <t>Fraction of ingested food assimilated</t>
  </si>
  <si>
    <t>p_1</t>
  </si>
  <si>
    <t>Water layer resistance from/to food</t>
  </si>
  <si>
    <t>ρ_H2O_1</t>
  </si>
  <si>
    <t>Fraction of neutral lipid in organism i</t>
  </si>
  <si>
    <t>fnl_i</t>
  </si>
  <si>
    <t>Fraction of polar lipid in organism i</t>
  </si>
  <si>
    <t>fpl_i</t>
  </si>
  <si>
    <t>Fraction of protein in organism i</t>
  </si>
  <si>
    <t>fprot_i</t>
  </si>
  <si>
    <t>Fraction of water in organism i</t>
  </si>
  <si>
    <t>fw_i</t>
  </si>
  <si>
    <t xml:space="preserve">Lipid fraction of food </t>
  </si>
  <si>
    <t>f_CH2_i</t>
  </si>
  <si>
    <t>Scaling coefficient for production</t>
  </si>
  <si>
    <t>γ_p</t>
  </si>
  <si>
    <t>Food ingestion coefficient</t>
  </si>
  <si>
    <t>k_n</t>
  </si>
  <si>
    <t>Biomass (re)production coefficient</t>
  </si>
  <si>
    <t>γ_2</t>
  </si>
  <si>
    <t>Lipid-water distribution coefficient in organism</t>
  </si>
  <si>
    <t>Dlip_w</t>
  </si>
  <si>
    <t>Membrane-water distribution coefficient in organism</t>
  </si>
  <si>
    <t>Dmw_1</t>
  </si>
  <si>
    <t>Dmw_2</t>
  </si>
  <si>
    <t>Bovine serum albumin-water distribution coefficient in organism</t>
  </si>
  <si>
    <t>D_BSAW</t>
  </si>
  <si>
    <t>Muscle protein-water distribution coefficient in organism</t>
  </si>
  <si>
    <t>D_MPW</t>
  </si>
  <si>
    <t>Protein-water distribution coefficient in organism</t>
  </si>
  <si>
    <t>Dprot_w</t>
  </si>
  <si>
    <t>Logged Bovine serum albumin-water distribution coefficient in organism</t>
  </si>
  <si>
    <t>logD_BSAW</t>
  </si>
  <si>
    <t>Logged Muscle protein-water distribution coefficient in organism</t>
  </si>
  <si>
    <t>logD_MPW</t>
  </si>
  <si>
    <t>Estimation 1: Organism:Water Partition Coefficient</t>
  </si>
  <si>
    <t>KiwI</t>
  </si>
  <si>
    <t>Estimation 2: Organism:Water Partition Coefficient</t>
  </si>
  <si>
    <t>KiwII</t>
  </si>
  <si>
    <t>Terrestrial</t>
  </si>
  <si>
    <t>Ventilation (L/day)</t>
  </si>
  <si>
    <t>Ve</t>
  </si>
  <si>
    <t>Alveolar Ventilation (L/day)</t>
  </si>
  <si>
    <t>Va</t>
  </si>
  <si>
    <t>Ventilation resistance</t>
  </si>
  <si>
    <t>ρ_air</t>
  </si>
  <si>
    <t>blood:air parition coefficient</t>
  </si>
  <si>
    <t>Kba</t>
  </si>
  <si>
    <t>Organism:Air Partition Coefficient</t>
  </si>
  <si>
    <t>Kia</t>
  </si>
  <si>
    <t>Lung resistance</t>
  </si>
  <si>
    <t>ρ_lung</t>
  </si>
  <si>
    <t>Caridiac Output</t>
  </si>
  <si>
    <t>Q_pul</t>
  </si>
  <si>
    <t>Inhalation uptake efficiency</t>
  </si>
  <si>
    <t>Einh</t>
  </si>
  <si>
    <t>ventilation–perfusion coefficient</t>
  </si>
  <si>
    <t>γ_air</t>
  </si>
  <si>
    <t>Glomerular Filtration rate (L/</t>
  </si>
  <si>
    <t>GFR_m</t>
  </si>
  <si>
    <t>Fraction of neutral lipid in blood</t>
  </si>
  <si>
    <t>Fraction of polar lipid in blood</t>
  </si>
  <si>
    <t>Fraction of protein in blood</t>
  </si>
  <si>
    <t>Fraction of water in blood</t>
  </si>
  <si>
    <t>Unbound Fraction</t>
  </si>
  <si>
    <t>FU</t>
  </si>
  <si>
    <t>Body:Blood Partition Coefficient</t>
  </si>
  <si>
    <t>k_bb</t>
  </si>
  <si>
    <t>Urine pH</t>
  </si>
  <si>
    <t>pH_u</t>
  </si>
  <si>
    <t>Henderson-Hasselbalch Fraction</t>
  </si>
  <si>
    <t>f_urine</t>
  </si>
  <si>
    <t>Dow (Urine)</t>
  </si>
  <si>
    <t>Dow_u</t>
  </si>
  <si>
    <t>Passive Reabsorption</t>
  </si>
  <si>
    <t>F_Reabs</t>
  </si>
  <si>
    <t>Biodegredation</t>
  </si>
  <si>
    <t>Sertraline</t>
  </si>
  <si>
    <t>Crustaceans</t>
  </si>
  <si>
    <t>Photosynthesis</t>
  </si>
  <si>
    <t>Submodel</t>
  </si>
  <si>
    <t>Hours</t>
  </si>
  <si>
    <t>LFER Estimations</t>
  </si>
  <si>
    <t>Modifier</t>
  </si>
  <si>
    <t>On</t>
  </si>
  <si>
    <t>Instructions</t>
  </si>
  <si>
    <t>https://episuite.dev/</t>
  </si>
  <si>
    <t>LFER Parameters</t>
  </si>
  <si>
    <t>Useful Links</t>
  </si>
  <si>
    <t xml:space="preserve">Water absorption uptake </t>
  </si>
  <si>
    <t xml:space="preserve">Air absorption uptake </t>
  </si>
  <si>
    <t xml:space="preserve">Pore-water absorption </t>
  </si>
  <si>
    <t xml:space="preserve">Assimilation uptake from food </t>
  </si>
  <si>
    <t>Descrption</t>
  </si>
  <si>
    <t>https://github.com/FunkNoodle/Secondary-Poisoning-Model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</si>
</sst>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EFAA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16161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0" fillId="3" borderId="10" xfId="0" applyFill="1" applyBorder="1"/>
    <xf numFmtId="0" fontId="0" fillId="3" borderId="12" xfId="0" applyFill="1" applyBorder="1"/>
    <xf numFmtId="0" fontId="2" fillId="2" borderId="11" xfId="2" applyBorder="1"/>
    <xf numFmtId="0" fontId="0" fillId="3" borderId="13" xfId="0" applyFill="1" applyBorder="1"/>
    <xf numFmtId="0" fontId="6" fillId="3" borderId="13" xfId="0" applyFont="1" applyFill="1" applyBorder="1" applyAlignment="1">
      <alignment horizontal="right"/>
    </xf>
    <xf numFmtId="9" fontId="0" fillId="0" borderId="0" xfId="1" applyFont="1"/>
    <xf numFmtId="0" fontId="5" fillId="2" borderId="15" xfId="2" applyFont="1" applyBorder="1"/>
    <xf numFmtId="0" fontId="0" fillId="3" borderId="16" xfId="0" applyFill="1" applyBorder="1"/>
    <xf numFmtId="0" fontId="5" fillId="2" borderId="17" xfId="2" applyFont="1" applyBorder="1"/>
    <xf numFmtId="0" fontId="5" fillId="2" borderId="19" xfId="2" applyFont="1" applyBorder="1"/>
    <xf numFmtId="0" fontId="2" fillId="2" borderId="19" xfId="2" applyBorder="1"/>
    <xf numFmtId="0" fontId="0" fillId="3" borderId="20" xfId="0" applyFill="1" applyBorder="1"/>
    <xf numFmtId="0" fontId="0" fillId="4" borderId="0" xfId="0" applyFill="1"/>
    <xf numFmtId="0" fontId="2" fillId="2" borderId="22" xfId="2" applyBorder="1"/>
    <xf numFmtId="0" fontId="5" fillId="2" borderId="24" xfId="2" applyFont="1" applyBorder="1"/>
    <xf numFmtId="0" fontId="0" fillId="3" borderId="25" xfId="0" applyFill="1" applyBorder="1"/>
    <xf numFmtId="0" fontId="0" fillId="5" borderId="0" xfId="0" applyFill="1"/>
    <xf numFmtId="0" fontId="0" fillId="3" borderId="0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2" fillId="2" borderId="1" xfId="2" applyBorder="1"/>
    <xf numFmtId="0" fontId="5" fillId="2" borderId="1" xfId="2" applyFont="1" applyBorder="1"/>
    <xf numFmtId="0" fontId="2" fillId="2" borderId="1" xfId="2" applyNumberFormat="1" applyBorder="1"/>
    <xf numFmtId="0" fontId="0" fillId="3" borderId="28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2" borderId="30" xfId="2" applyBorder="1"/>
    <xf numFmtId="0" fontId="5" fillId="2" borderId="21" xfId="2" applyFont="1" applyBorder="1"/>
    <xf numFmtId="0" fontId="3" fillId="3" borderId="29" xfId="0" applyFont="1" applyFill="1" applyBorder="1" applyAlignment="1">
      <alignment horizontal="center"/>
    </xf>
    <xf numFmtId="0" fontId="2" fillId="2" borderId="31" xfId="2" applyBorder="1"/>
    <xf numFmtId="0" fontId="0" fillId="3" borderId="0" xfId="0" applyFont="1" applyFill="1" applyBorder="1" applyAlignment="1">
      <alignment horizontal="left"/>
    </xf>
    <xf numFmtId="0" fontId="0" fillId="3" borderId="26" xfId="3" applyFont="1" applyFill="1" applyBorder="1" applyAlignment="1">
      <alignment horizontal="left"/>
    </xf>
    <xf numFmtId="0" fontId="2" fillId="2" borderId="32" xfId="2" applyBorder="1"/>
    <xf numFmtId="0" fontId="0" fillId="3" borderId="0" xfId="3" applyFont="1" applyFill="1" applyBorder="1" applyAlignment="1">
      <alignment horizontal="left"/>
    </xf>
    <xf numFmtId="0" fontId="3" fillId="3" borderId="33" xfId="0" applyFont="1" applyFill="1" applyBorder="1" applyAlignment="1">
      <alignment horizontal="center"/>
    </xf>
    <xf numFmtId="0" fontId="2" fillId="2" borderId="34" xfId="2" applyBorder="1"/>
    <xf numFmtId="0" fontId="2" fillId="2" borderId="15" xfId="2" applyBorder="1"/>
    <xf numFmtId="0" fontId="2" fillId="2" borderId="35" xfId="2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10" borderId="0" xfId="0" applyFont="1" applyFill="1" applyAlignment="1">
      <alignment horizontal="center"/>
    </xf>
    <xf numFmtId="0" fontId="0" fillId="10" borderId="7" xfId="0" applyFill="1" applyBorder="1"/>
    <xf numFmtId="0" fontId="0" fillId="10" borderId="6" xfId="0" applyFill="1" applyBorder="1"/>
    <xf numFmtId="0" fontId="0" fillId="10" borderId="18" xfId="0" applyFill="1" applyBorder="1"/>
    <xf numFmtId="0" fontId="3" fillId="10" borderId="16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0" fontId="0" fillId="10" borderId="8" xfId="0" applyFill="1" applyBorder="1"/>
    <xf numFmtId="0" fontId="3" fillId="6" borderId="18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0" fillId="7" borderId="8" xfId="0" applyFill="1" applyBorder="1"/>
    <xf numFmtId="0" fontId="3" fillId="8" borderId="18" xfId="0" applyFont="1" applyFill="1" applyBorder="1" applyAlignment="1">
      <alignment horizontal="center"/>
    </xf>
    <xf numFmtId="0" fontId="0" fillId="8" borderId="8" xfId="0" applyFill="1" applyBorder="1"/>
    <xf numFmtId="0" fontId="3" fillId="5" borderId="18" xfId="0" applyFont="1" applyFill="1" applyBorder="1" applyAlignment="1">
      <alignment horizontal="center"/>
    </xf>
    <xf numFmtId="0" fontId="0" fillId="5" borderId="8" xfId="0" applyFill="1" applyBorder="1"/>
    <xf numFmtId="0" fontId="3" fillId="4" borderId="18" xfId="0" applyFont="1" applyFill="1" applyBorder="1" applyAlignment="1">
      <alignment horizontal="center"/>
    </xf>
    <xf numFmtId="0" fontId="0" fillId="4" borderId="8" xfId="0" applyFill="1" applyBorder="1"/>
    <xf numFmtId="0" fontId="0" fillId="9" borderId="18" xfId="0" applyFill="1" applyBorder="1"/>
    <xf numFmtId="0" fontId="3" fillId="9" borderId="18" xfId="0" applyFont="1" applyFill="1" applyBorder="1" applyAlignment="1">
      <alignment horizontal="center"/>
    </xf>
    <xf numFmtId="0" fontId="4" fillId="3" borderId="23" xfId="3" applyFill="1" applyBorder="1" applyAlignment="1">
      <alignment horizontal="left"/>
    </xf>
    <xf numFmtId="0" fontId="4" fillId="3" borderId="36" xfId="3" applyFill="1" applyBorder="1" applyAlignment="1">
      <alignment horizontal="left"/>
    </xf>
    <xf numFmtId="0" fontId="4" fillId="3" borderId="0" xfId="3" applyFill="1" applyBorder="1" applyAlignment="1">
      <alignment horizontal="left"/>
    </xf>
    <xf numFmtId="0" fontId="4" fillId="3" borderId="13" xfId="3" applyFill="1" applyBorder="1" applyAlignment="1">
      <alignment horizontal="left"/>
    </xf>
    <xf numFmtId="0" fontId="4" fillId="3" borderId="26" xfId="3" applyFill="1" applyBorder="1" applyAlignment="1">
      <alignment horizontal="left"/>
    </xf>
    <xf numFmtId="0" fontId="4" fillId="3" borderId="27" xfId="3" applyFill="1" applyBorder="1" applyAlignment="1">
      <alignment horizontal="left"/>
    </xf>
    <xf numFmtId="0" fontId="3" fillId="9" borderId="0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</cellXfs>
  <cellStyles count="4">
    <cellStyle name="Hyperlink" xfId="3" builtinId="8"/>
    <cellStyle name="Input" xfId="2" builtinId="20"/>
    <cellStyle name="Normal" xfId="0" builtinId="0"/>
    <cellStyle name="Percent" xfId="1" builtinId="5"/>
  </cellStyles>
  <dxfs count="4"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solid">
          <bgColor theme="1" tint="0.24994659260841701"/>
        </patternFill>
      </fill>
    </dxf>
    <dxf>
      <font>
        <color theme="1" tint="0.24994659260841701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>
          <fgColor theme="1" tint="0.24994659260841701"/>
          <bgColor theme="1" tint="0.24994659260841701"/>
        </patternFill>
      </fill>
    </dxf>
  </dxfs>
  <tableStyles count="0" defaultTableStyle="TableStyleMedium2" defaultPivotStyle="PivotStyleLight16"/>
  <colors>
    <mruColors>
      <color rgb="FFD16161"/>
      <color rgb="FFD22828"/>
      <color rgb="FFF4EF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'Input and Output'!$B$3</c:f>
          <c:strCache>
            <c:ptCount val="1"/>
            <c:pt idx="0">
              <c:v>Sertraline</c:v>
            </c:pt>
          </c:strCache>
        </c:strRef>
      </c:tx>
      <c:layout>
        <c:manualLayout>
          <c:xMode val="edge"/>
          <c:yMode val="edge"/>
          <c:x val="0.49697973127642159"/>
          <c:y val="3.1314414066536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0.13600643185341671"/>
          <c:y val="0.17171296296296296"/>
          <c:w val="0.81443807724689687"/>
          <c:h val="0.5458529406122129"/>
        </c:manualLayout>
      </c:layout>
      <c:scatterChart>
        <c:scatterStyle val="lineMarker"/>
        <c:varyColors val="0"/>
        <c:ser>
          <c:idx val="0"/>
          <c:order val="0"/>
          <c:tx>
            <c:strRef>
              <c:f>'Kinetic Model'!$J$2</c:f>
              <c:strCache>
                <c:ptCount val="1"/>
                <c:pt idx="0">
                  <c:v>Fish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'Kinetic Model'!$A:$A</c:f>
              <c:strCache>
                <c:ptCount val="1003"/>
                <c:pt idx="0">
                  <c:v>Timestep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  <c:pt idx="100">
                  <c:v>98</c:v>
                </c:pt>
                <c:pt idx="101">
                  <c:v>99</c:v>
                </c:pt>
                <c:pt idx="102">
                  <c:v>100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105</c:v>
                </c:pt>
                <c:pt idx="108">
                  <c:v>106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112</c:v>
                </c:pt>
                <c:pt idx="115">
                  <c:v>113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117</c:v>
                </c:pt>
                <c:pt idx="120">
                  <c:v>118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122</c:v>
                </c:pt>
                <c:pt idx="125">
                  <c:v>123</c:v>
                </c:pt>
                <c:pt idx="126">
                  <c:v>124</c:v>
                </c:pt>
                <c:pt idx="127">
                  <c:v>125</c:v>
                </c:pt>
                <c:pt idx="128">
                  <c:v>126</c:v>
                </c:pt>
                <c:pt idx="129">
                  <c:v>127</c:v>
                </c:pt>
                <c:pt idx="130">
                  <c:v>128</c:v>
                </c:pt>
                <c:pt idx="131">
                  <c:v>129</c:v>
                </c:pt>
                <c:pt idx="132">
                  <c:v>130</c:v>
                </c:pt>
                <c:pt idx="133">
                  <c:v>131</c:v>
                </c:pt>
                <c:pt idx="134">
                  <c:v>132</c:v>
                </c:pt>
                <c:pt idx="135">
                  <c:v>133</c:v>
                </c:pt>
                <c:pt idx="136">
                  <c:v>134</c:v>
                </c:pt>
                <c:pt idx="137">
                  <c:v>135</c:v>
                </c:pt>
                <c:pt idx="138">
                  <c:v>136</c:v>
                </c:pt>
                <c:pt idx="139">
                  <c:v>137</c:v>
                </c:pt>
                <c:pt idx="140">
                  <c:v>138</c:v>
                </c:pt>
                <c:pt idx="141">
                  <c:v>139</c:v>
                </c:pt>
                <c:pt idx="142">
                  <c:v>140</c:v>
                </c:pt>
                <c:pt idx="143">
                  <c:v>141</c:v>
                </c:pt>
                <c:pt idx="144">
                  <c:v>142</c:v>
                </c:pt>
                <c:pt idx="145">
                  <c:v>143</c:v>
                </c:pt>
                <c:pt idx="146">
                  <c:v>144</c:v>
                </c:pt>
                <c:pt idx="147">
                  <c:v>145</c:v>
                </c:pt>
                <c:pt idx="148">
                  <c:v>146</c:v>
                </c:pt>
                <c:pt idx="149">
                  <c:v>147</c:v>
                </c:pt>
                <c:pt idx="150">
                  <c:v>148</c:v>
                </c:pt>
                <c:pt idx="151">
                  <c:v>149</c:v>
                </c:pt>
                <c:pt idx="152">
                  <c:v>150</c:v>
                </c:pt>
                <c:pt idx="153">
                  <c:v>151</c:v>
                </c:pt>
                <c:pt idx="154">
                  <c:v>152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158</c:v>
                </c:pt>
                <c:pt idx="161">
                  <c:v>159</c:v>
                </c:pt>
                <c:pt idx="162">
                  <c:v>160</c:v>
                </c:pt>
                <c:pt idx="163">
                  <c:v>161</c:v>
                </c:pt>
                <c:pt idx="164">
                  <c:v>162</c:v>
                </c:pt>
                <c:pt idx="165">
                  <c:v>163</c:v>
                </c:pt>
                <c:pt idx="166">
                  <c:v>164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168</c:v>
                </c:pt>
                <c:pt idx="171">
                  <c:v>169</c:v>
                </c:pt>
                <c:pt idx="172">
                  <c:v>170</c:v>
                </c:pt>
                <c:pt idx="173">
                  <c:v>171</c:v>
                </c:pt>
                <c:pt idx="174">
                  <c:v>172</c:v>
                </c:pt>
                <c:pt idx="175">
                  <c:v>173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  <c:pt idx="187">
                  <c:v>185</c:v>
                </c:pt>
                <c:pt idx="188">
                  <c:v>186</c:v>
                </c:pt>
                <c:pt idx="189">
                  <c:v>187</c:v>
                </c:pt>
                <c:pt idx="190">
                  <c:v>188</c:v>
                </c:pt>
                <c:pt idx="191">
                  <c:v>189</c:v>
                </c:pt>
                <c:pt idx="192">
                  <c:v>190</c:v>
                </c:pt>
                <c:pt idx="193">
                  <c:v>191</c:v>
                </c:pt>
                <c:pt idx="194">
                  <c:v>192</c:v>
                </c:pt>
                <c:pt idx="195">
                  <c:v>193</c:v>
                </c:pt>
                <c:pt idx="196">
                  <c:v>194</c:v>
                </c:pt>
                <c:pt idx="197">
                  <c:v>195</c:v>
                </c:pt>
                <c:pt idx="198">
                  <c:v>196</c:v>
                </c:pt>
                <c:pt idx="199">
                  <c:v>197</c:v>
                </c:pt>
                <c:pt idx="200">
                  <c:v>198</c:v>
                </c:pt>
                <c:pt idx="201">
                  <c:v>199</c:v>
                </c:pt>
                <c:pt idx="202">
                  <c:v>200</c:v>
                </c:pt>
                <c:pt idx="203">
                  <c:v>201</c:v>
                </c:pt>
                <c:pt idx="204">
                  <c:v>202</c:v>
                </c:pt>
                <c:pt idx="205">
                  <c:v>203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464</c:v>
                </c:pt>
                <c:pt idx="467">
                  <c:v>465</c:v>
                </c:pt>
                <c:pt idx="468">
                  <c:v>466</c:v>
                </c:pt>
                <c:pt idx="469">
                  <c:v>467</c:v>
                </c:pt>
                <c:pt idx="470">
                  <c:v>468</c:v>
                </c:pt>
                <c:pt idx="471">
                  <c:v>469</c:v>
                </c:pt>
                <c:pt idx="472">
                  <c:v>470</c:v>
                </c:pt>
                <c:pt idx="473">
                  <c:v>471</c:v>
                </c:pt>
                <c:pt idx="474">
                  <c:v>472</c:v>
                </c:pt>
                <c:pt idx="475">
                  <c:v>473</c:v>
                </c:pt>
                <c:pt idx="476">
                  <c:v>474</c:v>
                </c:pt>
                <c:pt idx="477">
                  <c:v>475</c:v>
                </c:pt>
                <c:pt idx="478">
                  <c:v>476</c:v>
                </c:pt>
                <c:pt idx="479">
                  <c:v>477</c:v>
                </c:pt>
                <c:pt idx="480">
                  <c:v>478</c:v>
                </c:pt>
                <c:pt idx="481">
                  <c:v>479</c:v>
                </c:pt>
                <c:pt idx="482">
                  <c:v>480</c:v>
                </c:pt>
                <c:pt idx="483">
                  <c:v>481</c:v>
                </c:pt>
                <c:pt idx="484">
                  <c:v>482</c:v>
                </c:pt>
                <c:pt idx="485">
                  <c:v>483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487</c:v>
                </c:pt>
                <c:pt idx="490">
                  <c:v>488</c:v>
                </c:pt>
                <c:pt idx="491">
                  <c:v>489</c:v>
                </c:pt>
                <c:pt idx="492">
                  <c:v>490</c:v>
                </c:pt>
                <c:pt idx="493">
                  <c:v>491</c:v>
                </c:pt>
                <c:pt idx="494">
                  <c:v>492</c:v>
                </c:pt>
                <c:pt idx="495">
                  <c:v>493</c:v>
                </c:pt>
                <c:pt idx="496">
                  <c:v>494</c:v>
                </c:pt>
                <c:pt idx="497">
                  <c:v>495</c:v>
                </c:pt>
                <c:pt idx="498">
                  <c:v>496</c:v>
                </c:pt>
                <c:pt idx="499">
                  <c:v>497</c:v>
                </c:pt>
                <c:pt idx="500">
                  <c:v>498</c:v>
                </c:pt>
                <c:pt idx="501">
                  <c:v>499</c:v>
                </c:pt>
                <c:pt idx="502">
                  <c:v>500</c:v>
                </c:pt>
                <c:pt idx="503">
                  <c:v>501</c:v>
                </c:pt>
                <c:pt idx="504">
                  <c:v>502</c:v>
                </c:pt>
                <c:pt idx="505">
                  <c:v>503</c:v>
                </c:pt>
                <c:pt idx="506">
                  <c:v>504</c:v>
                </c:pt>
                <c:pt idx="507">
                  <c:v>505</c:v>
                </c:pt>
                <c:pt idx="508">
                  <c:v>506</c:v>
                </c:pt>
                <c:pt idx="509">
                  <c:v>507</c:v>
                </c:pt>
                <c:pt idx="510">
                  <c:v>508</c:v>
                </c:pt>
                <c:pt idx="511">
                  <c:v>509</c:v>
                </c:pt>
                <c:pt idx="512">
                  <c:v>510</c:v>
                </c:pt>
                <c:pt idx="513">
                  <c:v>511</c:v>
                </c:pt>
                <c:pt idx="514">
                  <c:v>512</c:v>
                </c:pt>
                <c:pt idx="515">
                  <c:v>513</c:v>
                </c:pt>
                <c:pt idx="516">
                  <c:v>514</c:v>
                </c:pt>
                <c:pt idx="517">
                  <c:v>515</c:v>
                </c:pt>
                <c:pt idx="518">
                  <c:v>516</c:v>
                </c:pt>
                <c:pt idx="519">
                  <c:v>517</c:v>
                </c:pt>
                <c:pt idx="520">
                  <c:v>518</c:v>
                </c:pt>
                <c:pt idx="521">
                  <c:v>519</c:v>
                </c:pt>
                <c:pt idx="522">
                  <c:v>520</c:v>
                </c:pt>
                <c:pt idx="523">
                  <c:v>521</c:v>
                </c:pt>
                <c:pt idx="524">
                  <c:v>522</c:v>
                </c:pt>
                <c:pt idx="525">
                  <c:v>523</c:v>
                </c:pt>
                <c:pt idx="526">
                  <c:v>524</c:v>
                </c:pt>
                <c:pt idx="527">
                  <c:v>525</c:v>
                </c:pt>
                <c:pt idx="528">
                  <c:v>526</c:v>
                </c:pt>
                <c:pt idx="529">
                  <c:v>527</c:v>
                </c:pt>
                <c:pt idx="530">
                  <c:v>528</c:v>
                </c:pt>
                <c:pt idx="531">
                  <c:v>529</c:v>
                </c:pt>
                <c:pt idx="532">
                  <c:v>530</c:v>
                </c:pt>
                <c:pt idx="533">
                  <c:v>531</c:v>
                </c:pt>
                <c:pt idx="534">
                  <c:v>532</c:v>
                </c:pt>
                <c:pt idx="535">
                  <c:v>533</c:v>
                </c:pt>
                <c:pt idx="536">
                  <c:v>534</c:v>
                </c:pt>
                <c:pt idx="537">
                  <c:v>535</c:v>
                </c:pt>
                <c:pt idx="538">
                  <c:v>536</c:v>
                </c:pt>
                <c:pt idx="539">
                  <c:v>537</c:v>
                </c:pt>
                <c:pt idx="540">
                  <c:v>538</c:v>
                </c:pt>
                <c:pt idx="541">
                  <c:v>539</c:v>
                </c:pt>
                <c:pt idx="542">
                  <c:v>540</c:v>
                </c:pt>
                <c:pt idx="543">
                  <c:v>541</c:v>
                </c:pt>
                <c:pt idx="544">
                  <c:v>542</c:v>
                </c:pt>
                <c:pt idx="545">
                  <c:v>543</c:v>
                </c:pt>
                <c:pt idx="546">
                  <c:v>544</c:v>
                </c:pt>
                <c:pt idx="547">
                  <c:v>545</c:v>
                </c:pt>
                <c:pt idx="548">
                  <c:v>546</c:v>
                </c:pt>
                <c:pt idx="549">
                  <c:v>547</c:v>
                </c:pt>
                <c:pt idx="550">
                  <c:v>548</c:v>
                </c:pt>
                <c:pt idx="551">
                  <c:v>549</c:v>
                </c:pt>
                <c:pt idx="552">
                  <c:v>550</c:v>
                </c:pt>
                <c:pt idx="553">
                  <c:v>551</c:v>
                </c:pt>
                <c:pt idx="554">
                  <c:v>552</c:v>
                </c:pt>
                <c:pt idx="555">
                  <c:v>553</c:v>
                </c:pt>
                <c:pt idx="556">
                  <c:v>554</c:v>
                </c:pt>
                <c:pt idx="557">
                  <c:v>555</c:v>
                </c:pt>
                <c:pt idx="558">
                  <c:v>556</c:v>
                </c:pt>
                <c:pt idx="559">
                  <c:v>557</c:v>
                </c:pt>
                <c:pt idx="560">
                  <c:v>558</c:v>
                </c:pt>
                <c:pt idx="561">
                  <c:v>559</c:v>
                </c:pt>
                <c:pt idx="562">
                  <c:v>560</c:v>
                </c:pt>
                <c:pt idx="563">
                  <c:v>561</c:v>
                </c:pt>
                <c:pt idx="564">
                  <c:v>562</c:v>
                </c:pt>
                <c:pt idx="565">
                  <c:v>563</c:v>
                </c:pt>
                <c:pt idx="566">
                  <c:v>564</c:v>
                </c:pt>
                <c:pt idx="567">
                  <c:v>565</c:v>
                </c:pt>
                <c:pt idx="568">
                  <c:v>566</c:v>
                </c:pt>
                <c:pt idx="569">
                  <c:v>567</c:v>
                </c:pt>
                <c:pt idx="570">
                  <c:v>568</c:v>
                </c:pt>
                <c:pt idx="571">
                  <c:v>569</c:v>
                </c:pt>
                <c:pt idx="572">
                  <c:v>570</c:v>
                </c:pt>
                <c:pt idx="573">
                  <c:v>571</c:v>
                </c:pt>
                <c:pt idx="574">
                  <c:v>572</c:v>
                </c:pt>
                <c:pt idx="575">
                  <c:v>573</c:v>
                </c:pt>
                <c:pt idx="576">
                  <c:v>574</c:v>
                </c:pt>
                <c:pt idx="577">
                  <c:v>575</c:v>
                </c:pt>
                <c:pt idx="578">
                  <c:v>576</c:v>
                </c:pt>
                <c:pt idx="579">
                  <c:v>577</c:v>
                </c:pt>
                <c:pt idx="580">
                  <c:v>578</c:v>
                </c:pt>
                <c:pt idx="581">
                  <c:v>579</c:v>
                </c:pt>
                <c:pt idx="582">
                  <c:v>580</c:v>
                </c:pt>
                <c:pt idx="583">
                  <c:v>581</c:v>
                </c:pt>
                <c:pt idx="584">
                  <c:v>582</c:v>
                </c:pt>
                <c:pt idx="585">
                  <c:v>583</c:v>
                </c:pt>
                <c:pt idx="586">
                  <c:v>584</c:v>
                </c:pt>
                <c:pt idx="587">
                  <c:v>585</c:v>
                </c:pt>
                <c:pt idx="588">
                  <c:v>586</c:v>
                </c:pt>
                <c:pt idx="589">
                  <c:v>587</c:v>
                </c:pt>
                <c:pt idx="590">
                  <c:v>588</c:v>
                </c:pt>
                <c:pt idx="591">
                  <c:v>589</c:v>
                </c:pt>
                <c:pt idx="592">
                  <c:v>590</c:v>
                </c:pt>
                <c:pt idx="593">
                  <c:v>591</c:v>
                </c:pt>
                <c:pt idx="594">
                  <c:v>592</c:v>
                </c:pt>
                <c:pt idx="595">
                  <c:v>593</c:v>
                </c:pt>
                <c:pt idx="596">
                  <c:v>594</c:v>
                </c:pt>
                <c:pt idx="597">
                  <c:v>595</c:v>
                </c:pt>
                <c:pt idx="598">
                  <c:v>596</c:v>
                </c:pt>
                <c:pt idx="599">
                  <c:v>597</c:v>
                </c:pt>
                <c:pt idx="600">
                  <c:v>598</c:v>
                </c:pt>
                <c:pt idx="601">
                  <c:v>599</c:v>
                </c:pt>
                <c:pt idx="602">
                  <c:v>600</c:v>
                </c:pt>
                <c:pt idx="603">
                  <c:v>601</c:v>
                </c:pt>
                <c:pt idx="604">
                  <c:v>602</c:v>
                </c:pt>
                <c:pt idx="605">
                  <c:v>603</c:v>
                </c:pt>
                <c:pt idx="606">
                  <c:v>604</c:v>
                </c:pt>
                <c:pt idx="607">
                  <c:v>605</c:v>
                </c:pt>
                <c:pt idx="608">
                  <c:v>606</c:v>
                </c:pt>
                <c:pt idx="609">
                  <c:v>607</c:v>
                </c:pt>
                <c:pt idx="610">
                  <c:v>608</c:v>
                </c:pt>
                <c:pt idx="611">
                  <c:v>609</c:v>
                </c:pt>
                <c:pt idx="612">
                  <c:v>610</c:v>
                </c:pt>
                <c:pt idx="613">
                  <c:v>611</c:v>
                </c:pt>
                <c:pt idx="614">
                  <c:v>612</c:v>
                </c:pt>
                <c:pt idx="615">
                  <c:v>613</c:v>
                </c:pt>
                <c:pt idx="616">
                  <c:v>614</c:v>
                </c:pt>
                <c:pt idx="617">
                  <c:v>615</c:v>
                </c:pt>
                <c:pt idx="618">
                  <c:v>616</c:v>
                </c:pt>
                <c:pt idx="619">
                  <c:v>617</c:v>
                </c:pt>
                <c:pt idx="620">
                  <c:v>618</c:v>
                </c:pt>
                <c:pt idx="621">
                  <c:v>619</c:v>
                </c:pt>
                <c:pt idx="622">
                  <c:v>620</c:v>
                </c:pt>
                <c:pt idx="623">
                  <c:v>621</c:v>
                </c:pt>
                <c:pt idx="624">
                  <c:v>622</c:v>
                </c:pt>
                <c:pt idx="625">
                  <c:v>623</c:v>
                </c:pt>
                <c:pt idx="626">
                  <c:v>624</c:v>
                </c:pt>
                <c:pt idx="627">
                  <c:v>625</c:v>
                </c:pt>
                <c:pt idx="628">
                  <c:v>626</c:v>
                </c:pt>
                <c:pt idx="629">
                  <c:v>627</c:v>
                </c:pt>
                <c:pt idx="630">
                  <c:v>628</c:v>
                </c:pt>
                <c:pt idx="631">
                  <c:v>629</c:v>
                </c:pt>
                <c:pt idx="632">
                  <c:v>630</c:v>
                </c:pt>
                <c:pt idx="633">
                  <c:v>631</c:v>
                </c:pt>
                <c:pt idx="634">
                  <c:v>632</c:v>
                </c:pt>
                <c:pt idx="635">
                  <c:v>633</c:v>
                </c:pt>
                <c:pt idx="636">
                  <c:v>634</c:v>
                </c:pt>
                <c:pt idx="637">
                  <c:v>635</c:v>
                </c:pt>
                <c:pt idx="638">
                  <c:v>636</c:v>
                </c:pt>
                <c:pt idx="639">
                  <c:v>637</c:v>
                </c:pt>
                <c:pt idx="640">
                  <c:v>638</c:v>
                </c:pt>
                <c:pt idx="641">
                  <c:v>639</c:v>
                </c:pt>
                <c:pt idx="642">
                  <c:v>640</c:v>
                </c:pt>
                <c:pt idx="643">
                  <c:v>641</c:v>
                </c:pt>
                <c:pt idx="644">
                  <c:v>642</c:v>
                </c:pt>
                <c:pt idx="645">
                  <c:v>643</c:v>
                </c:pt>
                <c:pt idx="646">
                  <c:v>644</c:v>
                </c:pt>
                <c:pt idx="647">
                  <c:v>645</c:v>
                </c:pt>
                <c:pt idx="648">
                  <c:v>646</c:v>
                </c:pt>
                <c:pt idx="649">
                  <c:v>647</c:v>
                </c:pt>
                <c:pt idx="650">
                  <c:v>648</c:v>
                </c:pt>
                <c:pt idx="651">
                  <c:v>649</c:v>
                </c:pt>
                <c:pt idx="652">
                  <c:v>650</c:v>
                </c:pt>
                <c:pt idx="653">
                  <c:v>651</c:v>
                </c:pt>
                <c:pt idx="654">
                  <c:v>652</c:v>
                </c:pt>
                <c:pt idx="655">
                  <c:v>653</c:v>
                </c:pt>
                <c:pt idx="656">
                  <c:v>654</c:v>
                </c:pt>
                <c:pt idx="657">
                  <c:v>655</c:v>
                </c:pt>
                <c:pt idx="658">
                  <c:v>656</c:v>
                </c:pt>
                <c:pt idx="659">
                  <c:v>657</c:v>
                </c:pt>
                <c:pt idx="660">
                  <c:v>658</c:v>
                </c:pt>
                <c:pt idx="661">
                  <c:v>659</c:v>
                </c:pt>
                <c:pt idx="662">
                  <c:v>660</c:v>
                </c:pt>
                <c:pt idx="663">
                  <c:v>661</c:v>
                </c:pt>
                <c:pt idx="664">
                  <c:v>662</c:v>
                </c:pt>
                <c:pt idx="665">
                  <c:v>663</c:v>
                </c:pt>
                <c:pt idx="666">
                  <c:v>664</c:v>
                </c:pt>
                <c:pt idx="667">
                  <c:v>665</c:v>
                </c:pt>
                <c:pt idx="668">
                  <c:v>666</c:v>
                </c:pt>
                <c:pt idx="669">
                  <c:v>667</c:v>
                </c:pt>
                <c:pt idx="670">
                  <c:v>668</c:v>
                </c:pt>
                <c:pt idx="671">
                  <c:v>669</c:v>
                </c:pt>
                <c:pt idx="672">
                  <c:v>670</c:v>
                </c:pt>
                <c:pt idx="673">
                  <c:v>671</c:v>
                </c:pt>
                <c:pt idx="674">
                  <c:v>672</c:v>
                </c:pt>
                <c:pt idx="675">
                  <c:v>673</c:v>
                </c:pt>
                <c:pt idx="676">
                  <c:v>674</c:v>
                </c:pt>
                <c:pt idx="677">
                  <c:v>675</c:v>
                </c:pt>
                <c:pt idx="678">
                  <c:v>676</c:v>
                </c:pt>
                <c:pt idx="679">
                  <c:v>677</c:v>
                </c:pt>
                <c:pt idx="680">
                  <c:v>678</c:v>
                </c:pt>
                <c:pt idx="681">
                  <c:v>679</c:v>
                </c:pt>
                <c:pt idx="682">
                  <c:v>680</c:v>
                </c:pt>
                <c:pt idx="683">
                  <c:v>681</c:v>
                </c:pt>
                <c:pt idx="684">
                  <c:v>682</c:v>
                </c:pt>
                <c:pt idx="685">
                  <c:v>683</c:v>
                </c:pt>
                <c:pt idx="686">
                  <c:v>684</c:v>
                </c:pt>
                <c:pt idx="687">
                  <c:v>685</c:v>
                </c:pt>
                <c:pt idx="688">
                  <c:v>686</c:v>
                </c:pt>
                <c:pt idx="689">
                  <c:v>687</c:v>
                </c:pt>
                <c:pt idx="690">
                  <c:v>688</c:v>
                </c:pt>
                <c:pt idx="691">
                  <c:v>689</c:v>
                </c:pt>
                <c:pt idx="692">
                  <c:v>690</c:v>
                </c:pt>
                <c:pt idx="693">
                  <c:v>691</c:v>
                </c:pt>
                <c:pt idx="694">
                  <c:v>692</c:v>
                </c:pt>
                <c:pt idx="695">
                  <c:v>693</c:v>
                </c:pt>
                <c:pt idx="696">
                  <c:v>694</c:v>
                </c:pt>
                <c:pt idx="697">
                  <c:v>695</c:v>
                </c:pt>
                <c:pt idx="698">
                  <c:v>696</c:v>
                </c:pt>
                <c:pt idx="699">
                  <c:v>697</c:v>
                </c:pt>
                <c:pt idx="700">
                  <c:v>698</c:v>
                </c:pt>
                <c:pt idx="701">
                  <c:v>699</c:v>
                </c:pt>
                <c:pt idx="702">
                  <c:v>700</c:v>
                </c:pt>
                <c:pt idx="703">
                  <c:v>701</c:v>
                </c:pt>
                <c:pt idx="704">
                  <c:v>702</c:v>
                </c:pt>
                <c:pt idx="705">
                  <c:v>703</c:v>
                </c:pt>
                <c:pt idx="706">
                  <c:v>704</c:v>
                </c:pt>
                <c:pt idx="707">
                  <c:v>705</c:v>
                </c:pt>
                <c:pt idx="708">
                  <c:v>706</c:v>
                </c:pt>
                <c:pt idx="709">
                  <c:v>707</c:v>
                </c:pt>
                <c:pt idx="710">
                  <c:v>708</c:v>
                </c:pt>
                <c:pt idx="711">
                  <c:v>709</c:v>
                </c:pt>
                <c:pt idx="712">
                  <c:v>710</c:v>
                </c:pt>
                <c:pt idx="713">
                  <c:v>711</c:v>
                </c:pt>
                <c:pt idx="714">
                  <c:v>712</c:v>
                </c:pt>
                <c:pt idx="715">
                  <c:v>713</c:v>
                </c:pt>
                <c:pt idx="716">
                  <c:v>714</c:v>
                </c:pt>
                <c:pt idx="717">
                  <c:v>715</c:v>
                </c:pt>
                <c:pt idx="718">
                  <c:v>716</c:v>
                </c:pt>
                <c:pt idx="719">
                  <c:v>717</c:v>
                </c:pt>
                <c:pt idx="720">
                  <c:v>718</c:v>
                </c:pt>
                <c:pt idx="721">
                  <c:v>719</c:v>
                </c:pt>
                <c:pt idx="722">
                  <c:v>720</c:v>
                </c:pt>
                <c:pt idx="723">
                  <c:v>721</c:v>
                </c:pt>
                <c:pt idx="724">
                  <c:v>722</c:v>
                </c:pt>
                <c:pt idx="725">
                  <c:v>723</c:v>
                </c:pt>
                <c:pt idx="726">
                  <c:v>724</c:v>
                </c:pt>
                <c:pt idx="727">
                  <c:v>725</c:v>
                </c:pt>
                <c:pt idx="728">
                  <c:v>726</c:v>
                </c:pt>
                <c:pt idx="729">
                  <c:v>727</c:v>
                </c:pt>
                <c:pt idx="730">
                  <c:v>728</c:v>
                </c:pt>
                <c:pt idx="731">
                  <c:v>729</c:v>
                </c:pt>
                <c:pt idx="732">
                  <c:v>730</c:v>
                </c:pt>
                <c:pt idx="733">
                  <c:v>731</c:v>
                </c:pt>
                <c:pt idx="734">
                  <c:v>732</c:v>
                </c:pt>
                <c:pt idx="735">
                  <c:v>733</c:v>
                </c:pt>
                <c:pt idx="736">
                  <c:v>734</c:v>
                </c:pt>
                <c:pt idx="737">
                  <c:v>735</c:v>
                </c:pt>
                <c:pt idx="738">
                  <c:v>736</c:v>
                </c:pt>
                <c:pt idx="739">
                  <c:v>737</c:v>
                </c:pt>
                <c:pt idx="740">
                  <c:v>738</c:v>
                </c:pt>
                <c:pt idx="741">
                  <c:v>739</c:v>
                </c:pt>
                <c:pt idx="742">
                  <c:v>740</c:v>
                </c:pt>
                <c:pt idx="743">
                  <c:v>741</c:v>
                </c:pt>
                <c:pt idx="744">
                  <c:v>742</c:v>
                </c:pt>
                <c:pt idx="745">
                  <c:v>743</c:v>
                </c:pt>
                <c:pt idx="746">
                  <c:v>744</c:v>
                </c:pt>
                <c:pt idx="747">
                  <c:v>745</c:v>
                </c:pt>
                <c:pt idx="748">
                  <c:v>746</c:v>
                </c:pt>
                <c:pt idx="749">
                  <c:v>747</c:v>
                </c:pt>
                <c:pt idx="750">
                  <c:v>748</c:v>
                </c:pt>
                <c:pt idx="751">
                  <c:v>749</c:v>
                </c:pt>
                <c:pt idx="752">
                  <c:v>750</c:v>
                </c:pt>
                <c:pt idx="753">
                  <c:v>751</c:v>
                </c:pt>
                <c:pt idx="754">
                  <c:v>752</c:v>
                </c:pt>
                <c:pt idx="755">
                  <c:v>753</c:v>
                </c:pt>
                <c:pt idx="756">
                  <c:v>754</c:v>
                </c:pt>
                <c:pt idx="757">
                  <c:v>755</c:v>
                </c:pt>
                <c:pt idx="758">
                  <c:v>756</c:v>
                </c:pt>
                <c:pt idx="759">
                  <c:v>757</c:v>
                </c:pt>
                <c:pt idx="760">
                  <c:v>758</c:v>
                </c:pt>
                <c:pt idx="761">
                  <c:v>759</c:v>
                </c:pt>
                <c:pt idx="762">
                  <c:v>760</c:v>
                </c:pt>
                <c:pt idx="763">
                  <c:v>761</c:v>
                </c:pt>
                <c:pt idx="764">
                  <c:v>762</c:v>
                </c:pt>
                <c:pt idx="765">
                  <c:v>763</c:v>
                </c:pt>
                <c:pt idx="766">
                  <c:v>764</c:v>
                </c:pt>
                <c:pt idx="767">
                  <c:v>765</c:v>
                </c:pt>
                <c:pt idx="768">
                  <c:v>766</c:v>
                </c:pt>
                <c:pt idx="769">
                  <c:v>767</c:v>
                </c:pt>
                <c:pt idx="770">
                  <c:v>768</c:v>
                </c:pt>
                <c:pt idx="771">
                  <c:v>769</c:v>
                </c:pt>
                <c:pt idx="772">
                  <c:v>770</c:v>
                </c:pt>
                <c:pt idx="773">
                  <c:v>771</c:v>
                </c:pt>
                <c:pt idx="774">
                  <c:v>772</c:v>
                </c:pt>
                <c:pt idx="775">
                  <c:v>773</c:v>
                </c:pt>
                <c:pt idx="776">
                  <c:v>774</c:v>
                </c:pt>
                <c:pt idx="777">
                  <c:v>775</c:v>
                </c:pt>
                <c:pt idx="778">
                  <c:v>776</c:v>
                </c:pt>
                <c:pt idx="779">
                  <c:v>777</c:v>
                </c:pt>
                <c:pt idx="780">
                  <c:v>778</c:v>
                </c:pt>
                <c:pt idx="781">
                  <c:v>779</c:v>
                </c:pt>
                <c:pt idx="782">
                  <c:v>780</c:v>
                </c:pt>
                <c:pt idx="783">
                  <c:v>781</c:v>
                </c:pt>
                <c:pt idx="784">
                  <c:v>782</c:v>
                </c:pt>
                <c:pt idx="785">
                  <c:v>783</c:v>
                </c:pt>
                <c:pt idx="786">
                  <c:v>784</c:v>
                </c:pt>
                <c:pt idx="787">
                  <c:v>785</c:v>
                </c:pt>
                <c:pt idx="788">
                  <c:v>786</c:v>
                </c:pt>
                <c:pt idx="789">
                  <c:v>787</c:v>
                </c:pt>
                <c:pt idx="790">
                  <c:v>788</c:v>
                </c:pt>
                <c:pt idx="791">
                  <c:v>789</c:v>
                </c:pt>
                <c:pt idx="792">
                  <c:v>790</c:v>
                </c:pt>
                <c:pt idx="793">
                  <c:v>791</c:v>
                </c:pt>
                <c:pt idx="794">
                  <c:v>792</c:v>
                </c:pt>
                <c:pt idx="795">
                  <c:v>793</c:v>
                </c:pt>
                <c:pt idx="796">
                  <c:v>794</c:v>
                </c:pt>
                <c:pt idx="797">
                  <c:v>795</c:v>
                </c:pt>
                <c:pt idx="798">
                  <c:v>796</c:v>
                </c:pt>
                <c:pt idx="799">
                  <c:v>797</c:v>
                </c:pt>
                <c:pt idx="800">
                  <c:v>798</c:v>
                </c:pt>
                <c:pt idx="801">
                  <c:v>799</c:v>
                </c:pt>
                <c:pt idx="802">
                  <c:v>800</c:v>
                </c:pt>
                <c:pt idx="803">
                  <c:v>801</c:v>
                </c:pt>
                <c:pt idx="804">
                  <c:v>802</c:v>
                </c:pt>
                <c:pt idx="805">
                  <c:v>803</c:v>
                </c:pt>
                <c:pt idx="806">
                  <c:v>804</c:v>
                </c:pt>
                <c:pt idx="807">
                  <c:v>805</c:v>
                </c:pt>
                <c:pt idx="808">
                  <c:v>806</c:v>
                </c:pt>
                <c:pt idx="809">
                  <c:v>807</c:v>
                </c:pt>
                <c:pt idx="810">
                  <c:v>808</c:v>
                </c:pt>
                <c:pt idx="811">
                  <c:v>809</c:v>
                </c:pt>
                <c:pt idx="812">
                  <c:v>810</c:v>
                </c:pt>
                <c:pt idx="813">
                  <c:v>811</c:v>
                </c:pt>
                <c:pt idx="814">
                  <c:v>812</c:v>
                </c:pt>
                <c:pt idx="815">
                  <c:v>813</c:v>
                </c:pt>
                <c:pt idx="816">
                  <c:v>814</c:v>
                </c:pt>
                <c:pt idx="817">
                  <c:v>815</c:v>
                </c:pt>
                <c:pt idx="818">
                  <c:v>816</c:v>
                </c:pt>
                <c:pt idx="819">
                  <c:v>817</c:v>
                </c:pt>
                <c:pt idx="820">
                  <c:v>818</c:v>
                </c:pt>
                <c:pt idx="821">
                  <c:v>819</c:v>
                </c:pt>
                <c:pt idx="822">
                  <c:v>820</c:v>
                </c:pt>
                <c:pt idx="823">
                  <c:v>821</c:v>
                </c:pt>
                <c:pt idx="824">
                  <c:v>822</c:v>
                </c:pt>
                <c:pt idx="825">
                  <c:v>823</c:v>
                </c:pt>
                <c:pt idx="826">
                  <c:v>824</c:v>
                </c:pt>
                <c:pt idx="827">
                  <c:v>825</c:v>
                </c:pt>
                <c:pt idx="828">
                  <c:v>826</c:v>
                </c:pt>
                <c:pt idx="829">
                  <c:v>827</c:v>
                </c:pt>
                <c:pt idx="830">
                  <c:v>828</c:v>
                </c:pt>
                <c:pt idx="831">
                  <c:v>829</c:v>
                </c:pt>
                <c:pt idx="832">
                  <c:v>830</c:v>
                </c:pt>
                <c:pt idx="833">
                  <c:v>831</c:v>
                </c:pt>
                <c:pt idx="834">
                  <c:v>832</c:v>
                </c:pt>
                <c:pt idx="835">
                  <c:v>833</c:v>
                </c:pt>
                <c:pt idx="836">
                  <c:v>834</c:v>
                </c:pt>
                <c:pt idx="837">
                  <c:v>835</c:v>
                </c:pt>
                <c:pt idx="838">
                  <c:v>836</c:v>
                </c:pt>
                <c:pt idx="839">
                  <c:v>837</c:v>
                </c:pt>
                <c:pt idx="840">
                  <c:v>838</c:v>
                </c:pt>
                <c:pt idx="841">
                  <c:v>839</c:v>
                </c:pt>
                <c:pt idx="842">
                  <c:v>840</c:v>
                </c:pt>
                <c:pt idx="843">
                  <c:v>841</c:v>
                </c:pt>
                <c:pt idx="844">
                  <c:v>842</c:v>
                </c:pt>
                <c:pt idx="845">
                  <c:v>843</c:v>
                </c:pt>
                <c:pt idx="846">
                  <c:v>844</c:v>
                </c:pt>
                <c:pt idx="847">
                  <c:v>845</c:v>
                </c:pt>
                <c:pt idx="848">
                  <c:v>846</c:v>
                </c:pt>
                <c:pt idx="849">
                  <c:v>847</c:v>
                </c:pt>
                <c:pt idx="850">
                  <c:v>848</c:v>
                </c:pt>
                <c:pt idx="851">
                  <c:v>849</c:v>
                </c:pt>
                <c:pt idx="852">
                  <c:v>850</c:v>
                </c:pt>
                <c:pt idx="853">
                  <c:v>851</c:v>
                </c:pt>
                <c:pt idx="854">
                  <c:v>852</c:v>
                </c:pt>
                <c:pt idx="855">
                  <c:v>853</c:v>
                </c:pt>
                <c:pt idx="856">
                  <c:v>854</c:v>
                </c:pt>
                <c:pt idx="857">
                  <c:v>855</c:v>
                </c:pt>
                <c:pt idx="858">
                  <c:v>856</c:v>
                </c:pt>
                <c:pt idx="859">
                  <c:v>857</c:v>
                </c:pt>
                <c:pt idx="860">
                  <c:v>858</c:v>
                </c:pt>
                <c:pt idx="861">
                  <c:v>859</c:v>
                </c:pt>
                <c:pt idx="862">
                  <c:v>860</c:v>
                </c:pt>
                <c:pt idx="863">
                  <c:v>861</c:v>
                </c:pt>
                <c:pt idx="864">
                  <c:v>862</c:v>
                </c:pt>
                <c:pt idx="865">
                  <c:v>863</c:v>
                </c:pt>
                <c:pt idx="866">
                  <c:v>864</c:v>
                </c:pt>
                <c:pt idx="867">
                  <c:v>865</c:v>
                </c:pt>
                <c:pt idx="868">
                  <c:v>866</c:v>
                </c:pt>
                <c:pt idx="869">
                  <c:v>867</c:v>
                </c:pt>
                <c:pt idx="870">
                  <c:v>868</c:v>
                </c:pt>
                <c:pt idx="871">
                  <c:v>869</c:v>
                </c:pt>
                <c:pt idx="872">
                  <c:v>870</c:v>
                </c:pt>
                <c:pt idx="873">
                  <c:v>871</c:v>
                </c:pt>
                <c:pt idx="874">
                  <c:v>872</c:v>
                </c:pt>
                <c:pt idx="875">
                  <c:v>873</c:v>
                </c:pt>
                <c:pt idx="876">
                  <c:v>874</c:v>
                </c:pt>
                <c:pt idx="877">
                  <c:v>875</c:v>
                </c:pt>
                <c:pt idx="878">
                  <c:v>876</c:v>
                </c:pt>
                <c:pt idx="879">
                  <c:v>877</c:v>
                </c:pt>
                <c:pt idx="880">
                  <c:v>878</c:v>
                </c:pt>
                <c:pt idx="881">
                  <c:v>879</c:v>
                </c:pt>
                <c:pt idx="882">
                  <c:v>880</c:v>
                </c:pt>
                <c:pt idx="883">
                  <c:v>881</c:v>
                </c:pt>
                <c:pt idx="884">
                  <c:v>882</c:v>
                </c:pt>
                <c:pt idx="885">
                  <c:v>883</c:v>
                </c:pt>
                <c:pt idx="886">
                  <c:v>884</c:v>
                </c:pt>
                <c:pt idx="887">
                  <c:v>885</c:v>
                </c:pt>
                <c:pt idx="888">
                  <c:v>886</c:v>
                </c:pt>
                <c:pt idx="889">
                  <c:v>887</c:v>
                </c:pt>
                <c:pt idx="890">
                  <c:v>888</c:v>
                </c:pt>
                <c:pt idx="891">
                  <c:v>889</c:v>
                </c:pt>
                <c:pt idx="892">
                  <c:v>890</c:v>
                </c:pt>
                <c:pt idx="893">
                  <c:v>891</c:v>
                </c:pt>
                <c:pt idx="894">
                  <c:v>892</c:v>
                </c:pt>
                <c:pt idx="895">
                  <c:v>893</c:v>
                </c:pt>
                <c:pt idx="896">
                  <c:v>894</c:v>
                </c:pt>
                <c:pt idx="897">
                  <c:v>895</c:v>
                </c:pt>
                <c:pt idx="898">
                  <c:v>896</c:v>
                </c:pt>
                <c:pt idx="899">
                  <c:v>897</c:v>
                </c:pt>
                <c:pt idx="900">
                  <c:v>898</c:v>
                </c:pt>
                <c:pt idx="901">
                  <c:v>899</c:v>
                </c:pt>
                <c:pt idx="902">
                  <c:v>900</c:v>
                </c:pt>
                <c:pt idx="903">
                  <c:v>901</c:v>
                </c:pt>
                <c:pt idx="904">
                  <c:v>902</c:v>
                </c:pt>
                <c:pt idx="905">
                  <c:v>903</c:v>
                </c:pt>
                <c:pt idx="906">
                  <c:v>904</c:v>
                </c:pt>
                <c:pt idx="907">
                  <c:v>905</c:v>
                </c:pt>
                <c:pt idx="908">
                  <c:v>906</c:v>
                </c:pt>
                <c:pt idx="909">
                  <c:v>907</c:v>
                </c:pt>
                <c:pt idx="910">
                  <c:v>908</c:v>
                </c:pt>
                <c:pt idx="911">
                  <c:v>909</c:v>
                </c:pt>
                <c:pt idx="912">
                  <c:v>910</c:v>
                </c:pt>
                <c:pt idx="913">
                  <c:v>911</c:v>
                </c:pt>
                <c:pt idx="914">
                  <c:v>912</c:v>
                </c:pt>
                <c:pt idx="915">
                  <c:v>913</c:v>
                </c:pt>
                <c:pt idx="916">
                  <c:v>914</c:v>
                </c:pt>
                <c:pt idx="917">
                  <c:v>915</c:v>
                </c:pt>
                <c:pt idx="918">
                  <c:v>916</c:v>
                </c:pt>
                <c:pt idx="919">
                  <c:v>917</c:v>
                </c:pt>
                <c:pt idx="920">
                  <c:v>918</c:v>
                </c:pt>
                <c:pt idx="921">
                  <c:v>919</c:v>
                </c:pt>
                <c:pt idx="922">
                  <c:v>920</c:v>
                </c:pt>
                <c:pt idx="923">
                  <c:v>921</c:v>
                </c:pt>
                <c:pt idx="924">
                  <c:v>922</c:v>
                </c:pt>
                <c:pt idx="925">
                  <c:v>923</c:v>
                </c:pt>
                <c:pt idx="926">
                  <c:v>924</c:v>
                </c:pt>
                <c:pt idx="927">
                  <c:v>925</c:v>
                </c:pt>
                <c:pt idx="928">
                  <c:v>926</c:v>
                </c:pt>
                <c:pt idx="929">
                  <c:v>927</c:v>
                </c:pt>
                <c:pt idx="930">
                  <c:v>928</c:v>
                </c:pt>
                <c:pt idx="931">
                  <c:v>929</c:v>
                </c:pt>
                <c:pt idx="932">
                  <c:v>930</c:v>
                </c:pt>
                <c:pt idx="933">
                  <c:v>931</c:v>
                </c:pt>
                <c:pt idx="934">
                  <c:v>932</c:v>
                </c:pt>
                <c:pt idx="935">
                  <c:v>933</c:v>
                </c:pt>
                <c:pt idx="936">
                  <c:v>934</c:v>
                </c:pt>
                <c:pt idx="937">
                  <c:v>935</c:v>
                </c:pt>
                <c:pt idx="938">
                  <c:v>936</c:v>
                </c:pt>
                <c:pt idx="939">
                  <c:v>937</c:v>
                </c:pt>
                <c:pt idx="940">
                  <c:v>938</c:v>
                </c:pt>
                <c:pt idx="941">
                  <c:v>939</c:v>
                </c:pt>
                <c:pt idx="942">
                  <c:v>940</c:v>
                </c:pt>
                <c:pt idx="943">
                  <c:v>941</c:v>
                </c:pt>
                <c:pt idx="944">
                  <c:v>942</c:v>
                </c:pt>
                <c:pt idx="945">
                  <c:v>943</c:v>
                </c:pt>
                <c:pt idx="946">
                  <c:v>944</c:v>
                </c:pt>
                <c:pt idx="947">
                  <c:v>945</c:v>
                </c:pt>
                <c:pt idx="948">
                  <c:v>946</c:v>
                </c:pt>
                <c:pt idx="949">
                  <c:v>947</c:v>
                </c:pt>
                <c:pt idx="950">
                  <c:v>948</c:v>
                </c:pt>
                <c:pt idx="951">
                  <c:v>949</c:v>
                </c:pt>
                <c:pt idx="952">
                  <c:v>950</c:v>
                </c:pt>
                <c:pt idx="953">
                  <c:v>951</c:v>
                </c:pt>
                <c:pt idx="954">
                  <c:v>952</c:v>
                </c:pt>
                <c:pt idx="955">
                  <c:v>953</c:v>
                </c:pt>
                <c:pt idx="956">
                  <c:v>954</c:v>
                </c:pt>
                <c:pt idx="957">
                  <c:v>955</c:v>
                </c:pt>
                <c:pt idx="958">
                  <c:v>956</c:v>
                </c:pt>
                <c:pt idx="959">
                  <c:v>957</c:v>
                </c:pt>
                <c:pt idx="960">
                  <c:v>958</c:v>
                </c:pt>
                <c:pt idx="961">
                  <c:v>959</c:v>
                </c:pt>
                <c:pt idx="962">
                  <c:v>960</c:v>
                </c:pt>
                <c:pt idx="963">
                  <c:v>961</c:v>
                </c:pt>
                <c:pt idx="964">
                  <c:v>962</c:v>
                </c:pt>
                <c:pt idx="965">
                  <c:v>963</c:v>
                </c:pt>
                <c:pt idx="966">
                  <c:v>964</c:v>
                </c:pt>
                <c:pt idx="967">
                  <c:v>965</c:v>
                </c:pt>
                <c:pt idx="968">
                  <c:v>966</c:v>
                </c:pt>
                <c:pt idx="969">
                  <c:v>967</c:v>
                </c:pt>
                <c:pt idx="970">
                  <c:v>968</c:v>
                </c:pt>
                <c:pt idx="971">
                  <c:v>969</c:v>
                </c:pt>
                <c:pt idx="972">
                  <c:v>970</c:v>
                </c:pt>
                <c:pt idx="973">
                  <c:v>971</c:v>
                </c:pt>
                <c:pt idx="974">
                  <c:v>972</c:v>
                </c:pt>
                <c:pt idx="975">
                  <c:v>973</c:v>
                </c:pt>
                <c:pt idx="976">
                  <c:v>974</c:v>
                </c:pt>
                <c:pt idx="977">
                  <c:v>975</c:v>
                </c:pt>
                <c:pt idx="978">
                  <c:v>976</c:v>
                </c:pt>
                <c:pt idx="979">
                  <c:v>977</c:v>
                </c:pt>
                <c:pt idx="980">
                  <c:v>978</c:v>
                </c:pt>
                <c:pt idx="981">
                  <c:v>979</c:v>
                </c:pt>
                <c:pt idx="982">
                  <c:v>980</c:v>
                </c:pt>
                <c:pt idx="983">
                  <c:v>981</c:v>
                </c:pt>
                <c:pt idx="984">
                  <c:v>982</c:v>
                </c:pt>
                <c:pt idx="985">
                  <c:v>983</c:v>
                </c:pt>
                <c:pt idx="986">
                  <c:v>984</c:v>
                </c:pt>
                <c:pt idx="987">
                  <c:v>985</c:v>
                </c:pt>
                <c:pt idx="988">
                  <c:v>986</c:v>
                </c:pt>
                <c:pt idx="989">
                  <c:v>987</c:v>
                </c:pt>
                <c:pt idx="990">
                  <c:v>988</c:v>
                </c:pt>
                <c:pt idx="991">
                  <c:v>989</c:v>
                </c:pt>
                <c:pt idx="992">
                  <c:v>990</c:v>
                </c:pt>
                <c:pt idx="993">
                  <c:v>991</c:v>
                </c:pt>
                <c:pt idx="994">
                  <c:v>992</c:v>
                </c:pt>
                <c:pt idx="995">
                  <c:v>993</c:v>
                </c:pt>
                <c:pt idx="996">
                  <c:v>994</c:v>
                </c:pt>
                <c:pt idx="997">
                  <c:v>995</c:v>
                </c:pt>
                <c:pt idx="998">
                  <c:v>996</c:v>
                </c:pt>
                <c:pt idx="999">
                  <c:v>997</c:v>
                </c:pt>
                <c:pt idx="1000">
                  <c:v>998</c:v>
                </c:pt>
                <c:pt idx="1001">
                  <c:v>999</c:v>
                </c:pt>
                <c:pt idx="1002">
                  <c:v>1000</c:v>
                </c:pt>
              </c:strCache>
            </c:strRef>
          </c:xVal>
          <c:yVal>
            <c:numRef>
              <c:f>'Kinetic Model'!$J$3:$J$1048576</c:f>
              <c:numCache>
                <c:formatCode>General</c:formatCode>
                <c:ptCount val="1048574"/>
                <c:pt idx="0">
                  <c:v>0</c:v>
                </c:pt>
                <c:pt idx="1">
                  <c:v>151.85318777051441</c:v>
                </c:pt>
                <c:pt idx="2">
                  <c:v>455.41570082861602</c:v>
                </c:pt>
                <c:pt idx="3">
                  <c:v>909.90477437487505</c:v>
                </c:pt>
                <c:pt idx="4">
                  <c:v>1513.9058850169918</c:v>
                </c:pt>
                <c:pt idx="5">
                  <c:v>2265.3871491895629</c:v>
                </c:pt>
                <c:pt idx="6">
                  <c:v>3161.7207746000786</c:v>
                </c:pt>
                <c:pt idx="7">
                  <c:v>4199.7112477978126</c:v>
                </c:pt>
                <c:pt idx="8">
                  <c:v>5375.6298316496477</c:v>
                </c:pt>
                <c:pt idx="9">
                  <c:v>6685.2548454126318</c:v>
                </c:pt>
                <c:pt idx="10">
                  <c:v>8123.9171093228642</c:v>
                </c:pt>
                <c:pt idx="11">
                  <c:v>9686.5498570337841</c:v>
                </c:pt>
                <c:pt idx="12">
                  <c:v>11367.742354400416</c:v>
                </c:pt>
                <c:pt idx="13">
                  <c:v>13161.796413253991</c:v>
                </c:pt>
                <c:pt idx="14">
                  <c:v>15062.78495481631</c:v>
                </c:pt>
                <c:pt idx="15">
                  <c:v>17064.611759757638</c:v>
                </c:pt>
                <c:pt idx="16">
                  <c:v>19161.071540709199</c:v>
                </c:pt>
                <c:pt idx="17">
                  <c:v>21345.909488019344</c:v>
                </c:pt>
                <c:pt idx="18">
                  <c:v>23612.879470035979</c:v>
                </c:pt>
                <c:pt idx="19">
                  <c:v>25955.800114204107</c:v>
                </c:pt>
                <c:pt idx="20">
                  <c:v>28368.608053466727</c:v>
                </c:pt>
                <c:pt idx="21">
                  <c:v>30845.407692257486</c:v>
                </c:pt>
                <c:pt idx="22">
                  <c:v>33380.516925954333</c:v>
                </c:pt>
                <c:pt idx="23">
                  <c:v>35968.50833503293</c:v>
                </c:pt>
                <c:pt idx="24">
                  <c:v>38604.245468206944</c:v>
                </c:pt>
                <c:pt idx="25">
                  <c:v>41282.913925401939</c:v>
                </c:pt>
                <c:pt idx="26">
                  <c:v>44000.047049310975</c:v>
                </c:pt>
                <c:pt idx="27">
                  <c:v>46751.54613140921</c:v>
                </c:pt>
                <c:pt idx="28">
                  <c:v>49533.695132654226</c:v>
                </c:pt>
                <c:pt idx="29">
                  <c:v>52343.170008815396</c:v>
                </c:pt>
                <c:pt idx="30">
                  <c:v>55177.042813800348</c:v>
                </c:pt>
                <c:pt idx="31">
                  <c:v>58032.780830049618</c:v>
                </c:pt>
                <c:pt idx="32">
                  <c:v>60908.241041875182</c:v>
                </c:pt>
                <c:pt idx="33">
                  <c:v>63801.660324619268</c:v>
                </c:pt>
                <c:pt idx="34">
                  <c:v>66711.64176908115</c:v>
                </c:pt>
                <c:pt idx="35">
                  <c:v>69637.137596455606</c:v>
                </c:pt>
                <c:pt idx="36">
                  <c:v>72577.429143974456</c:v>
                </c:pt>
                <c:pt idx="37">
                  <c:v>75532.104415727663</c:v>
                </c:pt>
                <c:pt idx="38">
                  <c:v>78501.033697183404</c:v>
                </c:pt>
                <c:pt idx="39">
                  <c:v>81484.343726361651</c:v>
                </c:pt>
                <c:pt idx="40">
                  <c:v>84482.39090025406</c:v>
                </c:pt>
                <c:pt idx="41">
                  <c:v>87495.733972884802</c:v>
                </c:pt>
                <c:pt idx="42">
                  <c:v>90525.106672442213</c:v>
                </c:pt>
                <c:pt idx="43">
                  <c:v>93571.390630326277</c:v>
                </c:pt>
                <c:pt idx="44">
                  <c:v>96635.588975938095</c:v>
                </c:pt>
                <c:pt idx="45">
                  <c:v>99718.80090877747</c:v>
                </c:pt>
                <c:pt idx="46">
                  <c:v>102822.19751508253</c:v>
                </c:pt>
                <c:pt idx="47">
                  <c:v>105946.99905095559</c:v>
                </c:pt>
                <c:pt idx="48">
                  <c:v>109094.4538687123</c:v>
                </c:pt>
                <c:pt idx="49">
                  <c:v>112265.81911900845</c:v>
                </c:pt>
                <c:pt idx="50">
                  <c:v>115462.34331897189</c:v>
                </c:pt>
                <c:pt idx="51">
                  <c:v>118685.25083680233</c:v>
                </c:pt>
                <c:pt idx="52">
                  <c:v>121935.72830667906</c:v>
                </c:pt>
                <c:pt idx="53">
                  <c:v>125214.9129547824</c:v>
                </c:pt>
                <c:pt idx="54">
                  <c:v>128523.88278810543</c:v>
                </c:pt>
                <c:pt idx="55">
                  <c:v>131863.64857270234</c:v>
                </c:pt>
                <c:pt idx="56">
                  <c:v>135235.14750716358</c:v>
                </c:pt>
                <c:pt idx="57">
                  <c:v>138639.23848039741</c:v>
                </c:pt>
                <c:pt idx="58">
                  <c:v>142076.69879010788</c:v>
                </c:pt>
                <c:pt idx="59">
                  <c:v>145548.22218948993</c:v>
                </c:pt>
                <c:pt idx="60">
                  <c:v>149054.41812434219</c:v>
                </c:pt>
                <c:pt idx="61">
                  <c:v>152595.81202071081</c:v>
                </c:pt>
                <c:pt idx="62">
                  <c:v>156172.84648396357</c:v>
                </c:pt>
                <c:pt idx="63">
                  <c:v>159785.88327347752</c:v>
                </c:pt>
                <c:pt idx="64">
                  <c:v>163435.20592251263</c:v>
                </c:pt>
                <c:pt idx="65">
                  <c:v>167121.02287995091</c:v>
                </c:pt>
                <c:pt idx="66">
                  <c:v>170843.47105902812</c:v>
                </c:pt>
                <c:pt idx="67">
                  <c:v>174602.61968761223</c:v>
                </c:pt>
                <c:pt idx="68">
                  <c:v>178398.47436465858</c:v>
                </c:pt>
                <c:pt idx="69">
                  <c:v>182230.9812378911</c:v>
                </c:pt>
                <c:pt idx="70">
                  <c:v>186100.03122825691</c:v>
                </c:pt>
                <c:pt idx="71">
                  <c:v>190005.46423704302</c:v>
                </c:pt>
                <c:pt idx="72">
                  <c:v>193947.07328153696</c:v>
                </c:pt>
                <c:pt idx="73">
                  <c:v>197924.60851459886</c:v>
                </c:pt>
                <c:pt idx="74">
                  <c:v>201937.78109236833</c:v>
                </c:pt>
                <c:pt idx="75">
                  <c:v>205986.26686246687</c:v>
                </c:pt>
                <c:pt idx="76">
                  <c:v>210069.70985241735</c:v>
                </c:pt>
                <c:pt idx="77">
                  <c:v>214187.72554455345</c:v>
                </c:pt>
                <c:pt idx="78">
                  <c:v>218339.90392942869</c:v>
                </c:pt>
                <c:pt idx="79">
                  <c:v>222525.81233466731</c:v>
                </c:pt>
                <c:pt idx="80">
                  <c:v>226744.99803035968</c:v>
                </c:pt>
                <c:pt idx="81">
                  <c:v>230996.99061553326</c:v>
                </c:pt>
                <c:pt idx="82">
                  <c:v>235281.30419298177</c:v>
                </c:pt>
                <c:pt idx="83">
                  <c:v>239597.43934186667</c:v>
                </c:pt>
                <c:pt idx="84">
                  <c:v>243944.88489908207</c:v>
                </c:pt>
                <c:pt idx="85">
                  <c:v>248323.1195614617</c:v>
                </c:pt>
                <c:pt idx="86">
                  <c:v>252731.61332156931</c:v>
                </c:pt>
                <c:pt idx="87">
                  <c:v>257169.82875011527</c:v>
                </c:pt>
                <c:pt idx="88">
                  <c:v>261637.22213804399</c:v>
                </c:pt>
                <c:pt idx="89">
                  <c:v>266133.24451109261</c:v>
                </c:pt>
                <c:pt idx="90">
                  <c:v>270657.3425291857</c:v>
                </c:pt>
                <c:pt idx="91">
                  <c:v>275208.95928244689</c:v>
                </c:pt>
                <c:pt idx="92">
                  <c:v>279787.53499491967</c:v>
                </c:pt>
                <c:pt idx="93">
                  <c:v>284392.50764632848</c:v>
                </c:pt>
                <c:pt idx="94">
                  <c:v>289023.31352141168</c:v>
                </c:pt>
                <c:pt idx="95">
                  <c:v>293679.38769554073</c:v>
                </c:pt>
                <c:pt idx="96">
                  <c:v>298360.16446452867</c:v>
                </c:pt>
                <c:pt idx="97">
                  <c:v>303065.07772574015</c:v>
                </c:pt>
                <c:pt idx="98">
                  <c:v>307793.5613168584</c:v>
                </c:pt>
                <c:pt idx="99">
                  <c:v>312545.0493179484</c:v>
                </c:pt>
                <c:pt idx="100">
                  <c:v>317318.97632178862</c:v>
                </c:pt>
                <c:pt idx="101">
                  <c:v>322114.77767683007</c:v>
                </c:pt>
                <c:pt idx="102">
                  <c:v>326931.88970657816</c:v>
                </c:pt>
                <c:pt idx="103">
                  <c:v>331769.74990868731</c:v>
                </c:pt>
                <c:pt idx="104">
                  <c:v>336627.79713660124</c:v>
                </c:pt>
                <c:pt idx="105">
                  <c:v>341505.47176616947</c:v>
                </c:pt>
                <c:pt idx="106">
                  <c:v>346402.21584931138</c:v>
                </c:pt>
                <c:pt idx="107">
                  <c:v>351317.47325648734</c:v>
                </c:pt>
                <c:pt idx="108">
                  <c:v>356250.6898094638</c:v>
                </c:pt>
                <c:pt idx="109">
                  <c:v>361201.31340562348</c:v>
                </c:pt>
                <c:pt idx="110">
                  <c:v>366168.79413486976</c:v>
                </c:pt>
                <c:pt idx="111">
                  <c:v>371152.58439000079</c:v>
                </c:pt>
                <c:pt idx="112">
                  <c:v>376152.13897128351</c:v>
                </c:pt>
                <c:pt idx="113">
                  <c:v>381166.91518583184</c:v>
                </c:pt>
                <c:pt idx="114">
                  <c:v>386196.37294229161</c:v>
                </c:pt>
                <c:pt idx="115">
                  <c:v>391239.97484124615</c:v>
                </c:pt>
                <c:pt idx="116">
                  <c:v>396297.18626168557</c:v>
                </c:pt>
                <c:pt idx="117">
                  <c:v>401367.4754438228</c:v>
                </c:pt>
                <c:pt idx="118">
                  <c:v>406450.31356849062</c:v>
                </c:pt>
                <c:pt idx="119">
                  <c:v>411545.17483331473</c:v>
                </c:pt>
                <c:pt idx="120">
                  <c:v>416651.53652582428</c:v>
                </c:pt>
                <c:pt idx="121">
                  <c:v>421768.87909363658</c:v>
                </c:pt>
                <c:pt idx="122">
                  <c:v>426896.68621183024</c:v>
                </c:pt>
                <c:pt idx="123">
                  <c:v>432034.44484760589</c:v>
                </c:pt>
                <c:pt idx="124">
                  <c:v>437181.64532231883</c:v>
                </c:pt>
                <c:pt idx="125">
                  <c:v>442337.78137095866</c:v>
                </c:pt>
                <c:pt idx="126">
                  <c:v>447502.35019914201</c:v>
                </c:pt>
                <c:pt idx="127">
                  <c:v>452674.85253767832</c:v>
                </c:pt>
                <c:pt idx="128">
                  <c:v>457854.79269476479</c:v>
                </c:pt>
                <c:pt idx="129">
                  <c:v>463041.67860586091</c:v>
                </c:pt>
                <c:pt idx="130">
                  <c:v>468235.02188129217</c:v>
                </c:pt>
                <c:pt idx="131">
                  <c:v>473434.33785162913</c:v>
                </c:pt>
                <c:pt idx="132">
                  <c:v>478639.14561088785</c:v>
                </c:pt>
                <c:pt idx="133">
                  <c:v>483848.96805759496</c:v>
                </c:pt>
                <c:pt idx="134">
                  <c:v>489063.33193376154</c:v>
                </c:pt>
                <c:pt idx="135">
                  <c:v>494281.76786180871</c:v>
                </c:pt>
                <c:pt idx="136">
                  <c:v>499503.8103794874</c:v>
                </c:pt>
                <c:pt idx="137">
                  <c:v>504728.99797283509</c:v>
                </c:pt>
                <c:pt idx="138">
                  <c:v>509956.87310721184</c:v>
                </c:pt>
                <c:pt idx="139">
                  <c:v>515186.9822564582</c:v>
                </c:pt>
                <c:pt idx="140">
                  <c:v>520418.87593021768</c:v>
                </c:pt>
                <c:pt idx="141">
                  <c:v>525652.10869946599</c:v>
                </c:pt>
                <c:pt idx="142">
                  <c:v>530886.23922028963</c:v>
                </c:pt>
                <c:pt idx="143">
                  <c:v>536120.83025595697</c:v>
                </c:pt>
                <c:pt idx="144">
                  <c:v>541355.44869732403</c:v>
                </c:pt>
                <c:pt idx="145">
                  <c:v>546589.66558161739</c:v>
                </c:pt>
                <c:pt idx="146">
                  <c:v>551823.05610963772</c:v>
                </c:pt>
                <c:pt idx="147">
                  <c:v>557055.19966142555</c:v>
                </c:pt>
                <c:pt idx="148">
                  <c:v>562285.67981043202</c:v>
                </c:pt>
                <c:pt idx="149">
                  <c:v>567514.0843362374</c:v>
                </c:pt>
                <c:pt idx="150">
                  <c:v>572740.00523585861</c:v>
                </c:pt>
                <c:pt idx="151">
                  <c:v>577963.03873368865</c:v>
                </c:pt>
                <c:pt idx="152">
                  <c:v>583182.78529010899</c:v>
                </c:pt>
                <c:pt idx="153">
                  <c:v>588398.84960881644</c:v>
                </c:pt>
                <c:pt idx="154">
                  <c:v>593610.84064290603</c:v>
                </c:pt>
                <c:pt idx="155">
                  <c:v>598818.37159974943</c:v>
                </c:pt>
                <c:pt idx="156">
                  <c:v>604021.05994471128</c:v>
                </c:pt>
                <c:pt idx="157">
                  <c:v>609218.52740374138</c:v>
                </c:pt>
                <c:pt idx="158">
                  <c:v>614410.39996488264</c:v>
                </c:pt>
                <c:pt idx="159">
                  <c:v>619596.30787873571</c:v>
                </c:pt>
                <c:pt idx="160">
                  <c:v>624775.88565791526</c:v>
                </c:pt>
                <c:pt idx="161">
                  <c:v>629948.77207553934</c:v>
                </c:pt>
                <c:pt idx="162">
                  <c:v>635114.61016278621</c:v>
                </c:pt>
                <c:pt idx="163">
                  <c:v>640273.04720555793</c:v>
                </c:pt>
                <c:pt idx="164">
                  <c:v>645423.73474028474</c:v>
                </c:pt>
                <c:pt idx="165">
                  <c:v>650566.32854890707</c:v>
                </c:pt>
                <c:pt idx="166">
                  <c:v>655700.48865306925</c:v>
                </c:pt>
                <c:pt idx="167">
                  <c:v>660825.87930755888</c:v>
                </c:pt>
                <c:pt idx="168">
                  <c:v>665942.16899302602</c:v>
                </c:pt>
                <c:pt idx="169">
                  <c:v>671049.03040801431</c:v>
                </c:pt>
                <c:pt idx="170">
                  <c:v>676146.14046033565</c:v>
                </c:pt>
                <c:pt idx="171">
                  <c:v>681233.18025781983</c:v>
                </c:pt>
                <c:pt idx="172">
                  <c:v>686309.83509846916</c:v>
                </c:pt>
                <c:pt idx="173">
                  <c:v>691375.79446004925</c:v>
                </c:pt>
                <c:pt idx="174">
                  <c:v>696430.75198914111</c:v>
                </c:pt>
                <c:pt idx="175">
                  <c:v>701474.40548968641</c:v>
                </c:pt>
                <c:pt idx="176">
                  <c:v>706506.45691105083</c:v>
                </c:pt>
                <c:pt idx="177">
                  <c:v>711526.61233563162</c:v>
                </c:pt>
                <c:pt idx="178">
                  <c:v>716534.581966036</c:v>
                </c:pt>
                <c:pt idx="179">
                  <c:v>721530.08011185378</c:v>
                </c:pt>
                <c:pt idx="180">
                  <c:v>726512.82517604926</c:v>
                </c:pt>
                <c:pt idx="181">
                  <c:v>731482.53964099323</c:v>
                </c:pt>
                <c:pt idx="182">
                  <c:v>736438.95005415985</c:v>
                </c:pt>
                <c:pt idx="183">
                  <c:v>741381.78701350675</c:v>
                </c:pt>
                <c:pt idx="184">
                  <c:v>746310.7851525615</c:v>
                </c:pt>
                <c:pt idx="185">
                  <c:v>751225.68312523107</c:v>
                </c:pt>
                <c:pt idx="186">
                  <c:v>756126.2235903556</c:v>
                </c:pt>
                <c:pt idx="187">
                  <c:v>761012.15319602296</c:v>
                </c:pt>
                <c:pt idx="188">
                  <c:v>765883.2225636607</c:v>
                </c:pt>
                <c:pt idx="189">
                  <c:v>770739.1862719229</c:v>
                </c:pt>
                <c:pt idx="190">
                  <c:v>775579.80284038663</c:v>
                </c:pt>
                <c:pt idx="191">
                  <c:v>780404.83471307205</c:v>
                </c:pt>
                <c:pt idx="192">
                  <c:v>785214.04824180098</c:v>
                </c:pt>
                <c:pt idx="193">
                  <c:v>790007.21366940718</c:v>
                </c:pt>
                <c:pt idx="194">
                  <c:v>794784.10511280852</c:v>
                </c:pt>
                <c:pt idx="195">
                  <c:v>799544.50054595515</c:v>
                </c:pt>
                <c:pt idx="196">
                  <c:v>804288.1817826631</c:v>
                </c:pt>
                <c:pt idx="197">
                  <c:v>809014.93445934344</c:v>
                </c:pt>
                <c:pt idx="198">
                  <c:v>813724.54801763629</c:v>
                </c:pt>
                <c:pt idx="199">
                  <c:v>818416.81568695931</c:v>
                </c:pt>
                <c:pt idx="200">
                  <c:v>823091.53446697688</c:v>
                </c:pt>
                <c:pt idx="201">
                  <c:v>827748.50510999875</c:v>
                </c:pt>
                <c:pt idx="202">
                  <c:v>832387.53210331488</c:v>
                </c:pt>
                <c:pt idx="203">
                  <c:v>837008.4236514708</c:v>
                </c:pt>
                <c:pt idx="204">
                  <c:v>841610.99165849143</c:v>
                </c:pt>
                <c:pt idx="205">
                  <c:v>846195.05171005544</c:v>
                </c:pt>
                <c:pt idx="206">
                  <c:v>850760.42305562738</c:v>
                </c:pt>
                <c:pt idx="207">
                  <c:v>855306.92859054869</c:v>
                </c:pt>
                <c:pt idx="208">
                  <c:v>859834.39483809285</c:v>
                </c:pt>
                <c:pt idx="209">
                  <c:v>864342.65193148481</c:v>
                </c:pt>
                <c:pt idx="210">
                  <c:v>868831.53359589062</c:v>
                </c:pt>
                <c:pt idx="211">
                  <c:v>873300.87713037478</c:v>
                </c:pt>
                <c:pt idx="212">
                  <c:v>877750.52338983002</c:v>
                </c:pt>
                <c:pt idx="213">
                  <c:v>882180.31676687812</c:v>
                </c:pt>
                <c:pt idx="214">
                  <c:v>886590.10517374356</c:v>
                </c:pt>
                <c:pt idx="215">
                  <c:v>890979.74002409866</c:v>
                </c:pt>
                <c:pt idx="216">
                  <c:v>895349.07621488161</c:v>
                </c:pt>
                <c:pt idx="217">
                  <c:v>899697.97210808471</c:v>
                </c:pt>
                <c:pt idx="218">
                  <c:v>904026.28951251355</c:v>
                </c:pt>
                <c:pt idx="219">
                  <c:v>908333.8936655143</c:v>
                </c:pt>
                <c:pt idx="220">
                  <c:v>912620.6532146692</c:v>
                </c:pt>
                <c:pt idx="221">
                  <c:v>916886.44019945629</c:v>
                </c:pt>
                <c:pt idx="222">
                  <c:v>921131.1300328722</c:v>
                </c:pt>
                <c:pt idx="223">
                  <c:v>925354.60148301651</c:v>
                </c:pt>
                <c:pt idx="224">
                  <c:v>929556.73665463342</c:v>
                </c:pt>
                <c:pt idx="225">
                  <c:v>933737.42097060871</c:v>
                </c:pt>
                <c:pt idx="226">
                  <c:v>937896.54315341893</c:v>
                </c:pt>
                <c:pt idx="227">
                  <c:v>942033.99520653009</c:v>
                </c:pt>
                <c:pt idx="228">
                  <c:v>946149.67239574122</c:v>
                </c:pt>
                <c:pt idx="229">
                  <c:v>950243.4732304709</c:v>
                </c:pt>
                <c:pt idx="230">
                  <c:v>954315.29944498267</c:v>
                </c:pt>
                <c:pt idx="231">
                  <c:v>958365.05597954453</c:v>
                </c:pt>
                <c:pt idx="232">
                  <c:v>962392.65096152155</c:v>
                </c:pt>
                <c:pt idx="233">
                  <c:v>966397.9956863944</c:v>
                </c:pt>
                <c:pt idx="234">
                  <c:v>970381.00459870242</c:v>
                </c:pt>
                <c:pt idx="235">
                  <c:v>974341.59527290775</c:v>
                </c:pt>
                <c:pt idx="236">
                  <c:v>978279.68839417328</c:v>
                </c:pt>
                <c:pt idx="237">
                  <c:v>982195.20773905504</c:v>
                </c:pt>
                <c:pt idx="238">
                  <c:v>986088.08015610185</c:v>
                </c:pt>
                <c:pt idx="239">
                  <c:v>989958.23554635979</c:v>
                </c:pt>
                <c:pt idx="240">
                  <c:v>993805.60684377735</c:v>
                </c:pt>
                <c:pt idx="241">
                  <c:v>997630.12999550847</c:v>
                </c:pt>
                <c:pt idx="242">
                  <c:v>1001431.7439421075</c:v>
                </c:pt>
                <c:pt idx="243">
                  <c:v>1005210.3905976153</c:v>
                </c:pt>
                <c:pt idx="244">
                  <c:v>1008966.0148295311</c:v>
                </c:pt>
                <c:pt idx="245">
                  <c:v>1012698.5644386668</c:v>
                </c:pt>
                <c:pt idx="246">
                  <c:v>1016407.9901388821</c:v>
                </c:pt>
                <c:pt idx="247">
                  <c:v>1020094.2455366938</c:v>
                </c:pt>
                <c:pt idx="248">
                  <c:v>1023757.2871107609</c:v>
                </c:pt>
                <c:pt idx="249">
                  <c:v>1027397.0741912383</c:v>
                </c:pt>
                <c:pt idx="250">
                  <c:v>1031013.568938998</c:v>
                </c:pt>
                <c:pt idx="251">
                  <c:v>1034606.7363247164</c:v>
                </c:pt>
                <c:pt idx="252">
                  <c:v>1038176.544107822</c:v>
                </c:pt>
                <c:pt idx="253">
                  <c:v>1041722.9628153051</c:v>
                </c:pt>
                <c:pt idx="254">
                  <c:v>1045245.9657203837</c:v>
                </c:pt>
                <c:pt idx="255">
                  <c:v>1048745.5288210257</c:v>
                </c:pt>
                <c:pt idx="256">
                  <c:v>1052221.6308183251</c:v>
                </c:pt>
                <c:pt idx="257">
                  <c:v>1055674.2530947297</c:v>
                </c:pt>
                <c:pt idx="258">
                  <c:v>1059103.3796921205</c:v>
                </c:pt>
                <c:pt idx="259">
                  <c:v>1062508.9972897395</c:v>
                </c:pt>
                <c:pt idx="260">
                  <c:v>1065891.0951819667</c:v>
                </c:pt>
                <c:pt idx="261">
                  <c:v>1069249.6652559435</c:v>
                </c:pt>
                <c:pt idx="262">
                  <c:v>1072584.7019690436</c:v>
                </c:pt>
                <c:pt idx="263">
                  <c:v>1075896.2023261893</c:v>
                </c:pt>
                <c:pt idx="264">
                  <c:v>1079184.1658570135</c:v>
                </c:pt>
                <c:pt idx="265">
                  <c:v>1082448.5945928686</c:v>
                </c:pt>
                <c:pt idx="266">
                  <c:v>1085689.4930436788</c:v>
                </c:pt>
                <c:pt idx="267">
                  <c:v>1088906.86817464</c:v>
                </c:pt>
                <c:pt idx="268">
                  <c:v>1092100.7293827659</c:v>
                </c:pt>
                <c:pt idx="269">
                  <c:v>1095271.0884732804</c:v>
                </c:pt>
                <c:pt idx="270">
                  <c:v>1098417.9596358589</c:v>
                </c:pt>
                <c:pt idx="271">
                  <c:v>1101541.3594207163</c:v>
                </c:pt>
                <c:pt idx="272">
                  <c:v>1104641.306714549</c:v>
                </c:pt>
                <c:pt idx="273">
                  <c:v>1107717.8227163246</c:v>
                </c:pt>
                <c:pt idx="274">
                  <c:v>1110770.9309129266</c:v>
                </c:pt>
                <c:pt idx="275">
                  <c:v>1113800.6570546548</c:v>
                </c:pt>
                <c:pt idx="276">
                  <c:v>1116807.0291305808</c:v>
                </c:pt>
                <c:pt idx="277">
                  <c:v>1119790.0773437654</c:v>
                </c:pt>
                <c:pt idx="278">
                  <c:v>1122749.8340863336</c:v>
                </c:pt>
                <c:pt idx="279">
                  <c:v>1125686.3339144192</c:v>
                </c:pt>
                <c:pt idx="280">
                  <c:v>1128599.6135229704</c:v>
                </c:pt>
                <c:pt idx="281">
                  <c:v>1131489.7117204296</c:v>
                </c:pt>
                <c:pt idx="282">
                  <c:v>1134356.6694032843</c:v>
                </c:pt>
                <c:pt idx="283">
                  <c:v>1137200.5295304935</c:v>
                </c:pt>
                <c:pt idx="284">
                  <c:v>1140021.3370977943</c:v>
                </c:pt>
                <c:pt idx="285">
                  <c:v>1142819.1391118914</c:v>
                </c:pt>
                <c:pt idx="286">
                  <c:v>1145593.984564533</c:v>
                </c:pt>
                <c:pt idx="287">
                  <c:v>1148345.9244064773</c:v>
                </c:pt>
                <c:pt idx="288">
                  <c:v>1151075.0115213522</c:v>
                </c:pt>
                <c:pt idx="289">
                  <c:v>1153781.3006994165</c:v>
                </c:pt>
                <c:pt idx="290">
                  <c:v>1156464.8486112203</c:v>
                </c:pt>
                <c:pt idx="291">
                  <c:v>1159125.713781175</c:v>
                </c:pt>
                <c:pt idx="292">
                  <c:v>1161763.9565610329</c:v>
                </c:pt>
                <c:pt idx="293">
                  <c:v>1164379.639103285</c:v>
                </c:pt>
                <c:pt idx="294">
                  <c:v>1166972.8253344789</c:v>
                </c:pt>
                <c:pt idx="295">
                  <c:v>1169543.5809284609</c:v>
                </c:pt>
                <c:pt idx="296">
                  <c:v>1172091.9732795507</c:v>
                </c:pt>
                <c:pt idx="297">
                  <c:v>1174618.0714756504</c:v>
                </c:pt>
                <c:pt idx="298">
                  <c:v>1177121.946271295</c:v>
                </c:pt>
                <c:pt idx="299">
                  <c:v>1179603.6700606477</c:v>
                </c:pt>
                <c:pt idx="300">
                  <c:v>1182063.3168504471</c:v>
                </c:pt>
                <c:pt idx="301">
                  <c:v>1184500.9622329106</c:v>
                </c:pt>
                <c:pt idx="302">
                  <c:v>1186916.6833585987</c:v>
                </c:pt>
                <c:pt idx="303">
                  <c:v>1189310.5589092472</c:v>
                </c:pt>
                <c:pt idx="304">
                  <c:v>1191682.6690705724</c:v>
                </c:pt>
                <c:pt idx="305">
                  <c:v>1194033.0955050532</c:v>
                </c:pt>
                <c:pt idx="306">
                  <c:v>1196361.921324699</c:v>
                </c:pt>
                <c:pt idx="307">
                  <c:v>1198669.2310638048</c:v>
                </c:pt>
                <c:pt idx="308">
                  <c:v>1200955.1106517024</c:v>
                </c:pt>
                <c:pt idx="309">
                  <c:v>1203219.6473855125</c:v>
                </c:pt>
                <c:pt idx="310">
                  <c:v>1205462.9299029035</c:v>
                </c:pt>
                <c:pt idx="311">
                  <c:v>1207685.048154861</c:v>
                </c:pt>
                <c:pt idx="312">
                  <c:v>1209886.0933784773</c:v>
                </c:pt>
                <c:pt idx="313">
                  <c:v>1212066.1580697622</c:v>
                </c:pt>
                <c:pt idx="314">
                  <c:v>1214225.3359564859</c:v>
                </c:pt>
                <c:pt idx="315">
                  <c:v>1216363.7219710548</c:v>
                </c:pt>
                <c:pt idx="316">
                  <c:v>1218481.4122234294</c:v>
                </c:pt>
                <c:pt idx="317">
                  <c:v>1220578.503974088</c:v>
                </c:pt>
                <c:pt idx="318">
                  <c:v>1222655.0956070437</c:v>
                </c:pt>
                <c:pt idx="319">
                  <c:v>1224711.2866029192</c:v>
                </c:pt>
                <c:pt idx="320">
                  <c:v>1226747.1775120841</c:v>
                </c:pt>
                <c:pt idx="321">
                  <c:v>1228762.8699278638</c:v>
                </c:pt>
                <c:pt idx="322">
                  <c:v>1230758.4664598205</c:v>
                </c:pt>
                <c:pt idx="323">
                  <c:v>1232734.0707071181</c:v>
                </c:pt>
                <c:pt idx="324">
                  <c:v>1234689.7872319699</c:v>
                </c:pt>
                <c:pt idx="325">
                  <c:v>1236625.7215331804</c:v>
                </c:pt>
                <c:pt idx="326">
                  <c:v>1238541.980019782</c:v>
                </c:pt>
                <c:pt idx="327">
                  <c:v>1240438.6699847756</c:v>
                </c:pt>
                <c:pt idx="328">
                  <c:v>1242315.8995789788</c:v>
                </c:pt>
                <c:pt idx="329">
                  <c:v>1244173.7777849857</c:v>
                </c:pt>
                <c:pt idx="330">
                  <c:v>1246012.4143912464</c:v>
                </c:pt>
                <c:pt idx="331">
                  <c:v>1247831.9199662688</c:v>
                </c:pt>
                <c:pt idx="332">
                  <c:v>1249632.4058329505</c:v>
                </c:pt>
                <c:pt idx="333">
                  <c:v>1251413.9840430412</c:v>
                </c:pt>
                <c:pt idx="334">
                  <c:v>1253176.7673517463</c:v>
                </c:pt>
                <c:pt idx="335">
                  <c:v>1254920.869192472</c:v>
                </c:pt>
                <c:pt idx="336">
                  <c:v>1256646.403651719</c:v>
                </c:pt>
                <c:pt idx="337">
                  <c:v>1258353.485444129</c:v>
                </c:pt>
                <c:pt idx="338">
                  <c:v>1260042.2298876888</c:v>
                </c:pt>
                <c:pt idx="339">
                  <c:v>1261712.7528790941</c:v>
                </c:pt>
                <c:pt idx="340">
                  <c:v>1263365.1708692836</c:v>
                </c:pt>
                <c:pt idx="341">
                  <c:v>1264999.6008391394</c:v>
                </c:pt>
                <c:pt idx="342">
                  <c:v>1266616.1602753648</c:v>
                </c:pt>
                <c:pt idx="343">
                  <c:v>1268214.9671465419</c:v>
                </c:pt>
                <c:pt idx="344">
                  <c:v>1269796.1398793689</c:v>
                </c:pt>
                <c:pt idx="345">
                  <c:v>1271359.7973350887</c:v>
                </c:pt>
                <c:pt idx="346">
                  <c:v>1272906.0587861049</c:v>
                </c:pt>
                <c:pt idx="347">
                  <c:v>1274435.0438927957</c:v>
                </c:pt>
                <c:pt idx="348">
                  <c:v>1275946.8726805239</c:v>
                </c:pt>
                <c:pt idx="349">
                  <c:v>1277441.6655168494</c:v>
                </c:pt>
                <c:pt idx="350">
                  <c:v>1278919.5430889486</c:v>
                </c:pt>
                <c:pt idx="351">
                  <c:v>1280380.6263812422</c:v>
                </c:pt>
                <c:pt idx="352">
                  <c:v>1281825.0366532337</c:v>
                </c:pt>
                <c:pt idx="353">
                  <c:v>1283252.8954175641</c:v>
                </c:pt>
                <c:pt idx="354">
                  <c:v>1284664.3244182868</c:v>
                </c:pt>
                <c:pt idx="355">
                  <c:v>1286059.4456093614</c:v>
                </c:pt>
                <c:pt idx="356">
                  <c:v>1287438.3811333736</c:v>
                </c:pt>
                <c:pt idx="357">
                  <c:v>1288801.2533004803</c:v>
                </c:pt>
                <c:pt idx="358">
                  <c:v>1290148.1845675865</c:v>
                </c:pt>
                <c:pt idx="359">
                  <c:v>1291479.2975177523</c:v>
                </c:pt>
                <c:pt idx="360">
                  <c:v>1292794.7148398357</c:v>
                </c:pt>
                <c:pt idx="361">
                  <c:v>1294094.5593083743</c:v>
                </c:pt>
                <c:pt idx="362">
                  <c:v>1295378.9537637006</c:v>
                </c:pt>
                <c:pt idx="363">
                  <c:v>1296648.0210923057</c:v>
                </c:pt>
                <c:pt idx="364">
                  <c:v>1297901.8842074403</c:v>
                </c:pt>
                <c:pt idx="365">
                  <c:v>1299140.6660299648</c:v>
                </c:pt>
                <c:pt idx="366">
                  <c:v>1300364.4894694451</c:v>
                </c:pt>
                <c:pt idx="367">
                  <c:v>1301573.4774054971</c:v>
                </c:pt>
                <c:pt idx="368">
                  <c:v>1302767.7526693805</c:v>
                </c:pt>
                <c:pt idx="369">
                  <c:v>1303947.438025848</c:v>
                </c:pt>
                <c:pt idx="370">
                  <c:v>1305112.656155244</c:v>
                </c:pt>
                <c:pt idx="371">
                  <c:v>1306263.529635859</c:v>
                </c:pt>
                <c:pt idx="372">
                  <c:v>1307400.1809265397</c:v>
                </c:pt>
                <c:pt idx="373">
                  <c:v>1308522.7323495583</c:v>
                </c:pt>
                <c:pt idx="374">
                  <c:v>1309631.306073735</c:v>
                </c:pt>
                <c:pt idx="375">
                  <c:v>1310726.0240978231</c:v>
                </c:pt>
                <c:pt idx="376">
                  <c:v>1311807.0082341519</c:v>
                </c:pt>
                <c:pt idx="377">
                  <c:v>1312874.3800925303</c:v>
                </c:pt>
                <c:pt idx="378">
                  <c:v>1313928.2610644109</c:v>
                </c:pt>
                <c:pt idx="379">
                  <c:v>1314968.7723073158</c:v>
                </c:pt>
                <c:pt idx="380">
                  <c:v>1315996.0347295231</c:v>
                </c:pt>
                <c:pt idx="381">
                  <c:v>1317010.1689750182</c:v>
                </c:pt>
                <c:pt idx="382">
                  <c:v>1318011.2954087041</c:v>
                </c:pt>
                <c:pt idx="383">
                  <c:v>1318999.5341018755</c:v>
                </c:pt>
                <c:pt idx="384">
                  <c:v>1319975.0048179568</c:v>
                </c:pt>
                <c:pt idx="385">
                  <c:v>1320937.8269985002</c:v>
                </c:pt>
                <c:pt idx="386">
                  <c:v>1321888.1197494473</c:v>
                </c:pt>
                <c:pt idx="387">
                  <c:v>1322826.0018276558</c:v>
                </c:pt>
                <c:pt idx="388">
                  <c:v>1323751.5916276798</c:v>
                </c:pt>
                <c:pt idx="389">
                  <c:v>1324665.0071688229</c:v>
                </c:pt>
                <c:pt idx="390">
                  <c:v>1325566.3660824436</c:v>
                </c:pt>
                <c:pt idx="391">
                  <c:v>1326455.7855995249</c:v>
                </c:pt>
                <c:pt idx="392">
                  <c:v>1327333.3825385035</c:v>
                </c:pt>
                <c:pt idx="393">
                  <c:v>1328199.2732933592</c:v>
                </c:pt>
                <c:pt idx="394">
                  <c:v>1329053.5738219609</c:v>
                </c:pt>
                <c:pt idx="395">
                  <c:v>1329896.3996346723</c:v>
                </c:pt>
                <c:pt idx="396">
                  <c:v>1330727.8657832134</c:v>
                </c:pt>
                <c:pt idx="397">
                  <c:v>1331548.0868497787</c:v>
                </c:pt>
                <c:pt idx="398">
                  <c:v>1332357.1769364092</c:v>
                </c:pt>
                <c:pt idx="399">
                  <c:v>1333155.2496546209</c:v>
                </c:pt>
                <c:pt idx="400">
                  <c:v>1333942.418115282</c:v>
                </c:pt>
                <c:pt idx="401">
                  <c:v>1334718.7949187446</c:v>
                </c:pt>
                <c:pt idx="402">
                  <c:v>1335484.4921452273</c:v>
                </c:pt>
                <c:pt idx="403">
                  <c:v>1336239.6213454425</c:v>
                </c:pt>
                <c:pt idx="404">
                  <c:v>1336984.2935314761</c:v>
                </c:pt>
                <c:pt idx="405">
                  <c:v>1337718.6191679104</c:v>
                </c:pt>
                <c:pt idx="406">
                  <c:v>1338442.7081631909</c:v>
                </c:pt>
                <c:pt idx="407">
                  <c:v>1339156.6698612396</c:v>
                </c:pt>
                <c:pt idx="408">
                  <c:v>1339860.6130333056</c:v>
                </c:pt>
                <c:pt idx="409">
                  <c:v>1340554.6458700576</c:v>
                </c:pt>
                <c:pt idx="410">
                  <c:v>1341238.875973915</c:v>
                </c:pt>
                <c:pt idx="411">
                  <c:v>1341913.4103516128</c:v>
                </c:pt>
                <c:pt idx="412">
                  <c:v>1342578.3554070031</c:v>
                </c:pt>
                <c:pt idx="413">
                  <c:v>1343233.8169340873</c:v>
                </c:pt>
                <c:pt idx="414">
                  <c:v>1343879.9001102822</c:v>
                </c:pt>
                <c:pt idx="415">
                  <c:v>1344516.7094899109</c:v>
                </c:pt>
                <c:pt idx="416">
                  <c:v>1345144.3489979219</c:v>
                </c:pt>
                <c:pt idx="417">
                  <c:v>1345762.9219238353</c:v>
                </c:pt>
                <c:pt idx="418">
                  <c:v>1346372.5309159078</c:v>
                </c:pt>
                <c:pt idx="419">
                  <c:v>1346973.2779755208</c:v>
                </c:pt>
                <c:pt idx="420">
                  <c:v>1347565.2644517862</c:v>
                </c:pt>
                <c:pt idx="421">
                  <c:v>1348148.5910363698</c:v>
                </c:pt>
                <c:pt idx="422">
                  <c:v>1348723.3577585248</c:v>
                </c:pt>
                <c:pt idx="423">
                  <c:v>1349289.6639803441</c:v>
                </c:pt>
                <c:pt idx="424">
                  <c:v>1349847.6083922146</c:v>
                </c:pt>
                <c:pt idx="425">
                  <c:v>1350397.2890084854</c:v>
                </c:pt>
                <c:pt idx="426">
                  <c:v>1350938.8031633361</c:v>
                </c:pt>
                <c:pt idx="427">
                  <c:v>1351472.2475068523</c:v>
                </c:pt>
                <c:pt idx="428">
                  <c:v>1351997.7180012972</c:v>
                </c:pt>
                <c:pt idx="429">
                  <c:v>1352515.3099175845</c:v>
                </c:pt>
                <c:pt idx="430">
                  <c:v>1353025.1178319459</c:v>
                </c:pt>
                <c:pt idx="431">
                  <c:v>1353527.2356227911</c:v>
                </c:pt>
                <c:pt idx="432">
                  <c:v>1354021.7564677605</c:v>
                </c:pt>
                <c:pt idx="433">
                  <c:v>1354508.7728409639</c:v>
                </c:pt>
                <c:pt idx="434">
                  <c:v>1354988.3765104075</c:v>
                </c:pt>
                <c:pt idx="435">
                  <c:v>1355460.658535602</c:v>
                </c:pt>
                <c:pt idx="436">
                  <c:v>1355925.7092653546</c:v>
                </c:pt>
                <c:pt idx="437">
                  <c:v>1356383.6183357364</c:v>
                </c:pt>
                <c:pt idx="438">
                  <c:v>1356834.4746682278</c:v>
                </c:pt>
                <c:pt idx="439">
                  <c:v>1357278.3664680358</c:v>
                </c:pt>
                <c:pt idx="440">
                  <c:v>1357715.3812225857</c:v>
                </c:pt>
                <c:pt idx="441">
                  <c:v>1358145.6057001748</c:v>
                </c:pt>
                <c:pt idx="442">
                  <c:v>1358569.1259487993</c:v>
                </c:pt>
                <c:pt idx="443">
                  <c:v>1358986.027295138</c:v>
                </c:pt>
                <c:pt idx="444">
                  <c:v>1359396.3943437021</c:v>
                </c:pt>
                <c:pt idx="445">
                  <c:v>1359800.31097614</c:v>
                </c:pt>
                <c:pt idx="446">
                  <c:v>1360197.8603506975</c:v>
                </c:pt>
                <c:pt idx="447">
                  <c:v>1360589.1249018321</c:v>
                </c:pt>
                <c:pt idx="448">
                  <c:v>1360974.18633998</c:v>
                </c:pt>
                <c:pt idx="449">
                  <c:v>1361353.125651466</c:v>
                </c:pt>
                <c:pt idx="450">
                  <c:v>1361726.0230985635</c:v>
                </c:pt>
                <c:pt idx="451">
                  <c:v>1362092.9582196928</c:v>
                </c:pt>
                <c:pt idx="452">
                  <c:v>1362454.0098297661</c:v>
                </c:pt>
                <c:pt idx="453">
                  <c:v>1362809.2560206624</c:v>
                </c:pt>
                <c:pt idx="454">
                  <c:v>1363158.774161844</c:v>
                </c:pt>
                <c:pt idx="455">
                  <c:v>1363502.6409011034</c:v>
                </c:pt>
                <c:pt idx="456">
                  <c:v>1363840.9321654371</c:v>
                </c:pt>
                <c:pt idx="457">
                  <c:v>1364173.7231620534</c:v>
                </c:pt>
                <c:pt idx="458">
                  <c:v>1364501.0883795004</c:v>
                </c:pt>
                <c:pt idx="459">
                  <c:v>1364823.1015889158</c:v>
                </c:pt>
                <c:pt idx="460">
                  <c:v>1365139.8358454029</c:v>
                </c:pt>
                <c:pt idx="461">
                  <c:v>1365451.363489517</c:v>
                </c:pt>
                <c:pt idx="462">
                  <c:v>1365757.7561488713</c:v>
                </c:pt>
                <c:pt idx="463">
                  <c:v>1366059.0847398543</c:v>
                </c:pt>
                <c:pt idx="464">
                  <c:v>1366355.4194694548</c:v>
                </c:pt>
                <c:pt idx="465">
                  <c:v>1366646.8298372007</c:v>
                </c:pt>
                <c:pt idx="466">
                  <c:v>1366933.384637197</c:v>
                </c:pt>
                <c:pt idx="467">
                  <c:v>1367215.1519602686</c:v>
                </c:pt>
                <c:pt idx="468">
                  <c:v>1367492.1991962045</c:v>
                </c:pt>
                <c:pt idx="469">
                  <c:v>1367764.5930361019</c:v>
                </c:pt>
                <c:pt idx="470">
                  <c:v>1368032.3994747989</c:v>
                </c:pt>
                <c:pt idx="471">
                  <c:v>1368295.6838134101</c:v>
                </c:pt>
                <c:pt idx="472">
                  <c:v>1368554.510661944</c:v>
                </c:pt>
                <c:pt idx="473">
                  <c:v>1368808.9439420186</c:v>
                </c:pt>
                <c:pt idx="474">
                  <c:v>1369059.0468896516</c:v>
                </c:pt>
                <c:pt idx="475">
                  <c:v>1369304.882058149</c:v>
                </c:pt>
                <c:pt idx="476">
                  <c:v>1369546.511321062</c:v>
                </c:pt>
                <c:pt idx="477">
                  <c:v>1369783.9958752326</c:v>
                </c:pt>
                <c:pt idx="478">
                  <c:v>1370017.3962439117</c:v>
                </c:pt>
                <c:pt idx="479">
                  <c:v>1370246.7722799552</c:v>
                </c:pt>
                <c:pt idx="480">
                  <c:v>1370472.1831690925</c:v>
                </c:pt>
                <c:pt idx="481">
                  <c:v>1370693.6874332626</c:v>
                </c:pt>
                <c:pt idx="482">
                  <c:v>1370911.3429340252</c:v>
                </c:pt>
                <c:pt idx="483">
                  <c:v>1371125.2068760314</c:v>
                </c:pt>
                <c:pt idx="484">
                  <c:v>1371335.335810564</c:v>
                </c:pt>
                <c:pt idx="485">
                  <c:v>1371541.7856391373</c:v>
                </c:pt>
                <c:pt idx="486">
                  <c:v>1371744.6116171596</c:v>
                </c:pt>
                <c:pt idx="487">
                  <c:v>1371943.8683576502</c:v>
                </c:pt>
                <c:pt idx="488">
                  <c:v>1372139.6098350172</c:v>
                </c:pt>
                <c:pt idx="489">
                  <c:v>1372331.8893888851</c:v>
                </c:pt>
                <c:pt idx="490">
                  <c:v>1372520.7597279791</c:v>
                </c:pt>
                <c:pt idx="491">
                  <c:v>1372706.2729340554</c:v>
                </c:pt>
                <c:pt idx="492">
                  <c:v>1372888.4804658832</c:v>
                </c:pt>
                <c:pt idx="493">
                  <c:v>1373067.4331632722</c:v>
                </c:pt>
                <c:pt idx="494">
                  <c:v>1373243.1812511431</c:v>
                </c:pt>
                <c:pt idx="495">
                  <c:v>1373415.7743436433</c:v>
                </c:pt>
                <c:pt idx="496">
                  <c:v>1373585.2614483035</c:v>
                </c:pt>
                <c:pt idx="497">
                  <c:v>1373751.6909702297</c:v>
                </c:pt>
                <c:pt idx="498">
                  <c:v>1373915.1107163385</c:v>
                </c:pt>
                <c:pt idx="499">
                  <c:v>1374075.5678996211</c:v>
                </c:pt>
                <c:pt idx="500">
                  <c:v>1374233.1091434513</c:v>
                </c:pt>
                <c:pt idx="501">
                  <c:v>1374387.7804859111</c:v>
                </c:pt>
                <c:pt idx="502">
                  <c:v>1374539.6273841611</c:v>
                </c:pt>
                <c:pt idx="503">
                  <c:v>1374688.6947188312</c:v>
                </c:pt>
                <c:pt idx="504">
                  <c:v>1374835.0267984429</c:v>
                </c:pt>
                <c:pt idx="505">
                  <c:v>1374978.6673638516</c:v>
                </c:pt>
                <c:pt idx="506">
                  <c:v>1375119.6595927209</c:v>
                </c:pt>
                <c:pt idx="507">
                  <c:v>1375258.0461040114</c:v>
                </c:pt>
                <c:pt idx="508">
                  <c:v>1375393.8689624968</c:v>
                </c:pt>
                <c:pt idx="509">
                  <c:v>1375527.1696832953</c:v>
                </c:pt>
                <c:pt idx="510">
                  <c:v>1375657.989236421</c:v>
                </c:pt>
                <c:pt idx="511">
                  <c:v>1375786.3680513494</c:v>
                </c:pt>
                <c:pt idx="512">
                  <c:v>1375912.3460216036</c:v>
                </c:pt>
                <c:pt idx="513">
                  <c:v>1376035.9625093455</c:v>
                </c:pt>
                <c:pt idx="514">
                  <c:v>1376157.2563499871</c:v>
                </c:pt>
                <c:pt idx="515">
                  <c:v>1376276.2658568094</c:v>
                </c:pt>
                <c:pt idx="516">
                  <c:v>1376393.0288255888</c:v>
                </c:pt>
                <c:pt idx="517">
                  <c:v>1376507.5825392373</c:v>
                </c:pt>
                <c:pt idx="518">
                  <c:v>1376619.9637724445</c:v>
                </c:pt>
                <c:pt idx="519">
                  <c:v>1376730.2087963263</c:v>
                </c:pt>
                <c:pt idx="520">
                  <c:v>1376838.3533830815</c:v>
                </c:pt>
                <c:pt idx="521">
                  <c:v>1376944.4328106472</c:v>
                </c:pt>
                <c:pt idx="522">
                  <c:v>1377048.48186736</c:v>
                </c:pt>
                <c:pt idx="523">
                  <c:v>1377150.5348566133</c:v>
                </c:pt>
                <c:pt idx="524">
                  <c:v>1377250.6256015215</c:v>
                </c:pt>
                <c:pt idx="525">
                  <c:v>1377348.7874495762</c:v>
                </c:pt>
                <c:pt idx="526">
                  <c:v>1377445.0532773023</c:v>
                </c:pt>
                <c:pt idx="527">
                  <c:v>1377539.4554949123</c:v>
                </c:pt>
                <c:pt idx="528">
                  <c:v>1377632.026050956</c:v>
                </c:pt>
                <c:pt idx="529">
                  <c:v>1377722.7964369578</c:v>
                </c:pt>
                <c:pt idx="530">
                  <c:v>1377811.7976920598</c:v>
                </c:pt>
                <c:pt idx="531">
                  <c:v>1377899.0604076453</c:v>
                </c:pt>
                <c:pt idx="532">
                  <c:v>1377984.6147319614</c:v>
                </c:pt>
                <c:pt idx="533">
                  <c:v>1378068.4903747288</c:v>
                </c:pt>
                <c:pt idx="534">
                  <c:v>1378150.7166117446</c:v>
                </c:pt>
                <c:pt idx="535">
                  <c:v>1378231.3222894666</c:v>
                </c:pt>
                <c:pt idx="536">
                  <c:v>1378310.3358295956</c:v>
                </c:pt>
                <c:pt idx="537">
                  <c:v>1378387.7852336369</c:v>
                </c:pt>
                <c:pt idx="538">
                  <c:v>1378463.6980874499</c:v>
                </c:pt>
                <c:pt idx="539">
                  <c:v>1378538.1015657864</c:v>
                </c:pt>
                <c:pt idx="540">
                  <c:v>1378611.0224368109</c:v>
                </c:pt>
                <c:pt idx="541">
                  <c:v>1378682.4870666016</c:v>
                </c:pt>
                <c:pt idx="542">
                  <c:v>1378752.5214236439</c:v>
                </c:pt>
                <c:pt idx="543">
                  <c:v>1378821.1510832936</c:v>
                </c:pt>
                <c:pt idx="544">
                  <c:v>1378888.4012322361</c:v>
                </c:pt>
                <c:pt idx="545">
                  <c:v>1378954.2966729125</c:v>
                </c:pt>
                <c:pt idx="546">
                  <c:v>1379018.8618279384</c:v>
                </c:pt>
                <c:pt idx="547">
                  <c:v>1379082.1207444936</c:v>
                </c:pt>
                <c:pt idx="548">
                  <c:v>1379144.097098697</c:v>
                </c:pt>
                <c:pt idx="549">
                  <c:v>1379204.8141999545</c:v>
                </c:pt>
                <c:pt idx="550">
                  <c:v>1379264.2949952914</c:v>
                </c:pt>
                <c:pt idx="551">
                  <c:v>1379322.5620736575</c:v>
                </c:pt>
                <c:pt idx="552">
                  <c:v>1379379.6376702085</c:v>
                </c:pt>
                <c:pt idx="553">
                  <c:v>1379435.5436705688</c:v>
                </c:pt>
                <c:pt idx="554">
                  <c:v>1379490.3016150654</c:v>
                </c:pt>
                <c:pt idx="555">
                  <c:v>1379543.932702939</c:v>
                </c:pt>
                <c:pt idx="556">
                  <c:v>1379596.4577965301</c:v>
                </c:pt>
                <c:pt idx="557">
                  <c:v>1379647.8974254404</c:v>
                </c:pt>
                <c:pt idx="558">
                  <c:v>1379698.2717906646</c:v>
                </c:pt>
                <c:pt idx="559">
                  <c:v>1379747.6007687026</c:v>
                </c:pt>
                <c:pt idx="560">
                  <c:v>1379795.9039156353</c:v>
                </c:pt>
                <c:pt idx="561">
                  <c:v>1379843.2004711847</c:v>
                </c:pt>
                <c:pt idx="562">
                  <c:v>1379889.5093627367</c:v>
                </c:pt>
                <c:pt idx="563">
                  <c:v>1379934.8492093394</c:v>
                </c:pt>
                <c:pt idx="564">
                  <c:v>1379979.2383256778</c:v>
                </c:pt>
                <c:pt idx="565">
                  <c:v>1380022.6947260096</c:v>
                </c:pt>
                <c:pt idx="566">
                  <c:v>1380065.2361280858</c:v>
                </c:pt>
                <c:pt idx="567">
                  <c:v>1380106.8799570266</c:v>
                </c:pt>
                <c:pt idx="568">
                  <c:v>1380147.6433491833</c:v>
                </c:pt>
                <c:pt idx="569">
                  <c:v>1380187.5431559584</c:v>
                </c:pt>
                <c:pt idx="570">
                  <c:v>1380226.5959476025</c:v>
                </c:pt>
                <c:pt idx="571">
                  <c:v>1380264.8180169791</c:v>
                </c:pt>
                <c:pt idx="572">
                  <c:v>1380302.2253833008</c:v>
                </c:pt>
                <c:pt idx="573">
                  <c:v>1380338.8337958273</c:v>
                </c:pt>
                <c:pt idx="574">
                  <c:v>1380374.6587375472</c:v>
                </c:pt>
                <c:pt idx="575">
                  <c:v>1380409.7154288134</c:v>
                </c:pt>
                <c:pt idx="576">
                  <c:v>1380444.0188309578</c:v>
                </c:pt>
                <c:pt idx="577">
                  <c:v>1380477.5836498684</c:v>
                </c:pt>
                <c:pt idx="578">
                  <c:v>1380510.4243395412</c:v>
                </c:pt>
                <c:pt idx="579">
                  <c:v>1380542.5551055954</c:v>
                </c:pt>
                <c:pt idx="580">
                  <c:v>1380573.9899087579</c:v>
                </c:pt>
                <c:pt idx="581">
                  <c:v>1380604.7424683163</c:v>
                </c:pt>
                <c:pt idx="582">
                  <c:v>1380634.826265546</c:v>
                </c:pt>
                <c:pt idx="583">
                  <c:v>1380664.2545470907</c:v>
                </c:pt>
                <c:pt idx="584">
                  <c:v>1380693.0403283297</c:v>
                </c:pt>
                <c:pt idx="585">
                  <c:v>1380721.1963966968</c:v>
                </c:pt>
                <c:pt idx="586">
                  <c:v>1380748.7353149774</c:v>
                </c:pt>
                <c:pt idx="587">
                  <c:v>1380775.6694245671</c:v>
                </c:pt>
                <c:pt idx="588">
                  <c:v>1380802.0108487052</c:v>
                </c:pt>
                <c:pt idx="589">
                  <c:v>1380827.7714956668</c:v>
                </c:pt>
                <c:pt idx="590">
                  <c:v>1380852.9630619304</c:v>
                </c:pt>
                <c:pt idx="591">
                  <c:v>1380877.5970353098</c:v>
                </c:pt>
                <c:pt idx="592">
                  <c:v>1380901.6846980555</c:v>
                </c:pt>
                <c:pt idx="593">
                  <c:v>1380925.2371299202</c:v>
                </c:pt>
                <c:pt idx="594">
                  <c:v>1380948.2652111973</c:v>
                </c:pt>
                <c:pt idx="595">
                  <c:v>1380970.7796257231</c:v>
                </c:pt>
                <c:pt idx="596">
                  <c:v>1380992.7908638497</c:v>
                </c:pt>
                <c:pt idx="597">
                  <c:v>1381014.3092253827</c:v>
                </c:pt>
                <c:pt idx="598">
                  <c:v>1381035.3448224918</c:v>
                </c:pt>
                <c:pt idx="599">
                  <c:v>1381055.9075825829</c:v>
                </c:pt>
                <c:pt idx="600">
                  <c:v>1381076.0072511446</c:v>
                </c:pt>
                <c:pt idx="601">
                  <c:v>1381095.6533945592</c:v>
                </c:pt>
                <c:pt idx="602">
                  <c:v>1381114.8554028831</c:v>
                </c:pt>
                <c:pt idx="603">
                  <c:v>1381133.6224925949</c:v>
                </c:pt>
                <c:pt idx="604">
                  <c:v>1381151.9637093146</c:v>
                </c:pt>
                <c:pt idx="605">
                  <c:v>1381169.8879304859</c:v>
                </c:pt>
                <c:pt idx="606">
                  <c:v>1381187.4038680347</c:v>
                </c:pt>
                <c:pt idx="607">
                  <c:v>1381204.5200709887</c:v>
                </c:pt>
                <c:pt idx="608">
                  <c:v>1381221.2449280736</c:v>
                </c:pt>
                <c:pt idx="609">
                  <c:v>1381237.5866702695</c:v>
                </c:pt>
                <c:pt idx="610">
                  <c:v>1381253.5533733473</c:v>
                </c:pt>
                <c:pt idx="611">
                  <c:v>1381269.1529603631</c:v>
                </c:pt>
                <c:pt idx="612">
                  <c:v>1381284.3932041316</c:v>
                </c:pt>
                <c:pt idx="613">
                  <c:v>1381299.2817296628</c:v>
                </c:pt>
                <c:pt idx="614">
                  <c:v>1381313.826016573</c:v>
                </c:pt>
                <c:pt idx="615">
                  <c:v>1381328.0334014611</c:v>
                </c:pt>
                <c:pt idx="616">
                  <c:v>1381341.9110802594</c:v>
                </c:pt>
                <c:pt idx="617">
                  <c:v>1381355.4661105536</c:v>
                </c:pt>
                <c:pt idx="618">
                  <c:v>1381368.7054138698</c:v>
                </c:pt>
                <c:pt idx="619">
                  <c:v>1381381.6357779384</c:v>
                </c:pt>
                <c:pt idx="620">
                  <c:v>1381394.2638589218</c:v>
                </c:pt>
                <c:pt idx="621">
                  <c:v>1381406.5961836204</c:v>
                </c:pt>
                <c:pt idx="622">
                  <c:v>1381418.6391516437</c:v>
                </c:pt>
                <c:pt idx="623">
                  <c:v>1381430.3990375546</c:v>
                </c:pt>
                <c:pt idx="624">
                  <c:v>1381441.8819929892</c:v>
                </c:pt>
                <c:pt idx="625">
                  <c:v>1381453.094048742</c:v>
                </c:pt>
                <c:pt idx="626">
                  <c:v>1381464.0411168265</c:v>
                </c:pt>
                <c:pt idx="627">
                  <c:v>1381474.7289925104</c:v>
                </c:pt>
                <c:pt idx="628">
                  <c:v>1381485.1633563181</c:v>
                </c:pt>
                <c:pt idx="629">
                  <c:v>1381495.3497760082</c:v>
                </c:pt>
                <c:pt idx="630">
                  <c:v>1381505.2937085256</c:v>
                </c:pt>
                <c:pt idx="631">
                  <c:v>1381515.0005019223</c:v>
                </c:pt>
                <c:pt idx="632">
                  <c:v>1381524.4753972585</c:v>
                </c:pt>
                <c:pt idx="633">
                  <c:v>1381533.7235304678</c:v>
                </c:pt>
                <c:pt idx="634">
                  <c:v>1381542.7499342039</c:v>
                </c:pt>
                <c:pt idx="635">
                  <c:v>1381551.5595396592</c:v>
                </c:pt>
                <c:pt idx="636">
                  <c:v>1381560.1571783531</c:v>
                </c:pt>
                <c:pt idx="637">
                  <c:v>1381568.5475839027</c:v>
                </c:pt>
                <c:pt idx="638">
                  <c:v>1381576.7353937614</c:v>
                </c:pt>
                <c:pt idx="639">
                  <c:v>1381584.7251509337</c:v>
                </c:pt>
                <c:pt idx="640">
                  <c:v>1381592.5213056705</c:v>
                </c:pt>
                <c:pt idx="641">
                  <c:v>1381600.1282171281</c:v>
                </c:pt>
                <c:pt idx="642">
                  <c:v>1381607.5501550173</c:v>
                </c:pt>
                <c:pt idx="643">
                  <c:v>1381614.7913012162</c:v>
                </c:pt>
                <c:pt idx="644">
                  <c:v>1381621.855751364</c:v>
                </c:pt>
                <c:pt idx="645">
                  <c:v>1381628.7475164325</c:v>
                </c:pt>
                <c:pt idx="646">
                  <c:v>1381635.4705242708</c:v>
                </c:pt>
                <c:pt idx="647">
                  <c:v>1381642.0286211288</c:v>
                </c:pt>
                <c:pt idx="648">
                  <c:v>1381648.4255731548</c:v>
                </c:pt>
                <c:pt idx="649">
                  <c:v>1381654.6650678769</c:v>
                </c:pt>
                <c:pt idx="650">
                  <c:v>1381660.7507156518</c:v>
                </c:pt>
                <c:pt idx="651">
                  <c:v>1381666.6860511014</c:v>
                </c:pt>
                <c:pt idx="652">
                  <c:v>1381672.4745345186</c:v>
                </c:pt>
                <c:pt idx="653">
                  <c:v>1381678.1195532591</c:v>
                </c:pt>
                <c:pt idx="654">
                  <c:v>1381683.6244231036</c:v>
                </c:pt>
                <c:pt idx="655">
                  <c:v>1381688.9923896065</c:v>
                </c:pt>
                <c:pt idx="656">
                  <c:v>1381694.2266294181</c:v>
                </c:pt>
                <c:pt idx="657">
                  <c:v>1381699.3302515841</c:v>
                </c:pt>
                <c:pt idx="658">
                  <c:v>1381704.3062988347</c:v>
                </c:pt>
                <c:pt idx="659">
                  <c:v>1381709.1577488384</c:v>
                </c:pt>
                <c:pt idx="660">
                  <c:v>1381713.887515449</c:v>
                </c:pt>
                <c:pt idx="661">
                  <c:v>1381718.4984499244</c:v>
                </c:pt>
                <c:pt idx="662">
                  <c:v>1381722.9933421283</c:v>
                </c:pt>
                <c:pt idx="663">
                  <c:v>1381727.3749217128</c:v>
                </c:pt>
                <c:pt idx="664">
                  <c:v>1381731.6458592818</c:v>
                </c:pt>
                <c:pt idx="665">
                  <c:v>1381735.8087675308</c:v>
                </c:pt>
                <c:pt idx="666">
                  <c:v>1381739.8662023793</c:v>
                </c:pt>
                <c:pt idx="667">
                  <c:v>1381743.8206640682</c:v>
                </c:pt>
                <c:pt idx="668">
                  <c:v>1381747.6745982554</c:v>
                </c:pt>
                <c:pt idx="669">
                  <c:v>1381751.4303970789</c:v>
                </c:pt>
                <c:pt idx="670">
                  <c:v>1381755.0904002138</c:v>
                </c:pt>
                <c:pt idx="671">
                  <c:v>1381758.6568959048</c:v>
                </c:pt>
                <c:pt idx="672">
                  <c:v>1381762.1321219804</c:v>
                </c:pt>
                <c:pt idx="673">
                  <c:v>1381765.5182668569</c:v>
                </c:pt>
                <c:pt idx="674">
                  <c:v>1381768.8174705156</c:v>
                </c:pt>
                <c:pt idx="675">
                  <c:v>1381772.0318254735</c:v>
                </c:pt>
                <c:pt idx="676">
                  <c:v>1381775.1633777281</c:v>
                </c:pt>
                <c:pt idx="677">
                  <c:v>1381778.2141276943</c:v>
                </c:pt>
                <c:pt idx="678">
                  <c:v>1381781.1860311143</c:v>
                </c:pt>
                <c:pt idx="679">
                  <c:v>1381784.0809999686</c:v>
                </c:pt>
                <c:pt idx="680">
                  <c:v>1381786.9009033479</c:v>
                </c:pt>
                <c:pt idx="681">
                  <c:v>1381789.6475683355</c:v>
                </c:pt>
                <c:pt idx="682">
                  <c:v>1381792.322780851</c:v>
                </c:pt>
                <c:pt idx="683">
                  <c:v>1381794.928286497</c:v>
                </c:pt>
                <c:pt idx="684">
                  <c:v>1381797.4657913775</c:v>
                </c:pt>
                <c:pt idx="685">
                  <c:v>1381799.9369629116</c:v>
                </c:pt>
                <c:pt idx="686">
                  <c:v>1381802.343430626</c:v>
                </c:pt>
                <c:pt idx="687">
                  <c:v>1381804.6867869389</c:v>
                </c:pt>
                <c:pt idx="688">
                  <c:v>1381806.9685879224</c:v>
                </c:pt>
                <c:pt idx="689">
                  <c:v>1381809.1903540608</c:v>
                </c:pt>
                <c:pt idx="690">
                  <c:v>1381811.3535709844</c:v>
                </c:pt>
                <c:pt idx="691">
                  <c:v>1381813.4596901995</c:v>
                </c:pt>
                <c:pt idx="692">
                  <c:v>1381815.5101298024</c:v>
                </c:pt>
                <c:pt idx="693">
                  <c:v>1381817.5062751719</c:v>
                </c:pt>
                <c:pt idx="694">
                  <c:v>1381819.4494796649</c:v>
                </c:pt>
                <c:pt idx="695">
                  <c:v>1381821.3410652829</c:v>
                </c:pt>
                <c:pt idx="696">
                  <c:v>1381823.182323341</c:v>
                </c:pt>
                <c:pt idx="697">
                  <c:v>1381824.9745151103</c:v>
                </c:pt>
                <c:pt idx="698">
                  <c:v>1381826.7188724603</c:v>
                </c:pt>
                <c:pt idx="699">
                  <c:v>1381828.4165984816</c:v>
                </c:pt>
                <c:pt idx="700">
                  <c:v>1381830.0688681013</c:v>
                </c:pt>
                <c:pt idx="701">
                  <c:v>1381831.6768286822</c:v>
                </c:pt>
                <c:pt idx="702">
                  <c:v>1381833.2416006185</c:v>
                </c:pt>
                <c:pt idx="703">
                  <c:v>1381834.764277909</c:v>
                </c:pt>
                <c:pt idx="704">
                  <c:v>1381836.245928731</c:v>
                </c:pt>
                <c:pt idx="705">
                  <c:v>1381837.6875959963</c:v>
                </c:pt>
                <c:pt idx="706">
                  <c:v>1381839.090297895</c:v>
                </c:pt>
                <c:pt idx="707">
                  <c:v>1381840.4550284396</c:v>
                </c:pt>
                <c:pt idx="708">
                  <c:v>1381841.7827579817</c:v>
                </c:pt>
                <c:pt idx="709">
                  <c:v>1381843.0744337346</c:v>
                </c:pt>
                <c:pt idx="710">
                  <c:v>1381844.3309802779</c:v>
                </c:pt>
                <c:pt idx="711">
                  <c:v>1381845.5533000513</c:v>
                </c:pt>
                <c:pt idx="712">
                  <c:v>1381846.7422738445</c:v>
                </c:pt>
                <c:pt idx="713">
                  <c:v>1381847.898761271</c:v>
                </c:pt>
                <c:pt idx="714">
                  <c:v>1381849.0236012382</c:v>
                </c:pt>
                <c:pt idx="715">
                  <c:v>1381850.117612405</c:v>
                </c:pt>
                <c:pt idx="716">
                  <c:v>1381851.1815936272</c:v>
                </c:pt>
                <c:pt idx="717">
                  <c:v>1381852.2163244062</c:v>
                </c:pt>
                <c:pt idx="718">
                  <c:v>1381853.2225653117</c:v>
                </c:pt>
                <c:pt idx="719">
                  <c:v>1381854.2010584117</c:v>
                </c:pt>
                <c:pt idx="720">
                  <c:v>1381855.1525276809</c:v>
                </c:pt>
                <c:pt idx="721">
                  <c:v>1381856.0776794129</c:v>
                </c:pt>
                <c:pt idx="722">
                  <c:v>1381856.9772026138</c:v>
                </c:pt>
                <c:pt idx="723">
                  <c:v>1381857.8517693938</c:v>
                </c:pt>
                <c:pt idx="724">
                  <c:v>1381858.7020353498</c:v>
                </c:pt>
                <c:pt idx="725">
                  <c:v>1381859.5286399375</c:v>
                </c:pt>
                <c:pt idx="726">
                  <c:v>1381860.332206843</c:v>
                </c:pt>
                <c:pt idx="727">
                  <c:v>1381861.1133443329</c:v>
                </c:pt>
                <c:pt idx="728">
                  <c:v>1381861.8726456198</c:v>
                </c:pt>
                <c:pt idx="729">
                  <c:v>1381862.6106891902</c:v>
                </c:pt>
                <c:pt idx="730">
                  <c:v>1381863.3280391579</c:v>
                </c:pt>
                <c:pt idx="731">
                  <c:v>1381864.0252455825</c:v>
                </c:pt>
                <c:pt idx="732">
                  <c:v>1381864.7028448014</c:v>
                </c:pt>
                <c:pt idx="733">
                  <c:v>1381865.3613597394</c:v>
                </c:pt>
                <c:pt idx="734">
                  <c:v>1381866.0013002267</c:v>
                </c:pt>
                <c:pt idx="735">
                  <c:v>1381866.6231632947</c:v>
                </c:pt>
                <c:pt idx="736">
                  <c:v>1381867.2274334815</c:v>
                </c:pt>
                <c:pt idx="737">
                  <c:v>1381867.8145831157</c:v>
                </c:pt>
                <c:pt idx="738">
                  <c:v>1381868.3850726055</c:v>
                </c:pt>
                <c:pt idx="739">
                  <c:v>1381868.9393507179</c:v>
                </c:pt>
                <c:pt idx="740">
                  <c:v>1381869.4778548505</c:v>
                </c:pt>
                <c:pt idx="741">
                  <c:v>1381870.0010112966</c:v>
                </c:pt>
                <c:pt idx="742">
                  <c:v>1381870.5092355132</c:v>
                </c:pt>
                <c:pt idx="743">
                  <c:v>1381871.0029323692</c:v>
                </c:pt>
                <c:pt idx="744">
                  <c:v>1381871.4824964011</c:v>
                </c:pt>
                <c:pt idx="745">
                  <c:v>1381871.9483120576</c:v>
                </c:pt>
                <c:pt idx="746">
                  <c:v>1381872.4007539344</c:v>
                </c:pt>
                <c:pt idx="747">
                  <c:v>1381872.8401870183</c:v>
                </c:pt>
                <c:pt idx="748">
                  <c:v>1381873.266966904</c:v>
                </c:pt>
                <c:pt idx="749">
                  <c:v>1381873.6814400323</c:v>
                </c:pt>
                <c:pt idx="750">
                  <c:v>1381874.0839438995</c:v>
                </c:pt>
                <c:pt idx="751">
                  <c:v>1381874.4748072757</c:v>
                </c:pt>
                <c:pt idx="752">
                  <c:v>1381874.8543504153</c:v>
                </c:pt>
                <c:pt idx="753">
                  <c:v>1381875.2228852641</c:v>
                </c:pt>
                <c:pt idx="754">
                  <c:v>1381875.5807156535</c:v>
                </c:pt>
                <c:pt idx="755">
                  <c:v>1381875.9281375071</c:v>
                </c:pt>
                <c:pt idx="756">
                  <c:v>1381876.2654390233</c:v>
                </c:pt>
                <c:pt idx="757">
                  <c:v>1381876.5929008704</c:v>
                </c:pt>
                <c:pt idx="758">
                  <c:v>1381876.9107963643</c:v>
                </c:pt>
                <c:pt idx="759">
                  <c:v>1381877.2193916528</c:v>
                </c:pt>
                <c:pt idx="760">
                  <c:v>1381877.5189458898</c:v>
                </c:pt>
                <c:pt idx="761">
                  <c:v>1381877.8097114055</c:v>
                </c:pt>
                <c:pt idx="762">
                  <c:v>1381878.0919338739</c:v>
                </c:pt>
                <c:pt idx="763">
                  <c:v>1381878.3658524824</c:v>
                </c:pt>
                <c:pt idx="764">
                  <c:v>1381878.6317000813</c:v>
                </c:pt>
                <c:pt idx="765">
                  <c:v>1381878.8897033532</c:v>
                </c:pt>
                <c:pt idx="766">
                  <c:v>1381879.1400829551</c:v>
                </c:pt>
                <c:pt idx="767">
                  <c:v>1381879.3830536746</c:v>
                </c:pt>
                <c:pt idx="768">
                  <c:v>1381879.6188245751</c:v>
                </c:pt>
                <c:pt idx="769">
                  <c:v>1381879.8475991332</c:v>
                </c:pt>
                <c:pt idx="770">
                  <c:v>1381880.0695753891</c:v>
                </c:pt>
                <c:pt idx="771">
                  <c:v>1381880.2849460696</c:v>
                </c:pt>
                <c:pt idx="772">
                  <c:v>1381880.4938987345</c:v>
                </c:pt>
                <c:pt idx="773">
                  <c:v>1381880.6966158948</c:v>
                </c:pt>
                <c:pt idx="774">
                  <c:v>1381880.8932751494</c:v>
                </c:pt>
                <c:pt idx="775">
                  <c:v>1381881.084049301</c:v>
                </c:pt>
                <c:pt idx="776">
                  <c:v>1381881.2691064877</c:v>
                </c:pt>
                <c:pt idx="777">
                  <c:v>1381881.4486102869</c:v>
                </c:pt>
                <c:pt idx="778">
                  <c:v>1381881.6227198483</c:v>
                </c:pt>
                <c:pt idx="779">
                  <c:v>1381881.7915899882</c:v>
                </c:pt>
                <c:pt idx="780">
                  <c:v>1381881.9553713182</c:v>
                </c:pt>
                <c:pt idx="781">
                  <c:v>1381882.1142103367</c:v>
                </c:pt>
                <c:pt idx="782">
                  <c:v>1381882.2682495476</c:v>
                </c:pt>
                <c:pt idx="783">
                  <c:v>1381882.4176275495</c:v>
                </c:pt>
                <c:pt idx="784">
                  <c:v>1381882.5624791502</c:v>
                </c:pt>
                <c:pt idx="785">
                  <c:v>1381882.7029354519</c:v>
                </c:pt>
                <c:pt idx="786">
                  <c:v>1381882.8391239559</c:v>
                </c:pt>
                <c:pt idx="787">
                  <c:v>1381882.9711686478</c:v>
                </c:pt>
                <c:pt idx="788">
                  <c:v>1381883.0991900975</c:v>
                </c:pt>
                <c:pt idx="789">
                  <c:v>1381883.2233055385</c:v>
                </c:pt>
                <c:pt idx="790">
                  <c:v>1381883.3436289623</c:v>
                </c:pt>
                <c:pt idx="791">
                  <c:v>1381883.4602711985</c:v>
                </c:pt>
                <c:pt idx="792">
                  <c:v>1381883.5733399971</c:v>
                </c:pt>
                <c:pt idx="793">
                  <c:v>1381883.6829401145</c:v>
                </c:pt>
                <c:pt idx="794">
                  <c:v>1381883.7891733835</c:v>
                </c:pt>
                <c:pt idx="795">
                  <c:v>1381883.8921387973</c:v>
                </c:pt>
                <c:pt idx="796">
                  <c:v>1381883.9919325809</c:v>
                </c:pt>
                <c:pt idx="797">
                  <c:v>1381884.088648262</c:v>
                </c:pt>
                <c:pt idx="798">
                  <c:v>1381884.1823767496</c:v>
                </c:pt>
                <c:pt idx="799">
                  <c:v>1381884.2732063939</c:v>
                </c:pt>
                <c:pt idx="800">
                  <c:v>1381884.3612230606</c:v>
                </c:pt>
                <c:pt idx="801">
                  <c:v>1381884.4465101943</c:v>
                </c:pt>
                <c:pt idx="802">
                  <c:v>1381884.529148885</c:v>
                </c:pt>
                <c:pt idx="803">
                  <c:v>1381884.6092179259</c:v>
                </c:pt>
                <c:pt idx="804">
                  <c:v>1381884.6867938822</c:v>
                </c:pt>
                <c:pt idx="805">
                  <c:v>1381884.7619511436</c:v>
                </c:pt>
                <c:pt idx="806">
                  <c:v>1381884.8347619853</c:v>
                </c:pt>
                <c:pt idx="807">
                  <c:v>1381884.90529663</c:v>
                </c:pt>
                <c:pt idx="808">
                  <c:v>1381884.9736232902</c:v>
                </c:pt>
                <c:pt idx="809">
                  <c:v>1381885.0398082384</c:v>
                </c:pt>
                <c:pt idx="810">
                  <c:v>1381885.1039158453</c:v>
                </c:pt>
                <c:pt idx="811">
                  <c:v>1381885.166008641</c:v>
                </c:pt>
                <c:pt idx="812">
                  <c:v>1381885.2261473583</c:v>
                </c:pt>
                <c:pt idx="813">
                  <c:v>1381885.2843909883</c:v>
                </c:pt>
                <c:pt idx="814">
                  <c:v>1381885.3407968192</c:v>
                </c:pt>
                <c:pt idx="815">
                  <c:v>1381885.3954204908</c:v>
                </c:pt>
                <c:pt idx="816">
                  <c:v>1381885.4483160356</c:v>
                </c:pt>
                <c:pt idx="817">
                  <c:v>1381885.4995359206</c:v>
                </c:pt>
                <c:pt idx="818">
                  <c:v>1381885.5491310956</c:v>
                </c:pt>
                <c:pt idx="819">
                  <c:v>1381885.5971510313</c:v>
                </c:pt>
                <c:pt idx="820">
                  <c:v>1381885.643643758</c:v>
                </c:pt>
                <c:pt idx="821">
                  <c:v>1381885.6886559138</c:v>
                </c:pt>
                <c:pt idx="822">
                  <c:v>1381885.7322327674</c:v>
                </c:pt>
                <c:pt idx="823">
                  <c:v>1381885.7744182784</c:v>
                </c:pt>
                <c:pt idx="824">
                  <c:v>1381885.8152551078</c:v>
                </c:pt>
                <c:pt idx="825">
                  <c:v>1381885.8547846775</c:v>
                </c:pt>
                <c:pt idx="826">
                  <c:v>1381885.8930471854</c:v>
                </c:pt>
                <c:pt idx="827">
                  <c:v>1381885.930081656</c:v>
                </c:pt>
                <c:pt idx="828">
                  <c:v>1381885.965925958</c:v>
                </c:pt>
                <c:pt idx="829">
                  <c:v>1381886.0006168524</c:v>
                </c:pt>
                <c:pt idx="830">
                  <c:v>1381886.0341900042</c:v>
                </c:pt>
                <c:pt idx="831">
                  <c:v>1381886.066680037</c:v>
                </c:pt>
                <c:pt idx="832">
                  <c:v>1381886.0981205339</c:v>
                </c:pt>
                <c:pt idx="833">
                  <c:v>1381886.1285440971</c:v>
                </c:pt>
                <c:pt idx="834">
                  <c:v>1381886.1579823485</c:v>
                </c:pt>
                <c:pt idx="835">
                  <c:v>1381886.186465977</c:v>
                </c:pt>
                <c:pt idx="836">
                  <c:v>1381886.2140247524</c:v>
                </c:pt>
                <c:pt idx="837">
                  <c:v>1381886.2406875603</c:v>
                </c:pt>
                <c:pt idx="838">
                  <c:v>1381886.2664824175</c:v>
                </c:pt>
                <c:pt idx="839">
                  <c:v>1381886.2914365085</c:v>
                </c:pt>
                <c:pt idx="840">
                  <c:v>1381886.3155761976</c:v>
                </c:pt>
                <c:pt idx="841">
                  <c:v>1381886.3389270622</c:v>
                </c:pt>
                <c:pt idx="842">
                  <c:v>1381886.3615139043</c:v>
                </c:pt>
                <c:pt idx="843">
                  <c:v>1381886.3833607887</c:v>
                </c:pt>
                <c:pt idx="844">
                  <c:v>1381886.4044910425</c:v>
                </c:pt>
                <c:pt idx="845">
                  <c:v>1381886.4249273005</c:v>
                </c:pt>
                <c:pt idx="846">
                  <c:v>1381886.4446915009</c:v>
                </c:pt>
                <c:pt idx="847">
                  <c:v>1381886.4638049291</c:v>
                </c:pt>
                <c:pt idx="848">
                  <c:v>1381886.4822882127</c:v>
                </c:pt>
                <c:pt idx="849">
                  <c:v>1381886.5001613644</c:v>
                </c:pt>
                <c:pt idx="850">
                  <c:v>1381886.5174437757</c:v>
                </c:pt>
                <c:pt idx="851">
                  <c:v>1381886.5341542608</c:v>
                </c:pt>
                <c:pt idx="852">
                  <c:v>1381886.550311045</c:v>
                </c:pt>
                <c:pt idx="853">
                  <c:v>1381886.5659318103</c:v>
                </c:pt>
                <c:pt idx="854">
                  <c:v>1381886.5810336852</c:v>
                </c:pt>
                <c:pt idx="855">
                  <c:v>1381886.5956332844</c:v>
                </c:pt>
                <c:pt idx="856">
                  <c:v>1381886.6097467004</c:v>
                </c:pt>
                <c:pt idx="857">
                  <c:v>1381886.6233895458</c:v>
                </c:pt>
                <c:pt idx="858">
                  <c:v>1381886.6365769338</c:v>
                </c:pt>
                <c:pt idx="859">
                  <c:v>1381886.6493235331</c:v>
                </c:pt>
                <c:pt idx="860">
                  <c:v>1381886.6616435363</c:v>
                </c:pt>
                <c:pt idx="861">
                  <c:v>1381886.6735507208</c:v>
                </c:pt>
                <c:pt idx="862">
                  <c:v>1381886.6850584135</c:v>
                </c:pt>
                <c:pt idx="863">
                  <c:v>1381886.6961795501</c:v>
                </c:pt>
                <c:pt idx="864">
                  <c:v>1381886.7069266448</c:v>
                </c:pt>
                <c:pt idx="865">
                  <c:v>1381886.7173118403</c:v>
                </c:pt>
                <c:pt idx="866">
                  <c:v>1381886.7273468841</c:v>
                </c:pt>
                <c:pt idx="867">
                  <c:v>1381886.7370431731</c:v>
                </c:pt>
                <c:pt idx="868">
                  <c:v>1381886.7464117338</c:v>
                </c:pt>
                <c:pt idx="869">
                  <c:v>1381886.7554632598</c:v>
                </c:pt>
                <c:pt idx="870">
                  <c:v>1381886.764208101</c:v>
                </c:pt>
                <c:pt idx="871">
                  <c:v>1381886.7726562861</c:v>
                </c:pt>
                <c:pt idx="872">
                  <c:v>1381886.7808175304</c:v>
                </c:pt>
                <c:pt idx="873">
                  <c:v>1381886.7887012376</c:v>
                </c:pt>
                <c:pt idx="874">
                  <c:v>1381886.7963165226</c:v>
                </c:pt>
                <c:pt idx="875">
                  <c:v>1381886.8036722052</c:v>
                </c:pt>
                <c:pt idx="876">
                  <c:v>1381886.8107768341</c:v>
                </c:pt>
                <c:pt idx="877">
                  <c:v>1381886.8176386782</c:v>
                </c:pt>
                <c:pt idx="878">
                  <c:v>1381886.8242657555</c:v>
                </c:pt>
                <c:pt idx="879">
                  <c:v>1381886.8306658179</c:v>
                </c:pt>
                <c:pt idx="880">
                  <c:v>1381886.8368463803</c:v>
                </c:pt>
                <c:pt idx="881">
                  <c:v>1381886.8428147133</c:v>
                </c:pt>
                <c:pt idx="882">
                  <c:v>1381886.8485778568</c:v>
                </c:pt>
                <c:pt idx="883">
                  <c:v>1381886.854142626</c:v>
                </c:pt>
                <c:pt idx="884">
                  <c:v>1381886.8595156202</c:v>
                </c:pt>
                <c:pt idx="885">
                  <c:v>1381886.8647032243</c:v>
                </c:pt>
                <c:pt idx="886">
                  <c:v>1381886.8697116198</c:v>
                </c:pt>
                <c:pt idx="887">
                  <c:v>1381886.8745467905</c:v>
                </c:pt>
                <c:pt idx="888">
                  <c:v>1381886.879214528</c:v>
                </c:pt>
                <c:pt idx="889">
                  <c:v>1381886.8837204359</c:v>
                </c:pt>
                <c:pt idx="890">
                  <c:v>1381886.8880699384</c:v>
                </c:pt>
                <c:pt idx="891">
                  <c:v>1381886.8922682845</c:v>
                </c:pt>
                <c:pt idx="892">
                  <c:v>1381886.8963205523</c:v>
                </c:pt>
                <c:pt idx="893">
                  <c:v>1381886.9002316589</c:v>
                </c:pt>
                <c:pt idx="894">
                  <c:v>1381886.9040063568</c:v>
                </c:pt>
                <c:pt idx="895">
                  <c:v>1381886.9076492509</c:v>
                </c:pt>
                <c:pt idx="896">
                  <c:v>1381886.9111647876</c:v>
                </c:pt>
                <c:pt idx="897">
                  <c:v>1381886.9145572796</c:v>
                </c:pt>
                <c:pt idx="898">
                  <c:v>1381886.9178308873</c:v>
                </c:pt>
                <c:pt idx="899">
                  <c:v>1381886.920989647</c:v>
                </c:pt>
                <c:pt idx="900">
                  <c:v>1381886.9240374502</c:v>
                </c:pt>
                <c:pt idx="901">
                  <c:v>1381886.9269780777</c:v>
                </c:pt>
                <c:pt idx="902">
                  <c:v>1381886.9298151648</c:v>
                </c:pt>
                <c:pt idx="903">
                  <c:v>1381886.9325522522</c:v>
                </c:pt>
                <c:pt idx="904">
                  <c:v>1381886.9351927387</c:v>
                </c:pt>
                <c:pt idx="905">
                  <c:v>1381886.9377399385</c:v>
                </c:pt>
                <c:pt idx="906">
                  <c:v>1381886.9401970252</c:v>
                </c:pt>
                <c:pt idx="907">
                  <c:v>1381886.9425671045</c:v>
                </c:pt>
                <c:pt idx="908">
                  <c:v>1381886.9448531372</c:v>
                </c:pt>
                <c:pt idx="909">
                  <c:v>1381886.9470580341</c:v>
                </c:pt>
                <c:pt idx="910">
                  <c:v>1381886.9491845558</c:v>
                </c:pt>
                <c:pt idx="911">
                  <c:v>1381886.9512354308</c:v>
                </c:pt>
                <c:pt idx="912">
                  <c:v>1381886.9532132326</c:v>
                </c:pt>
                <c:pt idx="913">
                  <c:v>1381886.9551205176</c:v>
                </c:pt>
                <c:pt idx="914">
                  <c:v>1381886.9569596825</c:v>
                </c:pt>
                <c:pt idx="915">
                  <c:v>1381886.9587331295</c:v>
                </c:pt>
                <c:pt idx="916">
                  <c:v>1381886.9604430804</c:v>
                </c:pt>
                <c:pt idx="917">
                  <c:v>1381886.9620917994</c:v>
                </c:pt>
                <c:pt idx="918">
                  <c:v>1381886.9636813395</c:v>
                </c:pt>
                <c:pt idx="919">
                  <c:v>1381886.9652138422</c:v>
                </c:pt>
                <c:pt idx="920">
                  <c:v>1381886.9666911953</c:v>
                </c:pt>
                <c:pt idx="921">
                  <c:v>1381886.9681154308</c:v>
                </c:pt>
                <c:pt idx="922">
                  <c:v>1381886.9694882771</c:v>
                </c:pt>
                <c:pt idx="923">
                  <c:v>1381886.9708116709</c:v>
                </c:pt>
                <c:pt idx="924">
                  <c:v>1381886.9720871793</c:v>
                </c:pt>
                <c:pt idx="925">
                  <c:v>1381886.9733166657</c:v>
                </c:pt>
                <c:pt idx="926">
                  <c:v>1381886.9745015281</c:v>
                </c:pt>
                <c:pt idx="927">
                  <c:v>1381886.9756435824</c:v>
                </c:pt>
                <c:pt idx="928">
                  <c:v>1381886.9767440436</c:v>
                </c:pt>
                <c:pt idx="929">
                  <c:v>1381886.977804712</c:v>
                </c:pt>
                <c:pt idx="930">
                  <c:v>1381886.9788265955</c:v>
                </c:pt>
                <c:pt idx="931">
                  <c:v>1381886.9798115236</c:v>
                </c:pt>
                <c:pt idx="932">
                  <c:v>1381886.9807602605</c:v>
                </c:pt>
                <c:pt idx="933">
                  <c:v>1381886.9816747205</c:v>
                </c:pt>
                <c:pt idx="934">
                  <c:v>1381886.9825553698</c:v>
                </c:pt>
                <c:pt idx="935">
                  <c:v>1381886.9834042895</c:v>
                </c:pt>
                <c:pt idx="936">
                  <c:v>1381886.9842215604</c:v>
                </c:pt>
                <c:pt idx="937">
                  <c:v>1381886.9850095452</c:v>
                </c:pt>
                <c:pt idx="938">
                  <c:v>1381886.9857678162</c:v>
                </c:pt>
                <c:pt idx="939">
                  <c:v>1381886.9864991794</c:v>
                </c:pt>
                <c:pt idx="940">
                  <c:v>1381886.9872025105</c:v>
                </c:pt>
                <c:pt idx="941">
                  <c:v>1381886.9878812986</c:v>
                </c:pt>
                <c:pt idx="942">
                  <c:v>1381886.9885334431</c:v>
                </c:pt>
                <c:pt idx="943">
                  <c:v>1381886.9891634693</c:v>
                </c:pt>
                <c:pt idx="944">
                  <c:v>1381886.9897678767</c:v>
                </c:pt>
                <c:pt idx="945">
                  <c:v>1381886.9903527531</c:v>
                </c:pt>
                <c:pt idx="946">
                  <c:v>1381886.9909125632</c:v>
                </c:pt>
                <c:pt idx="947">
                  <c:v>1381886.9914557477</c:v>
                </c:pt>
                <c:pt idx="948">
                  <c:v>1381886.9919737743</c:v>
                </c:pt>
                <c:pt idx="949">
                  <c:v>1381886.9924786284</c:v>
                </c:pt>
                <c:pt idx="950">
                  <c:v>1381886.9929573175</c:v>
                </c:pt>
                <c:pt idx="951">
                  <c:v>1381886.9934271895</c:v>
                </c:pt>
                <c:pt idx="952">
                  <c:v>1381886.9938685477</c:v>
                </c:pt>
                <c:pt idx="953">
                  <c:v>1381886.9943068954</c:v>
                </c:pt>
                <c:pt idx="954">
                  <c:v>1381886.9947123677</c:v>
                </c:pt>
                <c:pt idx="955">
                  <c:v>1381886.9951229426</c:v>
                </c:pt>
                <c:pt idx="956">
                  <c:v>1381886.9954932043</c:v>
                </c:pt>
                <c:pt idx="957">
                  <c:v>1381886.9958803395</c:v>
                </c:pt>
                <c:pt idx="958">
                  <c:v>1381886.9962149626</c:v>
                </c:pt>
                <c:pt idx="959">
                  <c:v>1381886.9965840282</c:v>
                </c:pt>
                <c:pt idx="960">
                  <c:v>1381886.9968809218</c:v>
                </c:pt>
                <c:pt idx="961">
                  <c:v>1381886.9972390563</c:v>
                </c:pt>
                <c:pt idx="962">
                  <c:v>1381886.9974935602</c:v>
                </c:pt>
                <c:pt idx="963">
                  <c:v>1381886.9978508553</c:v>
                </c:pt>
                <c:pt idx="964">
                  <c:v>1381886.9980542418</c:v>
                </c:pt>
                <c:pt idx="965">
                  <c:v>1381886.9984256856</c:v>
                </c:pt>
                <c:pt idx="966">
                  <c:v>1381886.9985626866</c:v>
                </c:pt>
                <c:pt idx="967">
                  <c:v>1381886.9989713659</c:v>
                </c:pt>
                <c:pt idx="968">
                  <c:v>1381886.9990160589</c:v>
                </c:pt>
                <c:pt idx="969">
                  <c:v>1381886.9994984893</c:v>
                </c:pt>
                <c:pt idx="970">
                  <c:v>1381886.9994074279</c:v>
                </c:pt>
                <c:pt idx="971">
                  <c:v>1381887.0000224689</c:v>
                </c:pt>
                <c:pt idx="972">
                  <c:v>1381886.9997231297</c:v>
                </c:pt>
                <c:pt idx="973">
                  <c:v>1381887.0005670164</c:v>
                </c:pt>
                <c:pt idx="974">
                  <c:v>1381886.9999382505</c:v>
                </c:pt>
                <c:pt idx="975">
                  <c:v>1381887.0011700944</c:v>
                </c:pt>
                <c:pt idx="976">
                  <c:v>1381887.0000088406</c:v>
                </c:pt>
                <c:pt idx="977">
                  <c:v>1381887.0018941816</c:v>
                </c:pt>
                <c:pt idx="978">
                  <c:v>1381886.9998584245</c:v>
                </c:pt>
                <c:pt idx="979">
                  <c:v>1381887.0028440959</c:v>
                </c:pt>
                <c:pt idx="980">
                  <c:v>1381886.999354481</c:v>
                </c:pt>
                <c:pt idx="981">
                  <c:v>1381887.0041981395</c:v>
                </c:pt>
                <c:pt idx="982">
                  <c:v>1381886.998267191</c:v>
                </c:pt>
                <c:pt idx="983">
                  <c:v>1381887.0062628831</c:v>
                </c:pt>
                <c:pt idx="984">
                  <c:v>1381886.9961966269</c:v>
                </c:pt>
                <c:pt idx="985">
                  <c:v>1381887.0095701404</c:v>
                </c:pt>
                <c:pt idx="986">
                  <c:v>1381886.9924434398</c:v>
                </c:pt>
                <c:pt idx="987">
                  <c:v>1381887.0150497265</c:v>
                </c:pt>
                <c:pt idx="988">
                  <c:v>1381886.9857777429</c:v>
                </c:pt>
                <c:pt idx="989">
                  <c:v>1381887.0243391735</c:v>
                </c:pt>
                <c:pt idx="990">
                  <c:v>1381886.9740234602</c:v>
                </c:pt>
                <c:pt idx="991">
                  <c:v>1381887.0403424895</c:v>
                </c:pt>
                <c:pt idx="992">
                  <c:v>1381886.9533060417</c:v>
                </c:pt>
                <c:pt idx="993">
                  <c:v>1381887.0682446158</c:v>
                </c:pt>
                <c:pt idx="994">
                  <c:v>1381886.9166823553</c:v>
                </c:pt>
                <c:pt idx="995">
                  <c:v>1381887.1173648338</c:v>
                </c:pt>
                <c:pt idx="996">
                  <c:v>1381886.8516295897</c:v>
                </c:pt>
                <c:pt idx="997">
                  <c:v>1381887.2045643253</c:v>
                </c:pt>
                <c:pt idx="998">
                  <c:v>1381886.7354139672</c:v>
                </c:pt>
                <c:pt idx="999">
                  <c:v>1381887.3605505712</c:v>
                </c:pt>
                <c:pt idx="1000">
                  <c:v>1381886.5264953398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D0-434A-AB1E-1F48B942AD1E}"/>
            </c:ext>
          </c:extLst>
        </c:ser>
        <c:ser>
          <c:idx val="1"/>
          <c:order val="1"/>
          <c:tx>
            <c:strRef>
              <c:f>'Kinetic Model'!$I$2</c:f>
              <c:strCache>
                <c:ptCount val="1"/>
                <c:pt idx="0">
                  <c:v>Crustaceans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'Kinetic Model'!$A:$A</c:f>
              <c:strCache>
                <c:ptCount val="1003"/>
                <c:pt idx="0">
                  <c:v>Timestep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  <c:pt idx="100">
                  <c:v>98</c:v>
                </c:pt>
                <c:pt idx="101">
                  <c:v>99</c:v>
                </c:pt>
                <c:pt idx="102">
                  <c:v>100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105</c:v>
                </c:pt>
                <c:pt idx="108">
                  <c:v>106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112</c:v>
                </c:pt>
                <c:pt idx="115">
                  <c:v>113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117</c:v>
                </c:pt>
                <c:pt idx="120">
                  <c:v>118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122</c:v>
                </c:pt>
                <c:pt idx="125">
                  <c:v>123</c:v>
                </c:pt>
                <c:pt idx="126">
                  <c:v>124</c:v>
                </c:pt>
                <c:pt idx="127">
                  <c:v>125</c:v>
                </c:pt>
                <c:pt idx="128">
                  <c:v>126</c:v>
                </c:pt>
                <c:pt idx="129">
                  <c:v>127</c:v>
                </c:pt>
                <c:pt idx="130">
                  <c:v>128</c:v>
                </c:pt>
                <c:pt idx="131">
                  <c:v>129</c:v>
                </c:pt>
                <c:pt idx="132">
                  <c:v>130</c:v>
                </c:pt>
                <c:pt idx="133">
                  <c:v>131</c:v>
                </c:pt>
                <c:pt idx="134">
                  <c:v>132</c:v>
                </c:pt>
                <c:pt idx="135">
                  <c:v>133</c:v>
                </c:pt>
                <c:pt idx="136">
                  <c:v>134</c:v>
                </c:pt>
                <c:pt idx="137">
                  <c:v>135</c:v>
                </c:pt>
                <c:pt idx="138">
                  <c:v>136</c:v>
                </c:pt>
                <c:pt idx="139">
                  <c:v>137</c:v>
                </c:pt>
                <c:pt idx="140">
                  <c:v>138</c:v>
                </c:pt>
                <c:pt idx="141">
                  <c:v>139</c:v>
                </c:pt>
                <c:pt idx="142">
                  <c:v>140</c:v>
                </c:pt>
                <c:pt idx="143">
                  <c:v>141</c:v>
                </c:pt>
                <c:pt idx="144">
                  <c:v>142</c:v>
                </c:pt>
                <c:pt idx="145">
                  <c:v>143</c:v>
                </c:pt>
                <c:pt idx="146">
                  <c:v>144</c:v>
                </c:pt>
                <c:pt idx="147">
                  <c:v>145</c:v>
                </c:pt>
                <c:pt idx="148">
                  <c:v>146</c:v>
                </c:pt>
                <c:pt idx="149">
                  <c:v>147</c:v>
                </c:pt>
                <c:pt idx="150">
                  <c:v>148</c:v>
                </c:pt>
                <c:pt idx="151">
                  <c:v>149</c:v>
                </c:pt>
                <c:pt idx="152">
                  <c:v>150</c:v>
                </c:pt>
                <c:pt idx="153">
                  <c:v>151</c:v>
                </c:pt>
                <c:pt idx="154">
                  <c:v>152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158</c:v>
                </c:pt>
                <c:pt idx="161">
                  <c:v>159</c:v>
                </c:pt>
                <c:pt idx="162">
                  <c:v>160</c:v>
                </c:pt>
                <c:pt idx="163">
                  <c:v>161</c:v>
                </c:pt>
                <c:pt idx="164">
                  <c:v>162</c:v>
                </c:pt>
                <c:pt idx="165">
                  <c:v>163</c:v>
                </c:pt>
                <c:pt idx="166">
                  <c:v>164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168</c:v>
                </c:pt>
                <c:pt idx="171">
                  <c:v>169</c:v>
                </c:pt>
                <c:pt idx="172">
                  <c:v>170</c:v>
                </c:pt>
                <c:pt idx="173">
                  <c:v>171</c:v>
                </c:pt>
                <c:pt idx="174">
                  <c:v>172</c:v>
                </c:pt>
                <c:pt idx="175">
                  <c:v>173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  <c:pt idx="187">
                  <c:v>185</c:v>
                </c:pt>
                <c:pt idx="188">
                  <c:v>186</c:v>
                </c:pt>
                <c:pt idx="189">
                  <c:v>187</c:v>
                </c:pt>
                <c:pt idx="190">
                  <c:v>188</c:v>
                </c:pt>
                <c:pt idx="191">
                  <c:v>189</c:v>
                </c:pt>
                <c:pt idx="192">
                  <c:v>190</c:v>
                </c:pt>
                <c:pt idx="193">
                  <c:v>191</c:v>
                </c:pt>
                <c:pt idx="194">
                  <c:v>192</c:v>
                </c:pt>
                <c:pt idx="195">
                  <c:v>193</c:v>
                </c:pt>
                <c:pt idx="196">
                  <c:v>194</c:v>
                </c:pt>
                <c:pt idx="197">
                  <c:v>195</c:v>
                </c:pt>
                <c:pt idx="198">
                  <c:v>196</c:v>
                </c:pt>
                <c:pt idx="199">
                  <c:v>197</c:v>
                </c:pt>
                <c:pt idx="200">
                  <c:v>198</c:v>
                </c:pt>
                <c:pt idx="201">
                  <c:v>199</c:v>
                </c:pt>
                <c:pt idx="202">
                  <c:v>200</c:v>
                </c:pt>
                <c:pt idx="203">
                  <c:v>201</c:v>
                </c:pt>
                <c:pt idx="204">
                  <c:v>202</c:v>
                </c:pt>
                <c:pt idx="205">
                  <c:v>203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464</c:v>
                </c:pt>
                <c:pt idx="467">
                  <c:v>465</c:v>
                </c:pt>
                <c:pt idx="468">
                  <c:v>466</c:v>
                </c:pt>
                <c:pt idx="469">
                  <c:v>467</c:v>
                </c:pt>
                <c:pt idx="470">
                  <c:v>468</c:v>
                </c:pt>
                <c:pt idx="471">
                  <c:v>469</c:v>
                </c:pt>
                <c:pt idx="472">
                  <c:v>470</c:v>
                </c:pt>
                <c:pt idx="473">
                  <c:v>471</c:v>
                </c:pt>
                <c:pt idx="474">
                  <c:v>472</c:v>
                </c:pt>
                <c:pt idx="475">
                  <c:v>473</c:v>
                </c:pt>
                <c:pt idx="476">
                  <c:v>474</c:v>
                </c:pt>
                <c:pt idx="477">
                  <c:v>475</c:v>
                </c:pt>
                <c:pt idx="478">
                  <c:v>476</c:v>
                </c:pt>
                <c:pt idx="479">
                  <c:v>477</c:v>
                </c:pt>
                <c:pt idx="480">
                  <c:v>478</c:v>
                </c:pt>
                <c:pt idx="481">
                  <c:v>479</c:v>
                </c:pt>
                <c:pt idx="482">
                  <c:v>480</c:v>
                </c:pt>
                <c:pt idx="483">
                  <c:v>481</c:v>
                </c:pt>
                <c:pt idx="484">
                  <c:v>482</c:v>
                </c:pt>
                <c:pt idx="485">
                  <c:v>483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487</c:v>
                </c:pt>
                <c:pt idx="490">
                  <c:v>488</c:v>
                </c:pt>
                <c:pt idx="491">
                  <c:v>489</c:v>
                </c:pt>
                <c:pt idx="492">
                  <c:v>490</c:v>
                </c:pt>
                <c:pt idx="493">
                  <c:v>491</c:v>
                </c:pt>
                <c:pt idx="494">
                  <c:v>492</c:v>
                </c:pt>
                <c:pt idx="495">
                  <c:v>493</c:v>
                </c:pt>
                <c:pt idx="496">
                  <c:v>494</c:v>
                </c:pt>
                <c:pt idx="497">
                  <c:v>495</c:v>
                </c:pt>
                <c:pt idx="498">
                  <c:v>496</c:v>
                </c:pt>
                <c:pt idx="499">
                  <c:v>497</c:v>
                </c:pt>
                <c:pt idx="500">
                  <c:v>498</c:v>
                </c:pt>
                <c:pt idx="501">
                  <c:v>499</c:v>
                </c:pt>
                <c:pt idx="502">
                  <c:v>500</c:v>
                </c:pt>
                <c:pt idx="503">
                  <c:v>501</c:v>
                </c:pt>
                <c:pt idx="504">
                  <c:v>502</c:v>
                </c:pt>
                <c:pt idx="505">
                  <c:v>503</c:v>
                </c:pt>
                <c:pt idx="506">
                  <c:v>504</c:v>
                </c:pt>
                <c:pt idx="507">
                  <c:v>505</c:v>
                </c:pt>
                <c:pt idx="508">
                  <c:v>506</c:v>
                </c:pt>
                <c:pt idx="509">
                  <c:v>507</c:v>
                </c:pt>
                <c:pt idx="510">
                  <c:v>508</c:v>
                </c:pt>
                <c:pt idx="511">
                  <c:v>509</c:v>
                </c:pt>
                <c:pt idx="512">
                  <c:v>510</c:v>
                </c:pt>
                <c:pt idx="513">
                  <c:v>511</c:v>
                </c:pt>
                <c:pt idx="514">
                  <c:v>512</c:v>
                </c:pt>
                <c:pt idx="515">
                  <c:v>513</c:v>
                </c:pt>
                <c:pt idx="516">
                  <c:v>514</c:v>
                </c:pt>
                <c:pt idx="517">
                  <c:v>515</c:v>
                </c:pt>
                <c:pt idx="518">
                  <c:v>516</c:v>
                </c:pt>
                <c:pt idx="519">
                  <c:v>517</c:v>
                </c:pt>
                <c:pt idx="520">
                  <c:v>518</c:v>
                </c:pt>
                <c:pt idx="521">
                  <c:v>519</c:v>
                </c:pt>
                <c:pt idx="522">
                  <c:v>520</c:v>
                </c:pt>
                <c:pt idx="523">
                  <c:v>521</c:v>
                </c:pt>
                <c:pt idx="524">
                  <c:v>522</c:v>
                </c:pt>
                <c:pt idx="525">
                  <c:v>523</c:v>
                </c:pt>
                <c:pt idx="526">
                  <c:v>524</c:v>
                </c:pt>
                <c:pt idx="527">
                  <c:v>525</c:v>
                </c:pt>
                <c:pt idx="528">
                  <c:v>526</c:v>
                </c:pt>
                <c:pt idx="529">
                  <c:v>527</c:v>
                </c:pt>
                <c:pt idx="530">
                  <c:v>528</c:v>
                </c:pt>
                <c:pt idx="531">
                  <c:v>529</c:v>
                </c:pt>
                <c:pt idx="532">
                  <c:v>530</c:v>
                </c:pt>
                <c:pt idx="533">
                  <c:v>531</c:v>
                </c:pt>
                <c:pt idx="534">
                  <c:v>532</c:v>
                </c:pt>
                <c:pt idx="535">
                  <c:v>533</c:v>
                </c:pt>
                <c:pt idx="536">
                  <c:v>534</c:v>
                </c:pt>
                <c:pt idx="537">
                  <c:v>535</c:v>
                </c:pt>
                <c:pt idx="538">
                  <c:v>536</c:v>
                </c:pt>
                <c:pt idx="539">
                  <c:v>537</c:v>
                </c:pt>
                <c:pt idx="540">
                  <c:v>538</c:v>
                </c:pt>
                <c:pt idx="541">
                  <c:v>539</c:v>
                </c:pt>
                <c:pt idx="542">
                  <c:v>540</c:v>
                </c:pt>
                <c:pt idx="543">
                  <c:v>541</c:v>
                </c:pt>
                <c:pt idx="544">
                  <c:v>542</c:v>
                </c:pt>
                <c:pt idx="545">
                  <c:v>543</c:v>
                </c:pt>
                <c:pt idx="546">
                  <c:v>544</c:v>
                </c:pt>
                <c:pt idx="547">
                  <c:v>545</c:v>
                </c:pt>
                <c:pt idx="548">
                  <c:v>546</c:v>
                </c:pt>
                <c:pt idx="549">
                  <c:v>547</c:v>
                </c:pt>
                <c:pt idx="550">
                  <c:v>548</c:v>
                </c:pt>
                <c:pt idx="551">
                  <c:v>549</c:v>
                </c:pt>
                <c:pt idx="552">
                  <c:v>550</c:v>
                </c:pt>
                <c:pt idx="553">
                  <c:v>551</c:v>
                </c:pt>
                <c:pt idx="554">
                  <c:v>552</c:v>
                </c:pt>
                <c:pt idx="555">
                  <c:v>553</c:v>
                </c:pt>
                <c:pt idx="556">
                  <c:v>554</c:v>
                </c:pt>
                <c:pt idx="557">
                  <c:v>555</c:v>
                </c:pt>
                <c:pt idx="558">
                  <c:v>556</c:v>
                </c:pt>
                <c:pt idx="559">
                  <c:v>557</c:v>
                </c:pt>
                <c:pt idx="560">
                  <c:v>558</c:v>
                </c:pt>
                <c:pt idx="561">
                  <c:v>559</c:v>
                </c:pt>
                <c:pt idx="562">
                  <c:v>560</c:v>
                </c:pt>
                <c:pt idx="563">
                  <c:v>561</c:v>
                </c:pt>
                <c:pt idx="564">
                  <c:v>562</c:v>
                </c:pt>
                <c:pt idx="565">
                  <c:v>563</c:v>
                </c:pt>
                <c:pt idx="566">
                  <c:v>564</c:v>
                </c:pt>
                <c:pt idx="567">
                  <c:v>565</c:v>
                </c:pt>
                <c:pt idx="568">
                  <c:v>566</c:v>
                </c:pt>
                <c:pt idx="569">
                  <c:v>567</c:v>
                </c:pt>
                <c:pt idx="570">
                  <c:v>568</c:v>
                </c:pt>
                <c:pt idx="571">
                  <c:v>569</c:v>
                </c:pt>
                <c:pt idx="572">
                  <c:v>570</c:v>
                </c:pt>
                <c:pt idx="573">
                  <c:v>571</c:v>
                </c:pt>
                <c:pt idx="574">
                  <c:v>572</c:v>
                </c:pt>
                <c:pt idx="575">
                  <c:v>573</c:v>
                </c:pt>
                <c:pt idx="576">
                  <c:v>574</c:v>
                </c:pt>
                <c:pt idx="577">
                  <c:v>575</c:v>
                </c:pt>
                <c:pt idx="578">
                  <c:v>576</c:v>
                </c:pt>
                <c:pt idx="579">
                  <c:v>577</c:v>
                </c:pt>
                <c:pt idx="580">
                  <c:v>578</c:v>
                </c:pt>
                <c:pt idx="581">
                  <c:v>579</c:v>
                </c:pt>
                <c:pt idx="582">
                  <c:v>580</c:v>
                </c:pt>
                <c:pt idx="583">
                  <c:v>581</c:v>
                </c:pt>
                <c:pt idx="584">
                  <c:v>582</c:v>
                </c:pt>
                <c:pt idx="585">
                  <c:v>583</c:v>
                </c:pt>
                <c:pt idx="586">
                  <c:v>584</c:v>
                </c:pt>
                <c:pt idx="587">
                  <c:v>585</c:v>
                </c:pt>
                <c:pt idx="588">
                  <c:v>586</c:v>
                </c:pt>
                <c:pt idx="589">
                  <c:v>587</c:v>
                </c:pt>
                <c:pt idx="590">
                  <c:v>588</c:v>
                </c:pt>
                <c:pt idx="591">
                  <c:v>589</c:v>
                </c:pt>
                <c:pt idx="592">
                  <c:v>590</c:v>
                </c:pt>
                <c:pt idx="593">
                  <c:v>591</c:v>
                </c:pt>
                <c:pt idx="594">
                  <c:v>592</c:v>
                </c:pt>
                <c:pt idx="595">
                  <c:v>593</c:v>
                </c:pt>
                <c:pt idx="596">
                  <c:v>594</c:v>
                </c:pt>
                <c:pt idx="597">
                  <c:v>595</c:v>
                </c:pt>
                <c:pt idx="598">
                  <c:v>596</c:v>
                </c:pt>
                <c:pt idx="599">
                  <c:v>597</c:v>
                </c:pt>
                <c:pt idx="600">
                  <c:v>598</c:v>
                </c:pt>
                <c:pt idx="601">
                  <c:v>599</c:v>
                </c:pt>
                <c:pt idx="602">
                  <c:v>600</c:v>
                </c:pt>
                <c:pt idx="603">
                  <c:v>601</c:v>
                </c:pt>
                <c:pt idx="604">
                  <c:v>602</c:v>
                </c:pt>
                <c:pt idx="605">
                  <c:v>603</c:v>
                </c:pt>
                <c:pt idx="606">
                  <c:v>604</c:v>
                </c:pt>
                <c:pt idx="607">
                  <c:v>605</c:v>
                </c:pt>
                <c:pt idx="608">
                  <c:v>606</c:v>
                </c:pt>
                <c:pt idx="609">
                  <c:v>607</c:v>
                </c:pt>
                <c:pt idx="610">
                  <c:v>608</c:v>
                </c:pt>
                <c:pt idx="611">
                  <c:v>609</c:v>
                </c:pt>
                <c:pt idx="612">
                  <c:v>610</c:v>
                </c:pt>
                <c:pt idx="613">
                  <c:v>611</c:v>
                </c:pt>
                <c:pt idx="614">
                  <c:v>612</c:v>
                </c:pt>
                <c:pt idx="615">
                  <c:v>613</c:v>
                </c:pt>
                <c:pt idx="616">
                  <c:v>614</c:v>
                </c:pt>
                <c:pt idx="617">
                  <c:v>615</c:v>
                </c:pt>
                <c:pt idx="618">
                  <c:v>616</c:v>
                </c:pt>
                <c:pt idx="619">
                  <c:v>617</c:v>
                </c:pt>
                <c:pt idx="620">
                  <c:v>618</c:v>
                </c:pt>
                <c:pt idx="621">
                  <c:v>619</c:v>
                </c:pt>
                <c:pt idx="622">
                  <c:v>620</c:v>
                </c:pt>
                <c:pt idx="623">
                  <c:v>621</c:v>
                </c:pt>
                <c:pt idx="624">
                  <c:v>622</c:v>
                </c:pt>
                <c:pt idx="625">
                  <c:v>623</c:v>
                </c:pt>
                <c:pt idx="626">
                  <c:v>624</c:v>
                </c:pt>
                <c:pt idx="627">
                  <c:v>625</c:v>
                </c:pt>
                <c:pt idx="628">
                  <c:v>626</c:v>
                </c:pt>
                <c:pt idx="629">
                  <c:v>627</c:v>
                </c:pt>
                <c:pt idx="630">
                  <c:v>628</c:v>
                </c:pt>
                <c:pt idx="631">
                  <c:v>629</c:v>
                </c:pt>
                <c:pt idx="632">
                  <c:v>630</c:v>
                </c:pt>
                <c:pt idx="633">
                  <c:v>631</c:v>
                </c:pt>
                <c:pt idx="634">
                  <c:v>632</c:v>
                </c:pt>
                <c:pt idx="635">
                  <c:v>633</c:v>
                </c:pt>
                <c:pt idx="636">
                  <c:v>634</c:v>
                </c:pt>
                <c:pt idx="637">
                  <c:v>635</c:v>
                </c:pt>
                <c:pt idx="638">
                  <c:v>636</c:v>
                </c:pt>
                <c:pt idx="639">
                  <c:v>637</c:v>
                </c:pt>
                <c:pt idx="640">
                  <c:v>638</c:v>
                </c:pt>
                <c:pt idx="641">
                  <c:v>639</c:v>
                </c:pt>
                <c:pt idx="642">
                  <c:v>640</c:v>
                </c:pt>
                <c:pt idx="643">
                  <c:v>641</c:v>
                </c:pt>
                <c:pt idx="644">
                  <c:v>642</c:v>
                </c:pt>
                <c:pt idx="645">
                  <c:v>643</c:v>
                </c:pt>
                <c:pt idx="646">
                  <c:v>644</c:v>
                </c:pt>
                <c:pt idx="647">
                  <c:v>645</c:v>
                </c:pt>
                <c:pt idx="648">
                  <c:v>646</c:v>
                </c:pt>
                <c:pt idx="649">
                  <c:v>647</c:v>
                </c:pt>
                <c:pt idx="650">
                  <c:v>648</c:v>
                </c:pt>
                <c:pt idx="651">
                  <c:v>649</c:v>
                </c:pt>
                <c:pt idx="652">
                  <c:v>650</c:v>
                </c:pt>
                <c:pt idx="653">
                  <c:v>651</c:v>
                </c:pt>
                <c:pt idx="654">
                  <c:v>652</c:v>
                </c:pt>
                <c:pt idx="655">
                  <c:v>653</c:v>
                </c:pt>
                <c:pt idx="656">
                  <c:v>654</c:v>
                </c:pt>
                <c:pt idx="657">
                  <c:v>655</c:v>
                </c:pt>
                <c:pt idx="658">
                  <c:v>656</c:v>
                </c:pt>
                <c:pt idx="659">
                  <c:v>657</c:v>
                </c:pt>
                <c:pt idx="660">
                  <c:v>658</c:v>
                </c:pt>
                <c:pt idx="661">
                  <c:v>659</c:v>
                </c:pt>
                <c:pt idx="662">
                  <c:v>660</c:v>
                </c:pt>
                <c:pt idx="663">
                  <c:v>661</c:v>
                </c:pt>
                <c:pt idx="664">
                  <c:v>662</c:v>
                </c:pt>
                <c:pt idx="665">
                  <c:v>663</c:v>
                </c:pt>
                <c:pt idx="666">
                  <c:v>664</c:v>
                </c:pt>
                <c:pt idx="667">
                  <c:v>665</c:v>
                </c:pt>
                <c:pt idx="668">
                  <c:v>666</c:v>
                </c:pt>
                <c:pt idx="669">
                  <c:v>667</c:v>
                </c:pt>
                <c:pt idx="670">
                  <c:v>668</c:v>
                </c:pt>
                <c:pt idx="671">
                  <c:v>669</c:v>
                </c:pt>
                <c:pt idx="672">
                  <c:v>670</c:v>
                </c:pt>
                <c:pt idx="673">
                  <c:v>671</c:v>
                </c:pt>
                <c:pt idx="674">
                  <c:v>672</c:v>
                </c:pt>
                <c:pt idx="675">
                  <c:v>673</c:v>
                </c:pt>
                <c:pt idx="676">
                  <c:v>674</c:v>
                </c:pt>
                <c:pt idx="677">
                  <c:v>675</c:v>
                </c:pt>
                <c:pt idx="678">
                  <c:v>676</c:v>
                </c:pt>
                <c:pt idx="679">
                  <c:v>677</c:v>
                </c:pt>
                <c:pt idx="680">
                  <c:v>678</c:v>
                </c:pt>
                <c:pt idx="681">
                  <c:v>679</c:v>
                </c:pt>
                <c:pt idx="682">
                  <c:v>680</c:v>
                </c:pt>
                <c:pt idx="683">
                  <c:v>681</c:v>
                </c:pt>
                <c:pt idx="684">
                  <c:v>682</c:v>
                </c:pt>
                <c:pt idx="685">
                  <c:v>683</c:v>
                </c:pt>
                <c:pt idx="686">
                  <c:v>684</c:v>
                </c:pt>
                <c:pt idx="687">
                  <c:v>685</c:v>
                </c:pt>
                <c:pt idx="688">
                  <c:v>686</c:v>
                </c:pt>
                <c:pt idx="689">
                  <c:v>687</c:v>
                </c:pt>
                <c:pt idx="690">
                  <c:v>688</c:v>
                </c:pt>
                <c:pt idx="691">
                  <c:v>689</c:v>
                </c:pt>
                <c:pt idx="692">
                  <c:v>690</c:v>
                </c:pt>
                <c:pt idx="693">
                  <c:v>691</c:v>
                </c:pt>
                <c:pt idx="694">
                  <c:v>692</c:v>
                </c:pt>
                <c:pt idx="695">
                  <c:v>693</c:v>
                </c:pt>
                <c:pt idx="696">
                  <c:v>694</c:v>
                </c:pt>
                <c:pt idx="697">
                  <c:v>695</c:v>
                </c:pt>
                <c:pt idx="698">
                  <c:v>696</c:v>
                </c:pt>
                <c:pt idx="699">
                  <c:v>697</c:v>
                </c:pt>
                <c:pt idx="700">
                  <c:v>698</c:v>
                </c:pt>
                <c:pt idx="701">
                  <c:v>699</c:v>
                </c:pt>
                <c:pt idx="702">
                  <c:v>700</c:v>
                </c:pt>
                <c:pt idx="703">
                  <c:v>701</c:v>
                </c:pt>
                <c:pt idx="704">
                  <c:v>702</c:v>
                </c:pt>
                <c:pt idx="705">
                  <c:v>703</c:v>
                </c:pt>
                <c:pt idx="706">
                  <c:v>704</c:v>
                </c:pt>
                <c:pt idx="707">
                  <c:v>705</c:v>
                </c:pt>
                <c:pt idx="708">
                  <c:v>706</c:v>
                </c:pt>
                <c:pt idx="709">
                  <c:v>707</c:v>
                </c:pt>
                <c:pt idx="710">
                  <c:v>708</c:v>
                </c:pt>
                <c:pt idx="711">
                  <c:v>709</c:v>
                </c:pt>
                <c:pt idx="712">
                  <c:v>710</c:v>
                </c:pt>
                <c:pt idx="713">
                  <c:v>711</c:v>
                </c:pt>
                <c:pt idx="714">
                  <c:v>712</c:v>
                </c:pt>
                <c:pt idx="715">
                  <c:v>713</c:v>
                </c:pt>
                <c:pt idx="716">
                  <c:v>714</c:v>
                </c:pt>
                <c:pt idx="717">
                  <c:v>715</c:v>
                </c:pt>
                <c:pt idx="718">
                  <c:v>716</c:v>
                </c:pt>
                <c:pt idx="719">
                  <c:v>717</c:v>
                </c:pt>
                <c:pt idx="720">
                  <c:v>718</c:v>
                </c:pt>
                <c:pt idx="721">
                  <c:v>719</c:v>
                </c:pt>
                <c:pt idx="722">
                  <c:v>720</c:v>
                </c:pt>
                <c:pt idx="723">
                  <c:v>721</c:v>
                </c:pt>
                <c:pt idx="724">
                  <c:v>722</c:v>
                </c:pt>
                <c:pt idx="725">
                  <c:v>723</c:v>
                </c:pt>
                <c:pt idx="726">
                  <c:v>724</c:v>
                </c:pt>
                <c:pt idx="727">
                  <c:v>725</c:v>
                </c:pt>
                <c:pt idx="728">
                  <c:v>726</c:v>
                </c:pt>
                <c:pt idx="729">
                  <c:v>727</c:v>
                </c:pt>
                <c:pt idx="730">
                  <c:v>728</c:v>
                </c:pt>
                <c:pt idx="731">
                  <c:v>729</c:v>
                </c:pt>
                <c:pt idx="732">
                  <c:v>730</c:v>
                </c:pt>
                <c:pt idx="733">
                  <c:v>731</c:v>
                </c:pt>
                <c:pt idx="734">
                  <c:v>732</c:v>
                </c:pt>
                <c:pt idx="735">
                  <c:v>733</c:v>
                </c:pt>
                <c:pt idx="736">
                  <c:v>734</c:v>
                </c:pt>
                <c:pt idx="737">
                  <c:v>735</c:v>
                </c:pt>
                <c:pt idx="738">
                  <c:v>736</c:v>
                </c:pt>
                <c:pt idx="739">
                  <c:v>737</c:v>
                </c:pt>
                <c:pt idx="740">
                  <c:v>738</c:v>
                </c:pt>
                <c:pt idx="741">
                  <c:v>739</c:v>
                </c:pt>
                <c:pt idx="742">
                  <c:v>740</c:v>
                </c:pt>
                <c:pt idx="743">
                  <c:v>741</c:v>
                </c:pt>
                <c:pt idx="744">
                  <c:v>742</c:v>
                </c:pt>
                <c:pt idx="745">
                  <c:v>743</c:v>
                </c:pt>
                <c:pt idx="746">
                  <c:v>744</c:v>
                </c:pt>
                <c:pt idx="747">
                  <c:v>745</c:v>
                </c:pt>
                <c:pt idx="748">
                  <c:v>746</c:v>
                </c:pt>
                <c:pt idx="749">
                  <c:v>747</c:v>
                </c:pt>
                <c:pt idx="750">
                  <c:v>748</c:v>
                </c:pt>
                <c:pt idx="751">
                  <c:v>749</c:v>
                </c:pt>
                <c:pt idx="752">
                  <c:v>750</c:v>
                </c:pt>
                <c:pt idx="753">
                  <c:v>751</c:v>
                </c:pt>
                <c:pt idx="754">
                  <c:v>752</c:v>
                </c:pt>
                <c:pt idx="755">
                  <c:v>753</c:v>
                </c:pt>
                <c:pt idx="756">
                  <c:v>754</c:v>
                </c:pt>
                <c:pt idx="757">
                  <c:v>755</c:v>
                </c:pt>
                <c:pt idx="758">
                  <c:v>756</c:v>
                </c:pt>
                <c:pt idx="759">
                  <c:v>757</c:v>
                </c:pt>
                <c:pt idx="760">
                  <c:v>758</c:v>
                </c:pt>
                <c:pt idx="761">
                  <c:v>759</c:v>
                </c:pt>
                <c:pt idx="762">
                  <c:v>760</c:v>
                </c:pt>
                <c:pt idx="763">
                  <c:v>761</c:v>
                </c:pt>
                <c:pt idx="764">
                  <c:v>762</c:v>
                </c:pt>
                <c:pt idx="765">
                  <c:v>763</c:v>
                </c:pt>
                <c:pt idx="766">
                  <c:v>764</c:v>
                </c:pt>
                <c:pt idx="767">
                  <c:v>765</c:v>
                </c:pt>
                <c:pt idx="768">
                  <c:v>766</c:v>
                </c:pt>
                <c:pt idx="769">
                  <c:v>767</c:v>
                </c:pt>
                <c:pt idx="770">
                  <c:v>768</c:v>
                </c:pt>
                <c:pt idx="771">
                  <c:v>769</c:v>
                </c:pt>
                <c:pt idx="772">
                  <c:v>770</c:v>
                </c:pt>
                <c:pt idx="773">
                  <c:v>771</c:v>
                </c:pt>
                <c:pt idx="774">
                  <c:v>772</c:v>
                </c:pt>
                <c:pt idx="775">
                  <c:v>773</c:v>
                </c:pt>
                <c:pt idx="776">
                  <c:v>774</c:v>
                </c:pt>
                <c:pt idx="777">
                  <c:v>775</c:v>
                </c:pt>
                <c:pt idx="778">
                  <c:v>776</c:v>
                </c:pt>
                <c:pt idx="779">
                  <c:v>777</c:v>
                </c:pt>
                <c:pt idx="780">
                  <c:v>778</c:v>
                </c:pt>
                <c:pt idx="781">
                  <c:v>779</c:v>
                </c:pt>
                <c:pt idx="782">
                  <c:v>780</c:v>
                </c:pt>
                <c:pt idx="783">
                  <c:v>781</c:v>
                </c:pt>
                <c:pt idx="784">
                  <c:v>782</c:v>
                </c:pt>
                <c:pt idx="785">
                  <c:v>783</c:v>
                </c:pt>
                <c:pt idx="786">
                  <c:v>784</c:v>
                </c:pt>
                <c:pt idx="787">
                  <c:v>785</c:v>
                </c:pt>
                <c:pt idx="788">
                  <c:v>786</c:v>
                </c:pt>
                <c:pt idx="789">
                  <c:v>787</c:v>
                </c:pt>
                <c:pt idx="790">
                  <c:v>788</c:v>
                </c:pt>
                <c:pt idx="791">
                  <c:v>789</c:v>
                </c:pt>
                <c:pt idx="792">
                  <c:v>790</c:v>
                </c:pt>
                <c:pt idx="793">
                  <c:v>791</c:v>
                </c:pt>
                <c:pt idx="794">
                  <c:v>792</c:v>
                </c:pt>
                <c:pt idx="795">
                  <c:v>793</c:v>
                </c:pt>
                <c:pt idx="796">
                  <c:v>794</c:v>
                </c:pt>
                <c:pt idx="797">
                  <c:v>795</c:v>
                </c:pt>
                <c:pt idx="798">
                  <c:v>796</c:v>
                </c:pt>
                <c:pt idx="799">
                  <c:v>797</c:v>
                </c:pt>
                <c:pt idx="800">
                  <c:v>798</c:v>
                </c:pt>
                <c:pt idx="801">
                  <c:v>799</c:v>
                </c:pt>
                <c:pt idx="802">
                  <c:v>800</c:v>
                </c:pt>
                <c:pt idx="803">
                  <c:v>801</c:v>
                </c:pt>
                <c:pt idx="804">
                  <c:v>802</c:v>
                </c:pt>
                <c:pt idx="805">
                  <c:v>803</c:v>
                </c:pt>
                <c:pt idx="806">
                  <c:v>804</c:v>
                </c:pt>
                <c:pt idx="807">
                  <c:v>805</c:v>
                </c:pt>
                <c:pt idx="808">
                  <c:v>806</c:v>
                </c:pt>
                <c:pt idx="809">
                  <c:v>807</c:v>
                </c:pt>
                <c:pt idx="810">
                  <c:v>808</c:v>
                </c:pt>
                <c:pt idx="811">
                  <c:v>809</c:v>
                </c:pt>
                <c:pt idx="812">
                  <c:v>810</c:v>
                </c:pt>
                <c:pt idx="813">
                  <c:v>811</c:v>
                </c:pt>
                <c:pt idx="814">
                  <c:v>812</c:v>
                </c:pt>
                <c:pt idx="815">
                  <c:v>813</c:v>
                </c:pt>
                <c:pt idx="816">
                  <c:v>814</c:v>
                </c:pt>
                <c:pt idx="817">
                  <c:v>815</c:v>
                </c:pt>
                <c:pt idx="818">
                  <c:v>816</c:v>
                </c:pt>
                <c:pt idx="819">
                  <c:v>817</c:v>
                </c:pt>
                <c:pt idx="820">
                  <c:v>818</c:v>
                </c:pt>
                <c:pt idx="821">
                  <c:v>819</c:v>
                </c:pt>
                <c:pt idx="822">
                  <c:v>820</c:v>
                </c:pt>
                <c:pt idx="823">
                  <c:v>821</c:v>
                </c:pt>
                <c:pt idx="824">
                  <c:v>822</c:v>
                </c:pt>
                <c:pt idx="825">
                  <c:v>823</c:v>
                </c:pt>
                <c:pt idx="826">
                  <c:v>824</c:v>
                </c:pt>
                <c:pt idx="827">
                  <c:v>825</c:v>
                </c:pt>
                <c:pt idx="828">
                  <c:v>826</c:v>
                </c:pt>
                <c:pt idx="829">
                  <c:v>827</c:v>
                </c:pt>
                <c:pt idx="830">
                  <c:v>828</c:v>
                </c:pt>
                <c:pt idx="831">
                  <c:v>829</c:v>
                </c:pt>
                <c:pt idx="832">
                  <c:v>830</c:v>
                </c:pt>
                <c:pt idx="833">
                  <c:v>831</c:v>
                </c:pt>
                <c:pt idx="834">
                  <c:v>832</c:v>
                </c:pt>
                <c:pt idx="835">
                  <c:v>833</c:v>
                </c:pt>
                <c:pt idx="836">
                  <c:v>834</c:v>
                </c:pt>
                <c:pt idx="837">
                  <c:v>835</c:v>
                </c:pt>
                <c:pt idx="838">
                  <c:v>836</c:v>
                </c:pt>
                <c:pt idx="839">
                  <c:v>837</c:v>
                </c:pt>
                <c:pt idx="840">
                  <c:v>838</c:v>
                </c:pt>
                <c:pt idx="841">
                  <c:v>839</c:v>
                </c:pt>
                <c:pt idx="842">
                  <c:v>840</c:v>
                </c:pt>
                <c:pt idx="843">
                  <c:v>841</c:v>
                </c:pt>
                <c:pt idx="844">
                  <c:v>842</c:v>
                </c:pt>
                <c:pt idx="845">
                  <c:v>843</c:v>
                </c:pt>
                <c:pt idx="846">
                  <c:v>844</c:v>
                </c:pt>
                <c:pt idx="847">
                  <c:v>845</c:v>
                </c:pt>
                <c:pt idx="848">
                  <c:v>846</c:v>
                </c:pt>
                <c:pt idx="849">
                  <c:v>847</c:v>
                </c:pt>
                <c:pt idx="850">
                  <c:v>848</c:v>
                </c:pt>
                <c:pt idx="851">
                  <c:v>849</c:v>
                </c:pt>
                <c:pt idx="852">
                  <c:v>850</c:v>
                </c:pt>
                <c:pt idx="853">
                  <c:v>851</c:v>
                </c:pt>
                <c:pt idx="854">
                  <c:v>852</c:v>
                </c:pt>
                <c:pt idx="855">
                  <c:v>853</c:v>
                </c:pt>
                <c:pt idx="856">
                  <c:v>854</c:v>
                </c:pt>
                <c:pt idx="857">
                  <c:v>855</c:v>
                </c:pt>
                <c:pt idx="858">
                  <c:v>856</c:v>
                </c:pt>
                <c:pt idx="859">
                  <c:v>857</c:v>
                </c:pt>
                <c:pt idx="860">
                  <c:v>858</c:v>
                </c:pt>
                <c:pt idx="861">
                  <c:v>859</c:v>
                </c:pt>
                <c:pt idx="862">
                  <c:v>860</c:v>
                </c:pt>
                <c:pt idx="863">
                  <c:v>861</c:v>
                </c:pt>
                <c:pt idx="864">
                  <c:v>862</c:v>
                </c:pt>
                <c:pt idx="865">
                  <c:v>863</c:v>
                </c:pt>
                <c:pt idx="866">
                  <c:v>864</c:v>
                </c:pt>
                <c:pt idx="867">
                  <c:v>865</c:v>
                </c:pt>
                <c:pt idx="868">
                  <c:v>866</c:v>
                </c:pt>
                <c:pt idx="869">
                  <c:v>867</c:v>
                </c:pt>
                <c:pt idx="870">
                  <c:v>868</c:v>
                </c:pt>
                <c:pt idx="871">
                  <c:v>869</c:v>
                </c:pt>
                <c:pt idx="872">
                  <c:v>870</c:v>
                </c:pt>
                <c:pt idx="873">
                  <c:v>871</c:v>
                </c:pt>
                <c:pt idx="874">
                  <c:v>872</c:v>
                </c:pt>
                <c:pt idx="875">
                  <c:v>873</c:v>
                </c:pt>
                <c:pt idx="876">
                  <c:v>874</c:v>
                </c:pt>
                <c:pt idx="877">
                  <c:v>875</c:v>
                </c:pt>
                <c:pt idx="878">
                  <c:v>876</c:v>
                </c:pt>
                <c:pt idx="879">
                  <c:v>877</c:v>
                </c:pt>
                <c:pt idx="880">
                  <c:v>878</c:v>
                </c:pt>
                <c:pt idx="881">
                  <c:v>879</c:v>
                </c:pt>
                <c:pt idx="882">
                  <c:v>880</c:v>
                </c:pt>
                <c:pt idx="883">
                  <c:v>881</c:v>
                </c:pt>
                <c:pt idx="884">
                  <c:v>882</c:v>
                </c:pt>
                <c:pt idx="885">
                  <c:v>883</c:v>
                </c:pt>
                <c:pt idx="886">
                  <c:v>884</c:v>
                </c:pt>
                <c:pt idx="887">
                  <c:v>885</c:v>
                </c:pt>
                <c:pt idx="888">
                  <c:v>886</c:v>
                </c:pt>
                <c:pt idx="889">
                  <c:v>887</c:v>
                </c:pt>
                <c:pt idx="890">
                  <c:v>888</c:v>
                </c:pt>
                <c:pt idx="891">
                  <c:v>889</c:v>
                </c:pt>
                <c:pt idx="892">
                  <c:v>890</c:v>
                </c:pt>
                <c:pt idx="893">
                  <c:v>891</c:v>
                </c:pt>
                <c:pt idx="894">
                  <c:v>892</c:v>
                </c:pt>
                <c:pt idx="895">
                  <c:v>893</c:v>
                </c:pt>
                <c:pt idx="896">
                  <c:v>894</c:v>
                </c:pt>
                <c:pt idx="897">
                  <c:v>895</c:v>
                </c:pt>
                <c:pt idx="898">
                  <c:v>896</c:v>
                </c:pt>
                <c:pt idx="899">
                  <c:v>897</c:v>
                </c:pt>
                <c:pt idx="900">
                  <c:v>898</c:v>
                </c:pt>
                <c:pt idx="901">
                  <c:v>899</c:v>
                </c:pt>
                <c:pt idx="902">
                  <c:v>900</c:v>
                </c:pt>
                <c:pt idx="903">
                  <c:v>901</c:v>
                </c:pt>
                <c:pt idx="904">
                  <c:v>902</c:v>
                </c:pt>
                <c:pt idx="905">
                  <c:v>903</c:v>
                </c:pt>
                <c:pt idx="906">
                  <c:v>904</c:v>
                </c:pt>
                <c:pt idx="907">
                  <c:v>905</c:v>
                </c:pt>
                <c:pt idx="908">
                  <c:v>906</c:v>
                </c:pt>
                <c:pt idx="909">
                  <c:v>907</c:v>
                </c:pt>
                <c:pt idx="910">
                  <c:v>908</c:v>
                </c:pt>
                <c:pt idx="911">
                  <c:v>909</c:v>
                </c:pt>
                <c:pt idx="912">
                  <c:v>910</c:v>
                </c:pt>
                <c:pt idx="913">
                  <c:v>911</c:v>
                </c:pt>
                <c:pt idx="914">
                  <c:v>912</c:v>
                </c:pt>
                <c:pt idx="915">
                  <c:v>913</c:v>
                </c:pt>
                <c:pt idx="916">
                  <c:v>914</c:v>
                </c:pt>
                <c:pt idx="917">
                  <c:v>915</c:v>
                </c:pt>
                <c:pt idx="918">
                  <c:v>916</c:v>
                </c:pt>
                <c:pt idx="919">
                  <c:v>917</c:v>
                </c:pt>
                <c:pt idx="920">
                  <c:v>918</c:v>
                </c:pt>
                <c:pt idx="921">
                  <c:v>919</c:v>
                </c:pt>
                <c:pt idx="922">
                  <c:v>920</c:v>
                </c:pt>
                <c:pt idx="923">
                  <c:v>921</c:v>
                </c:pt>
                <c:pt idx="924">
                  <c:v>922</c:v>
                </c:pt>
                <c:pt idx="925">
                  <c:v>923</c:v>
                </c:pt>
                <c:pt idx="926">
                  <c:v>924</c:v>
                </c:pt>
                <c:pt idx="927">
                  <c:v>925</c:v>
                </c:pt>
                <c:pt idx="928">
                  <c:v>926</c:v>
                </c:pt>
                <c:pt idx="929">
                  <c:v>927</c:v>
                </c:pt>
                <c:pt idx="930">
                  <c:v>928</c:v>
                </c:pt>
                <c:pt idx="931">
                  <c:v>929</c:v>
                </c:pt>
                <c:pt idx="932">
                  <c:v>930</c:v>
                </c:pt>
                <c:pt idx="933">
                  <c:v>931</c:v>
                </c:pt>
                <c:pt idx="934">
                  <c:v>932</c:v>
                </c:pt>
                <c:pt idx="935">
                  <c:v>933</c:v>
                </c:pt>
                <c:pt idx="936">
                  <c:v>934</c:v>
                </c:pt>
                <c:pt idx="937">
                  <c:v>935</c:v>
                </c:pt>
                <c:pt idx="938">
                  <c:v>936</c:v>
                </c:pt>
                <c:pt idx="939">
                  <c:v>937</c:v>
                </c:pt>
                <c:pt idx="940">
                  <c:v>938</c:v>
                </c:pt>
                <c:pt idx="941">
                  <c:v>939</c:v>
                </c:pt>
                <c:pt idx="942">
                  <c:v>940</c:v>
                </c:pt>
                <c:pt idx="943">
                  <c:v>941</c:v>
                </c:pt>
                <c:pt idx="944">
                  <c:v>942</c:v>
                </c:pt>
                <c:pt idx="945">
                  <c:v>943</c:v>
                </c:pt>
                <c:pt idx="946">
                  <c:v>944</c:v>
                </c:pt>
                <c:pt idx="947">
                  <c:v>945</c:v>
                </c:pt>
                <c:pt idx="948">
                  <c:v>946</c:v>
                </c:pt>
                <c:pt idx="949">
                  <c:v>947</c:v>
                </c:pt>
                <c:pt idx="950">
                  <c:v>948</c:v>
                </c:pt>
                <c:pt idx="951">
                  <c:v>949</c:v>
                </c:pt>
                <c:pt idx="952">
                  <c:v>950</c:v>
                </c:pt>
                <c:pt idx="953">
                  <c:v>951</c:v>
                </c:pt>
                <c:pt idx="954">
                  <c:v>952</c:v>
                </c:pt>
                <c:pt idx="955">
                  <c:v>953</c:v>
                </c:pt>
                <c:pt idx="956">
                  <c:v>954</c:v>
                </c:pt>
                <c:pt idx="957">
                  <c:v>955</c:v>
                </c:pt>
                <c:pt idx="958">
                  <c:v>956</c:v>
                </c:pt>
                <c:pt idx="959">
                  <c:v>957</c:v>
                </c:pt>
                <c:pt idx="960">
                  <c:v>958</c:v>
                </c:pt>
                <c:pt idx="961">
                  <c:v>959</c:v>
                </c:pt>
                <c:pt idx="962">
                  <c:v>960</c:v>
                </c:pt>
                <c:pt idx="963">
                  <c:v>961</c:v>
                </c:pt>
                <c:pt idx="964">
                  <c:v>962</c:v>
                </c:pt>
                <c:pt idx="965">
                  <c:v>963</c:v>
                </c:pt>
                <c:pt idx="966">
                  <c:v>964</c:v>
                </c:pt>
                <c:pt idx="967">
                  <c:v>965</c:v>
                </c:pt>
                <c:pt idx="968">
                  <c:v>966</c:v>
                </c:pt>
                <c:pt idx="969">
                  <c:v>967</c:v>
                </c:pt>
                <c:pt idx="970">
                  <c:v>968</c:v>
                </c:pt>
                <c:pt idx="971">
                  <c:v>969</c:v>
                </c:pt>
                <c:pt idx="972">
                  <c:v>970</c:v>
                </c:pt>
                <c:pt idx="973">
                  <c:v>971</c:v>
                </c:pt>
                <c:pt idx="974">
                  <c:v>972</c:v>
                </c:pt>
                <c:pt idx="975">
                  <c:v>973</c:v>
                </c:pt>
                <c:pt idx="976">
                  <c:v>974</c:v>
                </c:pt>
                <c:pt idx="977">
                  <c:v>975</c:v>
                </c:pt>
                <c:pt idx="978">
                  <c:v>976</c:v>
                </c:pt>
                <c:pt idx="979">
                  <c:v>977</c:v>
                </c:pt>
                <c:pt idx="980">
                  <c:v>978</c:v>
                </c:pt>
                <c:pt idx="981">
                  <c:v>979</c:v>
                </c:pt>
                <c:pt idx="982">
                  <c:v>980</c:v>
                </c:pt>
                <c:pt idx="983">
                  <c:v>981</c:v>
                </c:pt>
                <c:pt idx="984">
                  <c:v>982</c:v>
                </c:pt>
                <c:pt idx="985">
                  <c:v>983</c:v>
                </c:pt>
                <c:pt idx="986">
                  <c:v>984</c:v>
                </c:pt>
                <c:pt idx="987">
                  <c:v>985</c:v>
                </c:pt>
                <c:pt idx="988">
                  <c:v>986</c:v>
                </c:pt>
                <c:pt idx="989">
                  <c:v>987</c:v>
                </c:pt>
                <c:pt idx="990">
                  <c:v>988</c:v>
                </c:pt>
                <c:pt idx="991">
                  <c:v>989</c:v>
                </c:pt>
                <c:pt idx="992">
                  <c:v>990</c:v>
                </c:pt>
                <c:pt idx="993">
                  <c:v>991</c:v>
                </c:pt>
                <c:pt idx="994">
                  <c:v>992</c:v>
                </c:pt>
                <c:pt idx="995">
                  <c:v>993</c:v>
                </c:pt>
                <c:pt idx="996">
                  <c:v>994</c:v>
                </c:pt>
                <c:pt idx="997">
                  <c:v>995</c:v>
                </c:pt>
                <c:pt idx="998">
                  <c:v>996</c:v>
                </c:pt>
                <c:pt idx="999">
                  <c:v>997</c:v>
                </c:pt>
                <c:pt idx="1000">
                  <c:v>998</c:v>
                </c:pt>
                <c:pt idx="1001">
                  <c:v>999</c:v>
                </c:pt>
                <c:pt idx="1002">
                  <c:v>1000</c:v>
                </c:pt>
              </c:strCache>
            </c:strRef>
          </c:xVal>
          <c:yVal>
            <c:numRef>
              <c:f>'Kinetic Model'!$I$3:$I$1048576</c:f>
              <c:numCache>
                <c:formatCode>General</c:formatCode>
                <c:ptCount val="1048574"/>
                <c:pt idx="0">
                  <c:v>0</c:v>
                </c:pt>
                <c:pt idx="1">
                  <c:v>136.64512780923278</c:v>
                </c:pt>
                <c:pt idx="2">
                  <c:v>409.94199153309114</c:v>
                </c:pt>
                <c:pt idx="3">
                  <c:v>819.87350775186178</c:v>
                </c:pt>
                <c:pt idx="4">
                  <c:v>1366.3988966752327</c:v>
                </c:pt>
                <c:pt idx="5">
                  <c:v>2049.4536871081909</c:v>
                </c:pt>
                <c:pt idx="6">
                  <c:v>2868.9497312295625</c:v>
                </c:pt>
                <c:pt idx="7">
                  <c:v>3824.7752291767565</c:v>
                </c:pt>
                <c:pt idx="8">
                  <c:v>4916.7947634225584</c:v>
                </c:pt>
                <c:pt idx="9">
                  <c:v>6144.8493429221544</c:v>
                </c:pt>
                <c:pt idx="10">
                  <c:v>7508.7564570008899</c:v>
                </c:pt>
                <c:pt idx="11">
                  <c:v>9008.3101389456497</c:v>
                </c:pt>
                <c:pt idx="12">
                  <c:v>10643.28103925514</c:v>
                </c:pt>
                <c:pt idx="13">
                  <c:v>12413.416508496843</c:v>
                </c:pt>
                <c:pt idx="14">
                  <c:v>14318.440689710895</c:v>
                </c:pt>
                <c:pt idx="15">
                  <c:v>16358.054620293755</c:v>
                </c:pt>
                <c:pt idx="16">
                  <c:v>18531.936343287183</c:v>
                </c:pt>
                <c:pt idx="17">
                  <c:v>20839.741027990789</c:v>
                </c:pt>
                <c:pt idx="18">
                  <c:v>23281.101099809224</c:v>
                </c:pt>
                <c:pt idx="19">
                  <c:v>25855.626379238114</c:v>
                </c:pt>
                <c:pt idx="20">
                  <c:v>28562.904229885749</c:v>
                </c:pt>
                <c:pt idx="21">
                  <c:v>31402.499715420825</c:v>
                </c:pt>
                <c:pt idx="22">
                  <c:v>34373.955765329745</c:v>
                </c:pt>
                <c:pt idx="23">
                  <c:v>37476.793349360436</c:v>
                </c:pt>
                <c:pt idx="24">
                  <c:v>40710.511660523196</c:v>
                </c:pt>
                <c:pt idx="25">
                  <c:v>44074.5883065128</c:v>
                </c:pt>
                <c:pt idx="26">
                  <c:v>47568.479509409917</c:v>
                </c:pt>
                <c:pt idx="27">
                  <c:v>51191.620313513908</c:v>
                </c:pt>
                <c:pt idx="28">
                  <c:v>54943.424801153356</c:v>
                </c:pt>
                <c:pt idx="29">
                  <c:v>58823.286316314872</c:v>
                </c:pt>
                <c:pt idx="30">
                  <c:v>62830.5776959254</c:v>
                </c:pt>
                <c:pt idx="31">
                  <c:v>66964.651508617884</c:v>
                </c:pt>
                <c:pt idx="32">
                  <c:v>71224.840300805139</c:v>
                </c:pt>
                <c:pt idx="33">
                  <c:v>75610.45684988171</c:v>
                </c:pt>
                <c:pt idx="34">
                  <c:v>80120.794424369131</c:v>
                </c:pt>
                <c:pt idx="35">
                  <c:v>84755.127050815077</c:v>
                </c:pt>
                <c:pt idx="36">
                  <c:v>89512.709787253028</c:v>
                </c:pt>
                <c:pt idx="37">
                  <c:v>94392.779003024683</c:v>
                </c:pt>
                <c:pt idx="38">
                  <c:v>99394.552664763774</c:v>
                </c:pt>
                <c:pt idx="39">
                  <c:v>104517.23062833601</c:v>
                </c:pt>
                <c:pt idx="40">
                  <c:v>109759.99493652678</c:v>
                </c:pt>
                <c:pt idx="41">
                  <c:v>115122.01012226484</c:v>
                </c:pt>
                <c:pt idx="42">
                  <c:v>120602.42351716731</c:v>
                </c:pt>
                <c:pt idx="43">
                  <c:v>126200.36556518864</c:v>
                </c:pt>
                <c:pt idx="44">
                  <c:v>131914.95014115371</c:v>
                </c:pt>
                <c:pt idx="45">
                  <c:v>137745.27487395285</c:v>
                </c:pt>
                <c:pt idx="46">
                  <c:v>143690.42147417465</c:v>
                </c:pt>
                <c:pt idx="47">
                  <c:v>149749.45606595077</c:v>
                </c:pt>
                <c:pt idx="48">
                  <c:v>155921.42952278507</c:v>
                </c:pt>
                <c:pt idx="49">
                  <c:v>162205.3778071384</c:v>
                </c:pt>
                <c:pt idx="50">
                  <c:v>168600.3223135391</c:v>
                </c:pt>
                <c:pt idx="51">
                  <c:v>175105.27021498868</c:v>
                </c:pt>
                <c:pt idx="52">
                  <c:v>181719.21481243099</c:v>
                </c:pt>
                <c:pt idx="53">
                  <c:v>188441.13588705377</c:v>
                </c:pt>
                <c:pt idx="54">
                  <c:v>195270.00005519015</c:v>
                </c:pt>
                <c:pt idx="55">
                  <c:v>202204.76112558888</c:v>
                </c:pt>
                <c:pt idx="56">
                  <c:v>209244.36045882164</c:v>
                </c:pt>
                <c:pt idx="57">
                  <c:v>216387.72732859658</c:v>
                </c:pt>
                <c:pt idx="58">
                  <c:v>223633.7792847481</c:v>
                </c:pt>
                <c:pt idx="59">
                  <c:v>230981.42251767387</c:v>
                </c:pt>
                <c:pt idx="60">
                  <c:v>238429.55222399105</c:v>
                </c:pt>
                <c:pt idx="61">
                  <c:v>245977.0529731854</c:v>
                </c:pt>
                <c:pt idx="62">
                  <c:v>253622.79907502857</c:v>
                </c:pt>
                <c:pt idx="63">
                  <c:v>261365.6549475404</c:v>
                </c:pt>
                <c:pt idx="64">
                  <c:v>269204.47548527567</c:v>
                </c:pt>
                <c:pt idx="65">
                  <c:v>277138.10642771638</c:v>
                </c:pt>
                <c:pt idx="66">
                  <c:v>285165.38472755376</c:v>
                </c:pt>
                <c:pt idx="67">
                  <c:v>293285.13891864585</c:v>
                </c:pt>
                <c:pt idx="68">
                  <c:v>301496.18948344077</c:v>
                </c:pt>
                <c:pt idx="69">
                  <c:v>309797.34921965725</c:v>
                </c:pt>
                <c:pt idx="70">
                  <c:v>318187.42360601807</c:v>
                </c:pt>
                <c:pt idx="71">
                  <c:v>326665.21116683562</c:v>
                </c:pt>
                <c:pt idx="72">
                  <c:v>335229.50383525126</c:v>
                </c:pt>
                <c:pt idx="73">
                  <c:v>343879.08731493494</c:v>
                </c:pt>
                <c:pt idx="74">
                  <c:v>352612.74144005444</c:v>
                </c:pt>
                <c:pt idx="75">
                  <c:v>361429.24053332856</c:v>
                </c:pt>
                <c:pt idx="76">
                  <c:v>370327.3537619813</c:v>
                </c:pt>
                <c:pt idx="77">
                  <c:v>379305.8454914199</c:v>
                </c:pt>
                <c:pt idx="78">
                  <c:v>388363.47563646251</c:v>
                </c:pt>
                <c:pt idx="79">
                  <c:v>397499.0000099467</c:v>
                </c:pt>
                <c:pt idx="80">
                  <c:v>406711.17066855414</c:v>
                </c:pt>
                <c:pt idx="81">
                  <c:v>415998.73625569162</c:v>
                </c:pt>
                <c:pt idx="82">
                  <c:v>425360.44234127324</c:v>
                </c:pt>
                <c:pt idx="83">
                  <c:v>434795.0317582537</c:v>
                </c:pt>
                <c:pt idx="84">
                  <c:v>444301.24493576732</c:v>
                </c:pt>
                <c:pt idx="85">
                  <c:v>453877.82022873242</c:v>
                </c:pt>
                <c:pt idx="86">
                  <c:v>463523.49424378615</c:v>
                </c:pt>
                <c:pt idx="87">
                  <c:v>473237.00216141966</c:v>
                </c:pt>
                <c:pt idx="88">
                  <c:v>483017.07805418887</c:v>
                </c:pt>
                <c:pt idx="89">
                  <c:v>492862.45520088123</c:v>
                </c:pt>
                <c:pt idx="90">
                  <c:v>502771.86639652442</c:v>
                </c:pt>
                <c:pt idx="91">
                  <c:v>512744.04425812786</c:v>
                </c:pt>
                <c:pt idx="92">
                  <c:v>522777.72152605391</c:v>
                </c:pt>
                <c:pt idx="93">
                  <c:v>532871.63136092015</c:v>
                </c:pt>
                <c:pt idx="94">
                  <c:v>543024.50763594045</c:v>
                </c:pt>
                <c:pt idx="95">
                  <c:v>553235.08522461716</c:v>
                </c:pt>
                <c:pt idx="96">
                  <c:v>563502.1002837026</c:v>
                </c:pt>
                <c:pt idx="97">
                  <c:v>573824.29053135321</c:v>
                </c:pt>
                <c:pt idx="98">
                  <c:v>584200.39552040573</c:v>
                </c:pt>
                <c:pt idx="99">
                  <c:v>594629.15690670861</c:v>
                </c:pt>
                <c:pt idx="100">
                  <c:v>605109.31871244893</c:v>
                </c:pt>
                <c:pt idx="101">
                  <c:v>615639.62758441956</c:v>
                </c:pt>
                <c:pt idx="102">
                  <c:v>626218.83304717648</c:v>
                </c:pt>
                <c:pt idx="103">
                  <c:v>636845.68775104184</c:v>
                </c:pt>
                <c:pt idx="104">
                  <c:v>647518.94771491224</c:v>
                </c:pt>
                <c:pt idx="105">
                  <c:v>658237.37256383989</c:v>
                </c:pt>
                <c:pt idx="106">
                  <c:v>668999.7257613549</c:v>
                </c:pt>
                <c:pt idx="107">
                  <c:v>679804.77483650588</c:v>
                </c:pt>
                <c:pt idx="108">
                  <c:v>690651.29160559911</c:v>
                </c:pt>
                <c:pt idx="109">
                  <c:v>701538.05238862126</c:v>
                </c:pt>
                <c:pt idx="110">
                  <c:v>712463.83822033613</c:v>
                </c:pt>
                <c:pt idx="111">
                  <c:v>723427.43505605008</c:v>
                </c:pt>
                <c:pt idx="112">
                  <c:v>734427.63397204597</c:v>
                </c:pt>
                <c:pt idx="113">
                  <c:v>745463.23136068857</c:v>
                </c:pt>
                <c:pt idx="114">
                  <c:v>756533.02912021091</c:v>
                </c:pt>
                <c:pt idx="115">
                  <c:v>767635.83483919303</c:v>
                </c:pt>
                <c:pt idx="116">
                  <c:v>778770.46197575075</c:v>
                </c:pt>
                <c:pt idx="117">
                  <c:v>789935.73003145482</c:v>
                </c:pt>
                <c:pt idx="118">
                  <c:v>801130.46472000564</c:v>
                </c:pt>
                <c:pt idx="119">
                  <c:v>812353.49813069159</c:v>
                </c:pt>
                <c:pt idx="120">
                  <c:v>823603.66888666409</c:v>
                </c:pt>
                <c:pt idx="121">
                  <c:v>834879.82229806529</c:v>
                </c:pt>
                <c:pt idx="122">
                  <c:v>846180.81051004701</c:v>
                </c:pt>
                <c:pt idx="123">
                  <c:v>857505.49264572549</c:v>
                </c:pt>
                <c:pt idx="124">
                  <c:v>868852.73494411679</c:v>
                </c:pt>
                <c:pt idx="125">
                  <c:v>880221.41089310229</c:v>
                </c:pt>
                <c:pt idx="126">
                  <c:v>891610.40135747707</c:v>
                </c:pt>
                <c:pt idx="127">
                  <c:v>903018.59470213612</c:v>
                </c:pt>
                <c:pt idx="128">
                  <c:v>914444.88691045623</c:v>
                </c:pt>
                <c:pt idx="129">
                  <c:v>925888.1816979337</c:v>
                </c:pt>
                <c:pt idx="130">
                  <c:v>937347.3906211413</c:v>
                </c:pt>
                <c:pt idx="131">
                  <c:v>948821.43318206992</c:v>
                </c:pt>
                <c:pt idx="132">
                  <c:v>960309.23692792188</c:v>
                </c:pt>
                <c:pt idx="133">
                  <c:v>971809.73754642589</c:v>
                </c:pt>
                <c:pt idx="134">
                  <c:v>983321.87895674503</c:v>
                </c:pt>
                <c:pt idx="135">
                  <c:v>994844.61339605134</c:v>
                </c:pt>
                <c:pt idx="136">
                  <c:v>1006376.9015018418</c:v>
                </c:pt>
                <c:pt idx="137">
                  <c:v>1017917.7123900729</c:v>
                </c:pt>
                <c:pt idx="138">
                  <c:v>1029466.0237291902</c:v>
                </c:pt>
                <c:pt idx="139">
                  <c:v>1041020.8218101352</c:v>
                </c:pt>
                <c:pt idx="140">
                  <c:v>1052581.1016124063</c:v>
                </c:pt>
                <c:pt idx="141">
                  <c:v>1064145.8668662594</c:v>
                </c:pt>
                <c:pt idx="142">
                  <c:v>1075714.1301111262</c:v>
                </c:pt>
                <c:pt idx="143">
                  <c:v>1087284.9127503384</c:v>
                </c:pt>
                <c:pt idx="144">
                  <c:v>1098857.245102237</c:v>
                </c:pt>
                <c:pt idx="145">
                  <c:v>1110430.1664477545</c:v>
                </c:pt>
                <c:pt idx="146">
                  <c:v>1122002.7250745543</c:v>
                </c:pt>
                <c:pt idx="147">
                  <c:v>1133573.9783178114</c:v>
                </c:pt>
                <c:pt idx="148">
                  <c:v>1145142.9925977208</c:v>
                </c:pt>
                <c:pt idx="149">
                  <c:v>1156708.8434538196</c:v>
                </c:pt>
                <c:pt idx="150">
                  <c:v>1168270.6155762081</c:v>
                </c:pt>
                <c:pt idx="151">
                  <c:v>1179827.4028337547</c:v>
                </c:pt>
                <c:pt idx="152">
                  <c:v>1191378.3082993708</c:v>
                </c:pt>
                <c:pt idx="153">
                  <c:v>1202922.4442724416</c:v>
                </c:pt>
                <c:pt idx="154">
                  <c:v>1214458.9322984947</c:v>
                </c:pt>
                <c:pt idx="155">
                  <c:v>1225986.9031861941</c:v>
                </c:pt>
                <c:pt idx="156">
                  <c:v>1237505.4970217396</c:v>
                </c:pt>
                <c:pt idx="157">
                  <c:v>1249013.8631807582</c:v>
                </c:pt>
                <c:pt idx="158">
                  <c:v>1260511.1603377666</c:v>
                </c:pt>
                <c:pt idx="159">
                  <c:v>1271996.5564732885</c:v>
                </c:pt>
                <c:pt idx="160">
                  <c:v>1283469.2288787048</c:v>
                </c:pt>
                <c:pt idx="161">
                  <c:v>1294928.3641589195</c:v>
                </c:pt>
                <c:pt idx="162">
                  <c:v>1306373.158232915</c:v>
                </c:pt>
                <c:pt idx="163">
                  <c:v>1317802.8163322792</c:v>
                </c:pt>
                <c:pt idx="164">
                  <c:v>1329216.5529977777</c:v>
                </c:pt>
                <c:pt idx="165">
                  <c:v>1340613.5920740457</c:v>
                </c:pt>
                <c:pt idx="166">
                  <c:v>1351993.1667024749</c:v>
                </c:pt>
                <c:pt idx="167">
                  <c:v>1363354.5193123671</c:v>
                </c:pt>
                <c:pt idx="168">
                  <c:v>1374696.901610424</c:v>
                </c:pt>
                <c:pt idx="169">
                  <c:v>1386019.574568646</c:v>
                </c:pt>
                <c:pt idx="170">
                  <c:v>1397321.8084107032</c:v>
                </c:pt>
                <c:pt idx="171">
                  <c:v>1408602.8825968499</c:v>
                </c:pt>
                <c:pt idx="172">
                  <c:v>1419862.0858074445</c:v>
                </c:pt>
                <c:pt idx="173">
                  <c:v>1431098.7159251387</c:v>
                </c:pt>
                <c:pt idx="174">
                  <c:v>1442312.0800157981</c:v>
                </c:pt>
                <c:pt idx="175">
                  <c:v>1453501.4943082146</c:v>
                </c:pt>
                <c:pt idx="176">
                  <c:v>1464666.2841726684</c:v>
                </c:pt>
                <c:pt idx="177">
                  <c:v>1475805.7840983949</c:v>
                </c:pt>
                <c:pt idx="178">
                  <c:v>1486919.3376700156</c:v>
                </c:pt>
                <c:pt idx="179">
                  <c:v>1498006.2975429811</c:v>
                </c:pt>
                <c:pt idx="180">
                  <c:v>1509066.025418082</c:v>
                </c:pt>
                <c:pt idx="181">
                  <c:v>1520097.8920150751</c:v>
                </c:pt>
                <c:pt idx="182">
                  <c:v>1531101.2770454728</c:v>
                </c:pt>
                <c:pt idx="183">
                  <c:v>1542075.569184545</c:v>
                </c:pt>
                <c:pt idx="184">
                  <c:v>1553020.1660425735</c:v>
                </c:pt>
                <c:pt idx="185">
                  <c:v>1563934.4741354056</c:v>
                </c:pt>
                <c:pt idx="186">
                  <c:v>1574817.9088543463</c:v>
                </c:pt>
                <c:pt idx="187">
                  <c:v>1585669.8944354272</c:v>
                </c:pt>
                <c:pt idx="188">
                  <c:v>1596489.8639280938</c:v>
                </c:pt>
                <c:pt idx="189">
                  <c:v>1607277.2591633417</c:v>
                </c:pt>
                <c:pt idx="190">
                  <c:v>1618031.5307213406</c:v>
                </c:pt>
                <c:pt idx="191">
                  <c:v>1628752.1378985755</c:v>
                </c:pt>
                <c:pt idx="192">
                  <c:v>1639438.5486745378</c:v>
                </c:pt>
                <c:pt idx="193">
                  <c:v>1650090.2396779952</c:v>
                </c:pt>
                <c:pt idx="194">
                  <c:v>1660706.6961528671</c:v>
                </c:pt>
                <c:pt idx="195">
                  <c:v>1671287.4119237321</c:v>
                </c:pt>
                <c:pt idx="196">
                  <c:v>1681831.8893609934</c:v>
                </c:pt>
                <c:pt idx="197">
                  <c:v>1692339.6393457223</c:v>
                </c:pt>
                <c:pt idx="198">
                  <c:v>1702810.181234204</c:v>
                </c:pt>
                <c:pt idx="199">
                  <c:v>1713243.0428222038</c:v>
                </c:pt>
                <c:pt idx="200">
                  <c:v>1723637.7603089733</c:v>
                </c:pt>
                <c:pt idx="201">
                  <c:v>1733993.878261012</c:v>
                </c:pt>
                <c:pt idx="202">
                  <c:v>1744310.9495756039</c:v>
                </c:pt>
                <c:pt idx="203">
                  <c:v>1754588.5354441381</c:v>
                </c:pt>
                <c:pt idx="204">
                  <c:v>1764826.2053152304</c:v>
                </c:pt>
                <c:pt idx="205">
                  <c:v>1775023.5368576578</c:v>
                </c:pt>
                <c:pt idx="206">
                  <c:v>1785180.1159231132</c:v>
                </c:pt>
                <c:pt idx="207">
                  <c:v>1795295.5365087937</c:v>
                </c:pt>
                <c:pt idx="208">
                  <c:v>1805369.4007198275</c:v>
                </c:pt>
                <c:pt idx="209">
                  <c:v>1815401.318731549</c:v>
                </c:pt>
                <c:pt idx="210">
                  <c:v>1825390.9087516267</c:v>
                </c:pt>
                <c:pt idx="211">
                  <c:v>1835337.7969820497</c:v>
                </c:pt>
                <c:pt idx="212">
                  <c:v>1845241.6175809761</c:v>
                </c:pt>
                <c:pt idx="213">
                  <c:v>1855102.0126244479</c:v>
                </c:pt>
                <c:pt idx="214">
                  <c:v>1864918.6320679733</c:v>
                </c:pt>
                <c:pt idx="215">
                  <c:v>1874691.1337079771</c:v>
                </c:pt>
                <c:pt idx="216">
                  <c:v>1884419.1831431235</c:v>
                </c:pt>
                <c:pt idx="217">
                  <c:v>1894102.4537355059</c:v>
                </c:pt>
                <c:pt idx="218">
                  <c:v>1903740.626571707</c:v>
                </c:pt>
                <c:pt idx="219">
                  <c:v>1913333.3904237256</c:v>
                </c:pt>
                <c:pt idx="220">
                  <c:v>1922880.4417097678</c:v>
                </c:pt>
                <c:pt idx="221">
                  <c:v>1932381.4844549005</c:v>
                </c:pt>
                <c:pt idx="222">
                  <c:v>1941836.2302515642</c:v>
                </c:pt>
                <c:pt idx="223">
                  <c:v>1951244.3982199384</c:v>
                </c:pt>
                <c:pt idx="224">
                  <c:v>1960605.7149681596</c:v>
                </c:pt>
                <c:pt idx="225">
                  <c:v>1969919.9145523824</c:v>
                </c:pt>
                <c:pt idx="226">
                  <c:v>1979186.7384366826</c:v>
                </c:pt>
                <c:pt idx="227">
                  <c:v>1988405.9354527923</c:v>
                </c:pt>
                <c:pt idx="228">
                  <c:v>1997577.2617596663</c:v>
                </c:pt>
                <c:pt idx="229">
                  <c:v>2006700.4808028673</c:v>
                </c:pt>
                <c:pt idx="230">
                  <c:v>2015775.3632737696</c:v>
                </c:pt>
                <c:pt idx="231">
                  <c:v>2024801.6870685702</c:v>
                </c:pt>
                <c:pt idx="232">
                  <c:v>2033779.2372471015</c:v>
                </c:pt>
                <c:pt idx="233">
                  <c:v>2042707.8059914401</c:v>
                </c:pt>
                <c:pt idx="234">
                  <c:v>2051587.1925643017</c:v>
                </c:pt>
                <c:pt idx="235">
                  <c:v>2060417.2032672181</c:v>
                </c:pt>
                <c:pt idx="236">
                  <c:v>2069197.6513984858</c:v>
                </c:pt>
                <c:pt idx="237">
                  <c:v>2077928.3572108804</c:v>
                </c:pt>
                <c:pt idx="238">
                  <c:v>2086609.1478691308</c:v>
                </c:pt>
                <c:pt idx="239">
                  <c:v>2095239.8574071429</c:v>
                </c:pt>
                <c:pt idx="240">
                  <c:v>2103820.3266849671</c:v>
                </c:pt>
                <c:pt idx="241">
                  <c:v>2112350.4033455034</c:v>
                </c:pt>
                <c:pt idx="242">
                  <c:v>2120829.9417709354</c:v>
                </c:pt>
                <c:pt idx="243">
                  <c:v>2129258.8030388877</c:v>
                </c:pt>
                <c:pt idx="244">
                  <c:v>2137636.8548782975</c:v>
                </c:pt>
                <c:pt idx="245">
                  <c:v>2145963.9716249984</c:v>
                </c:pt>
                <c:pt idx="246">
                  <c:v>2154240.0341770034</c:v>
                </c:pt>
                <c:pt idx="247">
                  <c:v>2162464.929949489</c:v>
                </c:pt>
                <c:pt idx="248">
                  <c:v>2170638.5528294668</c:v>
                </c:pt>
                <c:pt idx="249">
                  <c:v>2178760.8031301433</c:v>
                </c:pt>
                <c:pt idx="250">
                  <c:v>2186831.5875449572</c:v>
                </c:pt>
                <c:pt idx="251">
                  <c:v>2194850.8191012926</c:v>
                </c:pt>
                <c:pt idx="252">
                  <c:v>2202818.4171138653</c:v>
                </c:pt>
                <c:pt idx="253">
                  <c:v>2210734.3071377692</c:v>
                </c:pt>
                <c:pt idx="254">
                  <c:v>2218598.4209211897</c:v>
                </c:pt>
                <c:pt idx="255">
                  <c:v>2226410.6963577736</c:v>
                </c:pt>
                <c:pt idx="256">
                  <c:v>2234171.0774386525</c:v>
                </c:pt>
                <c:pt idx="257">
                  <c:v>2241879.5142041184</c:v>
                </c:pt>
                <c:pt idx="258">
                  <c:v>2249535.9626949509</c:v>
                </c:pt>
                <c:pt idx="259">
                  <c:v>2257140.3849033876</c:v>
                </c:pt>
                <c:pt idx="260">
                  <c:v>2264692.7487237426</c:v>
                </c:pt>
                <c:pt idx="261">
                  <c:v>2272193.0279026669</c:v>
                </c:pt>
                <c:pt idx="262">
                  <c:v>2279641.2019890528</c:v>
                </c:pt>
                <c:pt idx="263">
                  <c:v>2287037.2562835794</c:v>
                </c:pt>
                <c:pt idx="264">
                  <c:v>2294381.1817879002</c:v>
                </c:pt>
                <c:pt idx="265">
                  <c:v>2301672.9751534741</c:v>
                </c:pt>
                <c:pt idx="266">
                  <c:v>2308912.6386300377</c:v>
                </c:pt>
                <c:pt idx="267">
                  <c:v>2316100.1800137213</c:v>
                </c:pt>
                <c:pt idx="268">
                  <c:v>2323235.6125948122</c:v>
                </c:pt>
                <c:pt idx="269">
                  <c:v>2330318.9551051632</c:v>
                </c:pt>
                <c:pt idx="270">
                  <c:v>2337350.2316652522</c:v>
                </c:pt>
                <c:pt idx="271">
                  <c:v>2344329.4717308939</c:v>
                </c:pt>
                <c:pt idx="272">
                  <c:v>2351256.7100396063</c:v>
                </c:pt>
                <c:pt idx="273">
                  <c:v>2358131.9865566362</c:v>
                </c:pt>
                <c:pt idx="274">
                  <c:v>2364955.3464206504</c:v>
                </c:pt>
                <c:pt idx="275">
                  <c:v>2371726.83988909</c:v>
                </c:pt>
                <c:pt idx="276">
                  <c:v>2378446.5222832016</c:v>
                </c:pt>
                <c:pt idx="277">
                  <c:v>2385114.4539327421</c:v>
                </c:pt>
                <c:pt idx="278">
                  <c:v>2391730.700120369</c:v>
                </c:pt>
                <c:pt idx="279">
                  <c:v>2398295.3310257192</c:v>
                </c:pt>
                <c:pt idx="280">
                  <c:v>2404808.4216691814</c:v>
                </c:pt>
                <c:pt idx="281">
                  <c:v>2411270.0518553732</c:v>
                </c:pt>
                <c:pt idx="282">
                  <c:v>2417680.3061163248</c:v>
                </c:pt>
                <c:pt idx="283">
                  <c:v>2424039.2736543808</c:v>
                </c:pt>
                <c:pt idx="284">
                  <c:v>2430347.048284824</c:v>
                </c:pt>
                <c:pt idx="285">
                  <c:v>2436603.7283782335</c:v>
                </c:pt>
                <c:pt idx="286">
                  <c:v>2442809.4168025823</c:v>
                </c:pt>
                <c:pt idx="287">
                  <c:v>2448964.2208650839</c:v>
                </c:pt>
                <c:pt idx="288">
                  <c:v>2455068.2522537974</c:v>
                </c:pt>
                <c:pt idx="289">
                  <c:v>2461121.6269789999</c:v>
                </c:pt>
                <c:pt idx="290">
                  <c:v>2467124.4653143361</c:v>
                </c:pt>
                <c:pt idx="291">
                  <c:v>2473076.8917377545</c:v>
                </c:pt>
                <c:pt idx="292">
                  <c:v>2478979.034872239</c:v>
                </c:pt>
                <c:pt idx="293">
                  <c:v>2484831.0274263513</c:v>
                </c:pt>
                <c:pt idx="294">
                  <c:v>2490633.0061345883</c:v>
                </c:pt>
                <c:pt idx="295">
                  <c:v>2496385.1116975672</c:v>
                </c:pt>
                <c:pt idx="296">
                  <c:v>2502087.4887220529</c:v>
                </c:pt>
                <c:pt idx="297">
                  <c:v>2507740.2856608345</c:v>
                </c:pt>
                <c:pt idx="298">
                  <c:v>2513343.654752464</c:v>
                </c:pt>
                <c:pt idx="299">
                  <c:v>2518897.7519608685</c:v>
                </c:pt>
                <c:pt idx="300">
                  <c:v>2524402.7369148484</c:v>
                </c:pt>
                <c:pt idx="301">
                  <c:v>2529858.7728474727</c:v>
                </c:pt>
                <c:pt idx="302">
                  <c:v>2535266.0265353825</c:v>
                </c:pt>
                <c:pt idx="303">
                  <c:v>2540624.6682380177</c:v>
                </c:pt>
                <c:pt idx="304">
                  <c:v>2545934.8716367763</c:v>
                </c:pt>
                <c:pt idx="305">
                  <c:v>2551196.8137741196</c:v>
                </c:pt>
                <c:pt idx="306">
                  <c:v>2556410.6749926372</c:v>
                </c:pt>
                <c:pt idx="307">
                  <c:v>2561576.6388740814</c:v>
                </c:pt>
                <c:pt idx="308">
                  <c:v>2566694.892178386</c:v>
                </c:pt>
                <c:pt idx="309">
                  <c:v>2571765.6247826829</c:v>
                </c:pt>
                <c:pt idx="310">
                  <c:v>2576789.0296203247</c:v>
                </c:pt>
                <c:pt idx="311">
                  <c:v>2581765.3026199327</c:v>
                </c:pt>
                <c:pt idx="312">
                  <c:v>2586694.6426444775</c:v>
                </c:pt>
                <c:pt idx="313">
                  <c:v>2591577.2514304076</c:v>
                </c:pt>
                <c:pt idx="314">
                  <c:v>2596413.3335268381</c:v>
                </c:pt>
                <c:pt idx="315">
                  <c:v>2601203.0962348138</c:v>
                </c:pt>
                <c:pt idx="316">
                  <c:v>2605946.7495466569</c:v>
                </c:pt>
                <c:pt idx="317">
                  <c:v>2610644.5060854135</c:v>
                </c:pt>
                <c:pt idx="318">
                  <c:v>2615296.5810444131</c:v>
                </c:pt>
                <c:pt idx="319">
                  <c:v>2619903.1921269502</c:v>
                </c:pt>
                <c:pt idx="320">
                  <c:v>2624464.5594861046</c:v>
                </c:pt>
                <c:pt idx="321">
                  <c:v>2628980.9056647108</c:v>
                </c:pt>
                <c:pt idx="322">
                  <c:v>2633452.4555354873</c:v>
                </c:pt>
                <c:pt idx="323">
                  <c:v>2637879.4362413445</c:v>
                </c:pt>
                <c:pt idx="324">
                  <c:v>2642262.0771358749</c:v>
                </c:pt>
                <c:pt idx="325">
                  <c:v>2646600.6097240448</c:v>
                </c:pt>
                <c:pt idx="326">
                  <c:v>2650895.2676030966</c:v>
                </c:pt>
                <c:pt idx="327">
                  <c:v>2655146.2864036751</c:v>
                </c:pt>
                <c:pt idx="328">
                  <c:v>2659353.9037311869</c:v>
                </c:pt>
                <c:pt idx="329">
                  <c:v>2663518.3591074082</c:v>
                </c:pt>
                <c:pt idx="330">
                  <c:v>2667639.8939123508</c:v>
                </c:pt>
                <c:pt idx="331">
                  <c:v>2671718.7513263975</c:v>
                </c:pt>
                <c:pt idx="332">
                  <c:v>2675755.176272721</c:v>
                </c:pt>
                <c:pt idx="333">
                  <c:v>2679749.4153599911</c:v>
                </c:pt>
                <c:pt idx="334">
                  <c:v>2683701.7168253907</c:v>
                </c:pt>
                <c:pt idx="335">
                  <c:v>2687612.3304779418</c:v>
                </c:pt>
                <c:pt idx="336">
                  <c:v>2691481.5076421597</c:v>
                </c:pt>
                <c:pt idx="337">
                  <c:v>2695309.501102041</c:v>
                </c:pt>
                <c:pt idx="338">
                  <c:v>2699096.5650453991</c:v>
                </c:pt>
                <c:pt idx="339">
                  <c:v>2702842.9550085543</c:v>
                </c:pt>
                <c:pt idx="340">
                  <c:v>2706548.9278213917</c:v>
                </c:pt>
                <c:pt idx="341">
                  <c:v>2710214.7415527934</c:v>
                </c:pt>
                <c:pt idx="342">
                  <c:v>2713840.6554564573</c:v>
                </c:pt>
                <c:pt idx="343">
                  <c:v>2717426.9299171106</c:v>
                </c:pt>
                <c:pt idx="344">
                  <c:v>2720973.8263971265</c:v>
                </c:pt>
                <c:pt idx="345">
                  <c:v>2724481.6073835548</c:v>
                </c:pt>
                <c:pt idx="346">
                  <c:v>2727950.5363355731</c:v>
                </c:pt>
                <c:pt idx="347">
                  <c:v>2731380.8776323693</c:v>
                </c:pt>
                <c:pt idx="348">
                  <c:v>2734772.8965214617</c:v>
                </c:pt>
                <c:pt idx="349">
                  <c:v>2738126.8590674652</c:v>
                </c:pt>
                <c:pt idx="350">
                  <c:v>2741443.032101314</c:v>
                </c:pt>
                <c:pt idx="351">
                  <c:v>2744721.6831699442</c:v>
                </c:pt>
                <c:pt idx="352">
                  <c:v>2747963.0804864448</c:v>
                </c:pt>
                <c:pt idx="353">
                  <c:v>2751167.4928806885</c:v>
                </c:pt>
                <c:pt idx="354">
                  <c:v>2754335.1897504437</c:v>
                </c:pt>
                <c:pt idx="355">
                  <c:v>2757466.4410129772</c:v>
                </c:pt>
                <c:pt idx="356">
                  <c:v>2760561.5170571529</c:v>
                </c:pt>
                <c:pt idx="357">
                  <c:v>2763620.6886960352</c:v>
                </c:pt>
                <c:pt idx="358">
                  <c:v>2766644.2271199981</c:v>
                </c:pt>
                <c:pt idx="359">
                  <c:v>2769632.4038503524</c:v>
                </c:pt>
                <c:pt idx="360">
                  <c:v>2772585.4906934905</c:v>
                </c:pt>
                <c:pt idx="361">
                  <c:v>2775503.7596955579</c:v>
                </c:pt>
                <c:pt idx="362">
                  <c:v>2778387.4830976548</c:v>
                </c:pt>
                <c:pt idx="363">
                  <c:v>2781236.9332915735</c:v>
                </c:pt>
                <c:pt idx="364">
                  <c:v>2784052.3827760746</c:v>
                </c:pt>
                <c:pt idx="365">
                  <c:v>2786834.1041137092</c:v>
                </c:pt>
                <c:pt idx="366">
                  <c:v>2789582.3698881874</c:v>
                </c:pt>
                <c:pt idx="367">
                  <c:v>2792297.4526623022</c:v>
                </c:pt>
                <c:pt idx="368">
                  <c:v>2794979.6249364051</c:v>
                </c:pt>
                <c:pt idx="369">
                  <c:v>2797629.1591074462</c:v>
                </c:pt>
                <c:pt idx="370">
                  <c:v>2800246.3274285728</c:v>
                </c:pt>
                <c:pt idx="371">
                  <c:v>2802831.4019692959</c:v>
                </c:pt>
                <c:pt idx="372">
                  <c:v>2805384.6545762243</c:v>
                </c:pt>
                <c:pt idx="373">
                  <c:v>2807906.3568343702</c:v>
                </c:pt>
                <c:pt idx="374">
                  <c:v>2810396.7800290273</c:v>
                </c:pt>
                <c:pt idx="375">
                  <c:v>2812856.1951082256</c:v>
                </c:pt>
                <c:pt idx="376">
                  <c:v>2815284.8726457632</c:v>
                </c:pt>
                <c:pt idx="377">
                  <c:v>2817683.0828048154</c:v>
                </c:pt>
                <c:pt idx="378">
                  <c:v>2820051.0953021264</c:v>
                </c:pt>
                <c:pt idx="379">
                  <c:v>2822389.1793727824</c:v>
                </c:pt>
                <c:pt idx="380">
                  <c:v>2824697.6037355661</c:v>
                </c:pt>
                <c:pt idx="381">
                  <c:v>2826976.6365588973</c:v>
                </c:pt>
                <c:pt idx="382">
                  <c:v>2829226.5454273541</c:v>
                </c:pt>
                <c:pt idx="383">
                  <c:v>2831447.5973087824</c:v>
                </c:pt>
                <c:pt idx="384">
                  <c:v>2833640.0585219893</c:v>
                </c:pt>
                <c:pt idx="385">
                  <c:v>2835804.1947050211</c:v>
                </c:pt>
                <c:pt idx="386">
                  <c:v>2837940.2707840255</c:v>
                </c:pt>
                <c:pt idx="387">
                  <c:v>2840048.5509427008</c:v>
                </c:pt>
                <c:pt idx="388">
                  <c:v>2842129.2985923258</c:v>
                </c:pt>
                <c:pt idx="389">
                  <c:v>2844182.7763423771</c:v>
                </c:pt>
                <c:pt idx="390">
                  <c:v>2846209.2459717258</c:v>
                </c:pt>
                <c:pt idx="391">
                  <c:v>2848208.9684004164</c:v>
                </c:pt>
                <c:pt idx="392">
                  <c:v>2850182.2036620276</c:v>
                </c:pt>
                <c:pt idx="393">
                  <c:v>2852129.2108766101</c:v>
                </c:pt>
                <c:pt idx="394">
                  <c:v>2854050.248224203</c:v>
                </c:pt>
                <c:pt idx="395">
                  <c:v>2855945.5729189245</c:v>
                </c:pt>
                <c:pt idx="396">
                  <c:v>2857815.4411836388</c:v>
                </c:pt>
                <c:pt idx="397">
                  <c:v>2859660.1082251924</c:v>
                </c:pt>
                <c:pt idx="398">
                  <c:v>2861479.8282102221</c:v>
                </c:pt>
                <c:pt idx="399">
                  <c:v>2863274.8542415272</c:v>
                </c:pt>
                <c:pt idx="400">
                  <c:v>2865045.4383350112</c:v>
                </c:pt>
                <c:pt idx="401">
                  <c:v>2866791.8313971809</c:v>
                </c:pt>
                <c:pt idx="402">
                  <c:v>2868514.2832032093</c:v>
                </c:pt>
                <c:pt idx="403">
                  <c:v>2870213.0423755506</c:v>
                </c:pt>
                <c:pt idx="404">
                  <c:v>2871888.3563631144</c:v>
                </c:pt>
                <c:pt idx="405">
                  <c:v>2873540.4714209842</c:v>
                </c:pt>
                <c:pt idx="406">
                  <c:v>2875169.6325906888</c:v>
                </c:pt>
                <c:pt idx="407">
                  <c:v>2876776.083681012</c:v>
                </c:pt>
                <c:pt idx="408">
                  <c:v>2878360.0672493484</c:v>
                </c:pt>
                <c:pt idx="409">
                  <c:v>2879921.824583591</c:v>
                </c:pt>
                <c:pt idx="410">
                  <c:v>2881461.5956845549</c:v>
                </c:pt>
                <c:pt idx="411">
                  <c:v>2882979.6192489276</c:v>
                </c:pt>
                <c:pt idx="412">
                  <c:v>2884476.132652747</c:v>
                </c:pt>
                <c:pt idx="413">
                  <c:v>2885951.3719353983</c:v>
                </c:pt>
                <c:pt idx="414">
                  <c:v>2887405.5717841303</c:v>
                </c:pt>
                <c:pt idx="415">
                  <c:v>2888838.9655190818</c:v>
                </c:pt>
                <c:pt idx="416">
                  <c:v>2890251.785078818</c:v>
                </c:pt>
                <c:pt idx="417">
                  <c:v>2891644.2610063707</c:v>
                </c:pt>
                <c:pt idx="418">
                  <c:v>2893016.6224357774</c:v>
                </c:pt>
                <c:pt idx="419">
                  <c:v>2894369.0970791169</c:v>
                </c:pt>
                <c:pt idx="420">
                  <c:v>2895701.9112140322</c:v>
                </c:pt>
                <c:pt idx="421">
                  <c:v>2897015.2896717424</c:v>
                </c:pt>
                <c:pt idx="422">
                  <c:v>2898309.4558255323</c:v>
                </c:pt>
                <c:pt idx="423">
                  <c:v>2899584.6315797199</c:v>
                </c:pt>
                <c:pt idx="424">
                  <c:v>2900841.0373590947</c:v>
                </c:pt>
                <c:pt idx="425">
                  <c:v>2902078.8920988189</c:v>
                </c:pt>
                <c:pt idx="426">
                  <c:v>2903298.413234794</c:v>
                </c:pt>
                <c:pt idx="427">
                  <c:v>2904499.8166944794</c:v>
                </c:pt>
                <c:pt idx="428">
                  <c:v>2905683.3168881638</c:v>
                </c:pt>
                <c:pt idx="429">
                  <c:v>2906849.1267006798</c:v>
                </c:pt>
                <c:pt idx="430">
                  <c:v>2907997.4574835603</c:v>
                </c:pt>
                <c:pt idx="431">
                  <c:v>2909128.5190476291</c:v>
                </c:pt>
                <c:pt idx="432">
                  <c:v>2910242.5196560207</c:v>
                </c:pt>
                <c:pt idx="433">
                  <c:v>2911339.6660176227</c:v>
                </c:pt>
                <c:pt idx="434">
                  <c:v>2912420.1632809397</c:v>
                </c:pt>
                <c:pt idx="435">
                  <c:v>2913484.2150283665</c:v>
                </c:pt>
                <c:pt idx="436">
                  <c:v>2914532.0232708729</c:v>
                </c:pt>
                <c:pt idx="437">
                  <c:v>2915563.7884430862</c:v>
                </c:pt>
                <c:pt idx="438">
                  <c:v>2916579.709398773</c:v>
                </c:pt>
                <c:pt idx="439">
                  <c:v>2917579.9834067109</c:v>
                </c:pt>
                <c:pt idx="440">
                  <c:v>2918564.8061469458</c:v>
                </c:pt>
                <c:pt idx="441">
                  <c:v>2919534.3717074273</c:v>
                </c:pt>
                <c:pt idx="442">
                  <c:v>2920488.8725810205</c:v>
                </c:pt>
                <c:pt idx="443">
                  <c:v>2921428.4996628836</c:v>
                </c:pt>
                <c:pt idx="444">
                  <c:v>2922353.4422482103</c:v>
                </c:pt>
                <c:pt idx="445">
                  <c:v>2923263.8880303274</c:v>
                </c:pt>
                <c:pt idx="446">
                  <c:v>2924160.023099144</c:v>
                </c:pt>
                <c:pt idx="447">
                  <c:v>2925042.0319399475</c:v>
                </c:pt>
                <c:pt idx="448">
                  <c:v>2925910.0974325379</c:v>
                </c:pt>
                <c:pt idx="449">
                  <c:v>2926764.4008506979</c:v>
                </c:pt>
                <c:pt idx="450">
                  <c:v>2927605.1218619887</c:v>
                </c:pt>
                <c:pt idx="451">
                  <c:v>2928432.4385278719</c:v>
                </c:pt>
                <c:pt idx="452">
                  <c:v>2929246.5273041469</c:v>
                </c:pt>
                <c:pt idx="453">
                  <c:v>2930047.5630416996</c:v>
                </c:pt>
                <c:pt idx="454">
                  <c:v>2930835.7189875571</c:v>
                </c:pt>
                <c:pt idx="455">
                  <c:v>2931611.1667862432</c:v>
                </c:pt>
                <c:pt idx="456">
                  <c:v>2932374.0764814266</c:v>
                </c:pt>
                <c:pt idx="457">
                  <c:v>2933124.6165178604</c:v>
                </c:pt>
                <c:pt idx="458">
                  <c:v>2933862.9537436026</c:v>
                </c:pt>
                <c:pt idx="459">
                  <c:v>2934589.2534125149</c:v>
                </c:pt>
                <c:pt idx="460">
                  <c:v>2935303.6791870357</c:v>
                </c:pt>
                <c:pt idx="461">
                  <c:v>2936006.3931412152</c:v>
                </c:pt>
                <c:pt idx="462">
                  <c:v>2936697.5557640167</c:v>
                </c:pt>
                <c:pt idx="463">
                  <c:v>2937377.3259628685</c:v>
                </c:pt>
                <c:pt idx="464">
                  <c:v>2938045.8610674692</c:v>
                </c:pt>
                <c:pt idx="465">
                  <c:v>2938703.316833836</c:v>
                </c:pt>
                <c:pt idx="466">
                  <c:v>2939349.8474485925</c:v>
                </c:pt>
                <c:pt idx="467">
                  <c:v>2939985.6055334904</c:v>
                </c:pt>
                <c:pt idx="468">
                  <c:v>2940610.7421501591</c:v>
                </c:pt>
                <c:pt idx="469">
                  <c:v>2941225.406805079</c:v>
                </c:pt>
                <c:pt idx="470">
                  <c:v>2941829.7474547718</c:v>
                </c:pt>
                <c:pt idx="471">
                  <c:v>2942423.910511204</c:v>
                </c:pt>
                <c:pt idx="472">
                  <c:v>2943008.0408473965</c:v>
                </c:pt>
                <c:pt idx="473">
                  <c:v>2943582.2818032373</c:v>
                </c:pt>
                <c:pt idx="474">
                  <c:v>2944146.775191491</c:v>
                </c:pt>
                <c:pt idx="475">
                  <c:v>2944701.6613040003</c:v>
                </c:pt>
                <c:pt idx="476">
                  <c:v>2945247.0789180733</c:v>
                </c:pt>
                <c:pt idx="477">
                  <c:v>2945783.1653030524</c:v>
                </c:pt>
                <c:pt idx="478">
                  <c:v>2946310.0562270619</c:v>
                </c:pt>
                <c:pt idx="479">
                  <c:v>2946827.8859639242</c:v>
                </c:pt>
                <c:pt idx="480">
                  <c:v>2947336.7873002463</c:v>
                </c:pt>
                <c:pt idx="481">
                  <c:v>2947836.8915426661</c:v>
                </c:pt>
                <c:pt idx="482">
                  <c:v>2948328.3285252554</c:v>
                </c:pt>
                <c:pt idx="483">
                  <c:v>2948811.2266170774</c:v>
                </c:pt>
                <c:pt idx="484">
                  <c:v>2949285.7127298904</c:v>
                </c:pt>
                <c:pt idx="485">
                  <c:v>2949751.912325995</c:v>
                </c:pt>
                <c:pt idx="486">
                  <c:v>2950209.9494262198</c:v>
                </c:pt>
                <c:pt idx="487">
                  <c:v>2950659.9466180406</c:v>
                </c:pt>
                <c:pt idx="488">
                  <c:v>2951102.0250638286</c:v>
                </c:pt>
                <c:pt idx="489">
                  <c:v>2951536.3045092248</c:v>
                </c:pt>
                <c:pt idx="490">
                  <c:v>2951962.9032916343</c:v>
                </c:pt>
                <c:pt idx="491">
                  <c:v>2952381.9383488344</c:v>
                </c:pt>
                <c:pt idx="492">
                  <c:v>2952793.5252276985</c:v>
                </c:pt>
                <c:pt idx="493">
                  <c:v>2953197.7780930237</c:v>
                </c:pt>
                <c:pt idx="494">
                  <c:v>2953594.8097364642</c:v>
                </c:pt>
                <c:pt idx="495">
                  <c:v>2953984.7315855622</c:v>
                </c:pt>
                <c:pt idx="496">
                  <c:v>2954367.6537128752</c:v>
                </c:pt>
                <c:pt idx="497">
                  <c:v>2954743.6848451919</c:v>
                </c:pt>
                <c:pt idx="498">
                  <c:v>2955112.9323728383</c:v>
                </c:pt>
                <c:pt idx="499">
                  <c:v>2955475.5023590634</c:v>
                </c:pt>
                <c:pt idx="500">
                  <c:v>2955831.4995495067</c:v>
                </c:pt>
                <c:pt idx="501">
                  <c:v>2956181.0273817396</c:v>
                </c:pt>
                <c:pt idx="502">
                  <c:v>2956524.1879948769</c:v>
                </c:pt>
                <c:pt idx="503">
                  <c:v>2956861.0822392595</c:v>
                </c:pt>
                <c:pt idx="504">
                  <c:v>2957191.8096861984</c:v>
                </c:pt>
                <c:pt idx="505">
                  <c:v>2957516.4686377789</c:v>
                </c:pt>
                <c:pt idx="506">
                  <c:v>2957835.1561367246</c:v>
                </c:pt>
                <c:pt idx="507">
                  <c:v>2958147.9679763112</c:v>
                </c:pt>
                <c:pt idx="508">
                  <c:v>2958454.9987103315</c:v>
                </c:pt>
                <c:pt idx="509">
                  <c:v>2958756.3416631087</c:v>
                </c:pt>
                <c:pt idx="510">
                  <c:v>2959052.0889395499</c:v>
                </c:pt>
                <c:pt idx="511">
                  <c:v>2959342.3314352408</c:v>
                </c:pt>
                <c:pt idx="512">
                  <c:v>2959627.1588465781</c:v>
                </c:pt>
                <c:pt idx="513">
                  <c:v>2959906.6596809328</c:v>
                </c:pt>
                <c:pt idx="514">
                  <c:v>2960180.9212668468</c:v>
                </c:pt>
                <c:pt idx="515">
                  <c:v>2960450.0297642536</c:v>
                </c:pt>
                <c:pt idx="516">
                  <c:v>2960714.0701747262</c:v>
                </c:pt>
                <c:pt idx="517">
                  <c:v>2960973.1263517444</c:v>
                </c:pt>
                <c:pt idx="518">
                  <c:v>2961227.2810109803</c:v>
                </c:pt>
                <c:pt idx="519">
                  <c:v>2961476.6157406005</c:v>
                </c:pt>
                <c:pt idx="520">
                  <c:v>2961721.2110115816</c:v>
                </c:pt>
                <c:pt idx="521">
                  <c:v>2961961.1461880323</c:v>
                </c:pt>
                <c:pt idx="522">
                  <c:v>2962196.4995375266</c:v>
                </c:pt>
                <c:pt idx="523">
                  <c:v>2962427.3482414405</c:v>
                </c:pt>
                <c:pt idx="524">
                  <c:v>2962653.7684052885</c:v>
                </c:pt>
                <c:pt idx="525">
                  <c:v>2962875.8350690631</c:v>
                </c:pt>
                <c:pt idx="526">
                  <c:v>2963093.622217569</c:v>
                </c:pt>
                <c:pt idx="527">
                  <c:v>2963307.2027907535</c:v>
                </c:pt>
                <c:pt idx="528">
                  <c:v>2963516.6486940272</c:v>
                </c:pt>
                <c:pt idx="529">
                  <c:v>2963722.0308085773</c:v>
                </c:pt>
                <c:pt idx="530">
                  <c:v>2963923.4190016654</c:v>
                </c:pt>
                <c:pt idx="531">
                  <c:v>2964120.8821369135</c:v>
                </c:pt>
                <c:pt idx="532">
                  <c:v>2964314.4880845719</c:v>
                </c:pt>
                <c:pt idx="533">
                  <c:v>2964504.3037317693</c:v>
                </c:pt>
                <c:pt idx="534">
                  <c:v>2964690.3949927404</c:v>
                </c:pt>
                <c:pt idx="535">
                  <c:v>2964872.8268190315</c:v>
                </c:pt>
                <c:pt idx="536">
                  <c:v>2965051.6632096828</c:v>
                </c:pt>
                <c:pt idx="537">
                  <c:v>2965226.9672213802</c:v>
                </c:pt>
                <c:pt idx="538">
                  <c:v>2965398.8009785824</c:v>
                </c:pt>
                <c:pt idx="539">
                  <c:v>2965567.2256836141</c:v>
                </c:pt>
                <c:pt idx="540">
                  <c:v>2965732.3016267302</c:v>
                </c:pt>
                <c:pt idx="541">
                  <c:v>2965894.0881961435</c:v>
                </c:pt>
                <c:pt idx="542">
                  <c:v>2966052.6438880176</c:v>
                </c:pt>
                <c:pt idx="543">
                  <c:v>2966208.0263164225</c:v>
                </c:pt>
                <c:pt idx="544">
                  <c:v>2966360.2922232519</c:v>
                </c:pt>
                <c:pt idx="545">
                  <c:v>2966509.4974880982</c:v>
                </c:pt>
                <c:pt idx="546">
                  <c:v>2966655.6971380888</c:v>
                </c:pt>
                <c:pt idx="547">
                  <c:v>2966798.9453576752</c:v>
                </c:pt>
                <c:pt idx="548">
                  <c:v>2966939.29549838</c:v>
                </c:pt>
                <c:pt idx="549">
                  <c:v>2967076.8000884969</c:v>
                </c:pt>
                <c:pt idx="550">
                  <c:v>2967211.5108427433</c:v>
                </c:pt>
                <c:pt idx="551">
                  <c:v>2967343.4786718637</c:v>
                </c:pt>
                <c:pt idx="552">
                  <c:v>2967472.7536921836</c:v>
                </c:pt>
                <c:pt idx="553">
                  <c:v>2967599.3852351122</c:v>
                </c:pt>
                <c:pt idx="554">
                  <c:v>2967723.4218565915</c:v>
                </c:pt>
                <c:pt idx="555">
                  <c:v>2967844.9113464952</c:v>
                </c:pt>
                <c:pt idx="556">
                  <c:v>2967963.9007379678</c:v>
                </c:pt>
                <c:pt idx="557">
                  <c:v>2968080.4363167142</c:v>
                </c:pt>
                <c:pt idx="558">
                  <c:v>2968194.5636302261</c:v>
                </c:pt>
                <c:pt idx="559">
                  <c:v>2968306.3274969575</c:v>
                </c:pt>
                <c:pt idx="560">
                  <c:v>2968415.7720154366</c:v>
                </c:pt>
                <c:pt idx="561">
                  <c:v>2968522.9405733203</c:v>
                </c:pt>
                <c:pt idx="562">
                  <c:v>2968627.8758563893</c:v>
                </c:pt>
                <c:pt idx="563">
                  <c:v>2968730.6198574803</c:v>
                </c:pt>
                <c:pt idx="564">
                  <c:v>2968831.2138853576</c:v>
                </c:pt>
                <c:pt idx="565">
                  <c:v>2968929.6985735218</c:v>
                </c:pt>
                <c:pt idx="566">
                  <c:v>2969026.1138889543</c:v>
                </c:pt>
                <c:pt idx="567">
                  <c:v>2969120.4991408004</c:v>
                </c:pt>
                <c:pt idx="568">
                  <c:v>2969212.8929889849</c:v>
                </c:pt>
                <c:pt idx="569">
                  <c:v>2969303.3334527635</c:v>
                </c:pt>
                <c:pt idx="570">
                  <c:v>2969391.8579192096</c:v>
                </c:pt>
                <c:pt idx="571">
                  <c:v>2969478.5031516324</c:v>
                </c:pt>
                <c:pt idx="572">
                  <c:v>2969563.3052979307</c:v>
                </c:pt>
                <c:pt idx="573">
                  <c:v>2969646.2998988768</c:v>
                </c:pt>
                <c:pt idx="574">
                  <c:v>2969727.5218963353</c:v>
                </c:pt>
                <c:pt idx="575">
                  <c:v>2969807.0056414101</c:v>
                </c:pt>
                <c:pt idx="576">
                  <c:v>2969884.7849025275</c:v>
                </c:pt>
                <c:pt idx="577">
                  <c:v>2969960.8928734455</c:v>
                </c:pt>
                <c:pt idx="578">
                  <c:v>2970035.3621811974</c:v>
                </c:pt>
                <c:pt idx="579">
                  <c:v>2970108.2248939634</c:v>
                </c:pt>
                <c:pt idx="580">
                  <c:v>2970179.512528873</c:v>
                </c:pt>
                <c:pt idx="581">
                  <c:v>2970249.2560597374</c:v>
                </c:pt>
                <c:pt idx="582">
                  <c:v>2970317.4859247124</c:v>
                </c:pt>
                <c:pt idx="583">
                  <c:v>2970384.2320338879</c:v>
                </c:pt>
                <c:pt idx="584">
                  <c:v>2970449.5237768092</c:v>
                </c:pt>
                <c:pt idx="585">
                  <c:v>2970513.3900299268</c:v>
                </c:pt>
                <c:pt idx="586">
                  <c:v>2970575.8591639735</c:v>
                </c:pt>
                <c:pt idx="587">
                  <c:v>2970636.9590512719</c:v>
                </c:pt>
                <c:pt idx="588">
                  <c:v>2970696.7170729702</c:v>
                </c:pt>
                <c:pt idx="589">
                  <c:v>2970755.1601262055</c:v>
                </c:pt>
                <c:pt idx="590">
                  <c:v>2970812.3146311976</c:v>
                </c:pt>
                <c:pt idx="591">
                  <c:v>2970868.2065382698</c:v>
                </c:pt>
                <c:pt idx="592">
                  <c:v>2970922.8613347979</c:v>
                </c:pt>
                <c:pt idx="593">
                  <c:v>2970976.3040520903</c:v>
                </c:pt>
                <c:pt idx="594">
                  <c:v>2971028.5592721924</c:v>
                </c:pt>
                <c:pt idx="595">
                  <c:v>2971079.6511346241</c:v>
                </c:pt>
                <c:pt idx="596">
                  <c:v>2971129.6033430425</c:v>
                </c:pt>
                <c:pt idx="597">
                  <c:v>2971178.4391718353</c:v>
                </c:pt>
                <c:pt idx="598">
                  <c:v>2971226.1814726428</c:v>
                </c:pt>
                <c:pt idx="599">
                  <c:v>2971272.8526808075</c:v>
                </c:pt>
                <c:pt idx="600">
                  <c:v>2971318.4748217557</c:v>
                </c:pt>
                <c:pt idx="601">
                  <c:v>2971363.0695173047</c:v>
                </c:pt>
                <c:pt idx="602">
                  <c:v>2971406.6579919034</c:v>
                </c:pt>
                <c:pt idx="603">
                  <c:v>2971449.2610787996</c:v>
                </c:pt>
                <c:pt idx="604">
                  <c:v>2971490.8992261379</c:v>
                </c:pt>
                <c:pt idx="605">
                  <c:v>2971531.5925029884</c:v>
                </c:pt>
                <c:pt idx="606">
                  <c:v>2971571.3606053055</c:v>
                </c:pt>
                <c:pt idx="607">
                  <c:v>2971610.2228618166</c:v>
                </c:pt>
                <c:pt idx="608">
                  <c:v>2971648.1982398438</c:v>
                </c:pt>
                <c:pt idx="609">
                  <c:v>2971685.305351052</c:v>
                </c:pt>
                <c:pt idx="610">
                  <c:v>2971721.5624571345</c:v>
                </c:pt>
                <c:pt idx="611">
                  <c:v>2971756.9874754259</c:v>
                </c:pt>
                <c:pt idx="612">
                  <c:v>2971791.5979844485</c:v>
                </c:pt>
                <c:pt idx="613">
                  <c:v>2971825.4112293907</c:v>
                </c:pt>
                <c:pt idx="614">
                  <c:v>2971858.4441275191</c:v>
                </c:pt>
                <c:pt idx="615">
                  <c:v>2971890.7132735224</c:v>
                </c:pt>
                <c:pt idx="616">
                  <c:v>2971922.2349447897</c:v>
                </c:pt>
                <c:pt idx="617">
                  <c:v>2971953.0251066205</c:v>
                </c:pt>
                <c:pt idx="618">
                  <c:v>2971983.0994173721</c:v>
                </c:pt>
                <c:pt idx="619">
                  <c:v>2972012.4732335391</c:v>
                </c:pt>
                <c:pt idx="620">
                  <c:v>2972041.1616147682</c:v>
                </c:pt>
                <c:pt idx="621">
                  <c:v>2972069.1793288086</c:v>
                </c:pt>
                <c:pt idx="622">
                  <c:v>2972096.5408563982</c:v>
                </c:pt>
                <c:pt idx="623">
                  <c:v>2972123.2603960857</c:v>
                </c:pt>
                <c:pt idx="624">
                  <c:v>2972149.3518689899</c:v>
                </c:pt>
                <c:pt idx="625">
                  <c:v>2972174.8289234941</c:v>
                </c:pt>
                <c:pt idx="626">
                  <c:v>2972199.7049398804</c:v>
                </c:pt>
                <c:pt idx="627">
                  <c:v>2972223.9930349011</c:v>
                </c:pt>
                <c:pt idx="628">
                  <c:v>2972247.7060662871</c:v>
                </c:pt>
                <c:pt idx="629">
                  <c:v>2972270.8566371966</c:v>
                </c:pt>
                <c:pt idx="630">
                  <c:v>2972293.4571006028</c:v>
                </c:pt>
                <c:pt idx="631">
                  <c:v>2972315.51956362</c:v>
                </c:pt>
                <c:pt idx="632">
                  <c:v>2972337.0558917723</c:v>
                </c:pt>
                <c:pt idx="633">
                  <c:v>2972358.0777132013</c:v>
                </c:pt>
                <c:pt idx="634">
                  <c:v>2972378.5964228152</c:v>
                </c:pt>
                <c:pt idx="635">
                  <c:v>2972398.6231863792</c:v>
                </c:pt>
                <c:pt idx="636">
                  <c:v>2972418.1689445493</c:v>
                </c:pt>
                <c:pt idx="637">
                  <c:v>2972437.2444168474</c:v>
                </c:pt>
                <c:pt idx="638">
                  <c:v>2972455.8601055816</c:v>
                </c:pt>
                <c:pt idx="639">
                  <c:v>2972474.0262997062</c:v>
                </c:pt>
                <c:pt idx="640">
                  <c:v>2972491.7530786311</c:v>
                </c:pt>
                <c:pt idx="641">
                  <c:v>2972509.050315971</c:v>
                </c:pt>
                <c:pt idx="642">
                  <c:v>2972525.9276832431</c:v>
                </c:pt>
                <c:pt idx="643">
                  <c:v>2972542.3946535084</c:v>
                </c:pt>
                <c:pt idx="644">
                  <c:v>2972558.4605049617</c:v>
                </c:pt>
                <c:pt idx="645">
                  <c:v>2972574.1343244645</c:v>
                </c:pt>
                <c:pt idx="646">
                  <c:v>2972589.4250110295</c:v>
                </c:pt>
                <c:pt idx="647">
                  <c:v>2972604.3412792496</c:v>
                </c:pt>
                <c:pt idx="648">
                  <c:v>2972618.8916626764</c:v>
                </c:pt>
                <c:pt idx="649">
                  <c:v>2972633.0845171483</c:v>
                </c:pt>
                <c:pt idx="650">
                  <c:v>2972646.9280240661</c:v>
                </c:pt>
                <c:pt idx="651">
                  <c:v>2972660.4301936203</c:v>
                </c:pt>
                <c:pt idx="652">
                  <c:v>2972673.5988679668</c:v>
                </c:pt>
                <c:pt idx="653">
                  <c:v>2972686.4417243567</c:v>
                </c:pt>
                <c:pt idx="654">
                  <c:v>2972698.9662782135</c:v>
                </c:pt>
                <c:pt idx="655">
                  <c:v>2972711.1798861655</c:v>
                </c:pt>
                <c:pt idx="656">
                  <c:v>2972723.0897490294</c:v>
                </c:pt>
                <c:pt idx="657">
                  <c:v>2972734.702914746</c:v>
                </c:pt>
                <c:pt idx="658">
                  <c:v>2972746.0262812725</c:v>
                </c:pt>
                <c:pt idx="659">
                  <c:v>2972757.0665994245</c:v>
                </c:pt>
                <c:pt idx="660">
                  <c:v>2972767.8304756763</c:v>
                </c:pt>
                <c:pt idx="661">
                  <c:v>2972778.3243749151</c:v>
                </c:pt>
                <c:pt idx="662">
                  <c:v>2972788.5546231503</c:v>
                </c:pt>
                <c:pt idx="663">
                  <c:v>2972798.5274101784</c:v>
                </c:pt>
                <c:pt idx="664">
                  <c:v>2972808.2487922078</c:v>
                </c:pt>
                <c:pt idx="665">
                  <c:v>2972817.7246944355</c:v>
                </c:pt>
                <c:pt idx="666">
                  <c:v>2972826.9609135878</c:v>
                </c:pt>
                <c:pt idx="667">
                  <c:v>2972835.963120413</c:v>
                </c:pt>
                <c:pt idx="668">
                  <c:v>2972844.7368621374</c:v>
                </c:pt>
                <c:pt idx="669">
                  <c:v>2972853.2875648784</c:v>
                </c:pt>
                <c:pt idx="670">
                  <c:v>2972861.6205360182</c:v>
                </c:pt>
                <c:pt idx="671">
                  <c:v>2972869.740966537</c:v>
                </c:pt>
                <c:pt idx="672">
                  <c:v>2972877.6539333076</c:v>
                </c:pt>
                <c:pt idx="673">
                  <c:v>2972885.3644013503</c:v>
                </c:pt>
                <c:pt idx="674">
                  <c:v>2972892.8772260509</c:v>
                </c:pt>
                <c:pt idx="675">
                  <c:v>2972900.1971553415</c:v>
                </c:pt>
                <c:pt idx="676">
                  <c:v>2972907.3288318398</c:v>
                </c:pt>
                <c:pt idx="677">
                  <c:v>2972914.2767949575</c:v>
                </c:pt>
                <c:pt idx="678">
                  <c:v>2972921.0454829675</c:v>
                </c:pt>
                <c:pt idx="679">
                  <c:v>2972927.6392350397</c:v>
                </c:pt>
                <c:pt idx="680">
                  <c:v>2972934.0622932371</c:v>
                </c:pt>
                <c:pt idx="681">
                  <c:v>2972940.3188044797</c:v>
                </c:pt>
                <c:pt idx="682">
                  <c:v>2972946.4128224743</c:v>
                </c:pt>
                <c:pt idx="683">
                  <c:v>2972952.3483096082</c:v>
                </c:pt>
                <c:pt idx="684">
                  <c:v>2972958.129138812</c:v>
                </c:pt>
                <c:pt idx="685">
                  <c:v>2972963.7590953875</c:v>
                </c:pt>
                <c:pt idx="686">
                  <c:v>2972969.2418788043</c:v>
                </c:pt>
                <c:pt idx="687">
                  <c:v>2972974.5811044634</c:v>
                </c:pt>
                <c:pt idx="688">
                  <c:v>2972979.7803054308</c:v>
                </c:pt>
                <c:pt idx="689">
                  <c:v>2972984.8429341377</c:v>
                </c:pt>
                <c:pt idx="690">
                  <c:v>2972989.7723640515</c:v>
                </c:pt>
                <c:pt idx="691">
                  <c:v>2972994.5718913171</c:v>
                </c:pt>
                <c:pt idx="692">
                  <c:v>2972999.2447363664</c:v>
                </c:pt>
                <c:pt idx="693">
                  <c:v>2973003.7940455005</c:v>
                </c:pt>
                <c:pt idx="694">
                  <c:v>2973008.2228924404</c:v>
                </c:pt>
                <c:pt idx="695">
                  <c:v>2973012.5342798531</c:v>
                </c:pt>
                <c:pt idx="696">
                  <c:v>2973016.7311408455</c:v>
                </c:pt>
                <c:pt idx="697">
                  <c:v>2973020.816340433</c:v>
                </c:pt>
                <c:pt idx="698">
                  <c:v>2973024.7926769811</c:v>
                </c:pt>
                <c:pt idx="699">
                  <c:v>2973028.6628836179</c:v>
                </c:pt>
                <c:pt idx="700">
                  <c:v>2973032.429629623</c:v>
                </c:pt>
                <c:pt idx="701">
                  <c:v>2973036.0955217876</c:v>
                </c:pt>
                <c:pt idx="702">
                  <c:v>2973039.6631057519</c:v>
                </c:pt>
                <c:pt idx="703">
                  <c:v>2973043.1348673138</c:v>
                </c:pt>
                <c:pt idx="704">
                  <c:v>2973046.5132337166</c:v>
                </c:pt>
                <c:pt idx="705">
                  <c:v>2973049.8005749094</c:v>
                </c:pt>
                <c:pt idx="706">
                  <c:v>2973052.9992047846</c:v>
                </c:pt>
                <c:pt idx="707">
                  <c:v>2973056.1113823913</c:v>
                </c:pt>
                <c:pt idx="708">
                  <c:v>2973059.139313126</c:v>
                </c:pt>
                <c:pt idx="709">
                  <c:v>2973062.0851498987</c:v>
                </c:pt>
                <c:pt idx="710">
                  <c:v>2973064.9509942797</c:v>
                </c:pt>
                <c:pt idx="711">
                  <c:v>2973067.7388976207</c:v>
                </c:pt>
                <c:pt idx="712">
                  <c:v>2973070.4508621558</c:v>
                </c:pt>
                <c:pt idx="713">
                  <c:v>2973073.0888420809</c:v>
                </c:pt>
                <c:pt idx="714">
                  <c:v>2973075.6547446121</c:v>
                </c:pt>
                <c:pt idx="715">
                  <c:v>2973078.150431023</c:v>
                </c:pt>
                <c:pt idx="716">
                  <c:v>2973080.5777176605</c:v>
                </c:pt>
                <c:pt idx="717">
                  <c:v>2973082.9383769426</c:v>
                </c:pt>
                <c:pt idx="718">
                  <c:v>2973085.234138336</c:v>
                </c:pt>
                <c:pt idx="719">
                  <c:v>2973087.4666893124</c:v>
                </c:pt>
                <c:pt idx="720">
                  <c:v>2973089.637676287</c:v>
                </c:pt>
                <c:pt idx="721">
                  <c:v>2973091.7487055394</c:v>
                </c:pt>
                <c:pt idx="722">
                  <c:v>2973093.8013441134</c:v>
                </c:pt>
                <c:pt idx="723">
                  <c:v>2973095.7971207015</c:v>
                </c:pt>
                <c:pt idx="724">
                  <c:v>2973097.737526509</c:v>
                </c:pt>
                <c:pt idx="725">
                  <c:v>2973099.6240161015</c:v>
                </c:pt>
                <c:pt idx="726">
                  <c:v>2973101.4580082367</c:v>
                </c:pt>
                <c:pt idx="727">
                  <c:v>2973103.2408866766</c:v>
                </c:pt>
                <c:pt idx="728">
                  <c:v>2973104.9740009853</c:v>
                </c:pt>
                <c:pt idx="729">
                  <c:v>2973106.6586673092</c:v>
                </c:pt>
                <c:pt idx="730">
                  <c:v>2973108.2961691413</c:v>
                </c:pt>
                <c:pt idx="731">
                  <c:v>2973109.8877580701</c:v>
                </c:pt>
                <c:pt idx="732">
                  <c:v>2973111.4346545129</c:v>
                </c:pt>
                <c:pt idx="733">
                  <c:v>2973112.9380484344</c:v>
                </c:pt>
                <c:pt idx="734">
                  <c:v>2973114.3991000485</c:v>
                </c:pt>
                <c:pt idx="735">
                  <c:v>2973115.8189405077</c:v>
                </c:pt>
                <c:pt idx="736">
                  <c:v>2973117.1986725773</c:v>
                </c:pt>
                <c:pt idx="737">
                  <c:v>2973118.5393712944</c:v>
                </c:pt>
                <c:pt idx="738">
                  <c:v>2973119.8420846141</c:v>
                </c:pt>
                <c:pt idx="739">
                  <c:v>2973121.1078340425</c:v>
                </c:pt>
                <c:pt idx="740">
                  <c:v>2973122.3376152553</c:v>
                </c:pt>
                <c:pt idx="741">
                  <c:v>2973123.532398703</c:v>
                </c:pt>
                <c:pt idx="742">
                  <c:v>2973124.6931302049</c:v>
                </c:pt>
                <c:pt idx="743">
                  <c:v>2973125.8207315286</c:v>
                </c:pt>
                <c:pt idx="744">
                  <c:v>2973126.9161009579</c:v>
                </c:pt>
                <c:pt idx="745">
                  <c:v>2973127.9801138495</c:v>
                </c:pt>
                <c:pt idx="746">
                  <c:v>2973129.0136231747</c:v>
                </c:pt>
                <c:pt idx="747">
                  <c:v>2973130.0174600538</c:v>
                </c:pt>
                <c:pt idx="748">
                  <c:v>2973130.9924342739</c:v>
                </c:pt>
                <c:pt idx="749">
                  <c:v>2973131.9393348005</c:v>
                </c:pt>
                <c:pt idx="750">
                  <c:v>2973132.8589302744</c:v>
                </c:pt>
                <c:pt idx="751">
                  <c:v>2973133.7519694995</c:v>
                </c:pt>
                <c:pt idx="752">
                  <c:v>2973134.619181918</c:v>
                </c:pt>
                <c:pt idx="753">
                  <c:v>2973135.4612780781</c:v>
                </c:pt>
                <c:pt idx="754">
                  <c:v>2973136.2789500896</c:v>
                </c:pt>
                <c:pt idx="755">
                  <c:v>2973137.0728720683</c:v>
                </c:pt>
                <c:pt idx="756">
                  <c:v>2973137.8437005742</c:v>
                </c:pt>
                <c:pt idx="757">
                  <c:v>2973138.5920750368</c:v>
                </c:pt>
                <c:pt idx="758">
                  <c:v>2973139.3186181705</c:v>
                </c:pt>
                <c:pt idx="759">
                  <c:v>2973140.0239363848</c:v>
                </c:pt>
                <c:pt idx="760">
                  <c:v>2973140.7086201804</c:v>
                </c:pt>
                <c:pt idx="761">
                  <c:v>2973141.3732445403</c:v>
                </c:pt>
                <c:pt idx="762">
                  <c:v>2973142.0183693101</c:v>
                </c:pt>
                <c:pt idx="763">
                  <c:v>2973142.64453957</c:v>
                </c:pt>
                <c:pt idx="764">
                  <c:v>2973143.2522859983</c:v>
                </c:pt>
                <c:pt idx="765">
                  <c:v>2973143.8421252277</c:v>
                </c:pt>
                <c:pt idx="766">
                  <c:v>2973144.4145601927</c:v>
                </c:pt>
                <c:pt idx="767">
                  <c:v>2973144.9700804693</c:v>
                </c:pt>
                <c:pt idx="768">
                  <c:v>2973145.5091626057</c:v>
                </c:pt>
                <c:pt idx="769">
                  <c:v>2973146.0322704483</c:v>
                </c:pt>
                <c:pt idx="770">
                  <c:v>2973146.5398554574</c:v>
                </c:pt>
                <c:pt idx="771">
                  <c:v>2973147.032357017</c:v>
                </c:pt>
                <c:pt idx="772">
                  <c:v>2973147.5102027385</c:v>
                </c:pt>
                <c:pt idx="773">
                  <c:v>2973147.9738087538</c:v>
                </c:pt>
                <c:pt idx="774">
                  <c:v>2973148.4235800058</c:v>
                </c:pt>
                <c:pt idx="775">
                  <c:v>2973148.8599105296</c:v>
                </c:pt>
                <c:pt idx="776">
                  <c:v>2973149.2831837288</c:v>
                </c:pt>
                <c:pt idx="777">
                  <c:v>2973149.6937726433</c:v>
                </c:pt>
                <c:pt idx="778">
                  <c:v>2973150.0920402124</c:v>
                </c:pt>
                <c:pt idx="779">
                  <c:v>2973150.4783395319</c:v>
                </c:pt>
                <c:pt idx="780">
                  <c:v>2973150.8530141036</c:v>
                </c:pt>
                <c:pt idx="781">
                  <c:v>2973151.2163980813</c:v>
                </c:pt>
                <c:pt idx="782">
                  <c:v>2973151.5688165082</c:v>
                </c:pt>
                <c:pt idx="783">
                  <c:v>2973151.9105855511</c:v>
                </c:pt>
                <c:pt idx="784">
                  <c:v>2973152.242012728</c:v>
                </c:pt>
                <c:pt idx="785">
                  <c:v>2973152.56339713</c:v>
                </c:pt>
                <c:pt idx="786">
                  <c:v>2973152.8750296389</c:v>
                </c:pt>
                <c:pt idx="787">
                  <c:v>2973153.1771931383</c:v>
                </c:pt>
                <c:pt idx="788">
                  <c:v>2973153.4701627209</c:v>
                </c:pt>
                <c:pt idx="789">
                  <c:v>2973153.75420589</c:v>
                </c:pt>
                <c:pt idx="790">
                  <c:v>2973154.029582757</c:v>
                </c:pt>
                <c:pt idx="791">
                  <c:v>2973154.2965462324</c:v>
                </c:pt>
                <c:pt idx="792">
                  <c:v>2973154.5553422151</c:v>
                </c:pt>
                <c:pt idx="793">
                  <c:v>2973154.8062097738</c:v>
                </c:pt>
                <c:pt idx="794">
                  <c:v>2973155.0493813264</c:v>
                </c:pt>
                <c:pt idx="795">
                  <c:v>2973155.2850828147</c:v>
                </c:pt>
                <c:pt idx="796">
                  <c:v>2973155.5135338735</c:v>
                </c:pt>
                <c:pt idx="797">
                  <c:v>2973155.7349479967</c:v>
                </c:pt>
                <c:pt idx="798">
                  <c:v>2973155.9495326998</c:v>
                </c:pt>
                <c:pt idx="799">
                  <c:v>2973156.157489677</c:v>
                </c:pt>
                <c:pt idx="800">
                  <c:v>2973156.3590149549</c:v>
                </c:pt>
                <c:pt idx="801">
                  <c:v>2973156.554299044</c:v>
                </c:pt>
                <c:pt idx="802">
                  <c:v>2973156.7435270841</c:v>
                </c:pt>
                <c:pt idx="803">
                  <c:v>2973156.9268789869</c:v>
                </c:pt>
                <c:pt idx="804">
                  <c:v>2973157.1045295768</c:v>
                </c:pt>
                <c:pt idx="805">
                  <c:v>2973157.2766487245</c:v>
                </c:pt>
                <c:pt idx="806">
                  <c:v>2973157.4434014815</c:v>
                </c:pt>
                <c:pt idx="807">
                  <c:v>2973157.6049482082</c:v>
                </c:pt>
                <c:pt idx="808">
                  <c:v>2973157.7614447004</c:v>
                </c:pt>
                <c:pt idx="809">
                  <c:v>2973157.9130423116</c:v>
                </c:pt>
                <c:pt idx="810">
                  <c:v>2973158.0598880723</c:v>
                </c:pt>
                <c:pt idx="811">
                  <c:v>2973158.2021248084</c:v>
                </c:pt>
                <c:pt idx="812">
                  <c:v>2973158.3398912526</c:v>
                </c:pt>
                <c:pt idx="813">
                  <c:v>2973158.4733221568</c:v>
                </c:pt>
                <c:pt idx="814">
                  <c:v>2973158.6025484004</c:v>
                </c:pt>
                <c:pt idx="815">
                  <c:v>2973158.727697094</c:v>
                </c:pt>
                <c:pt idx="816">
                  <c:v>2973158.8488916839</c:v>
                </c:pt>
                <c:pt idx="817">
                  <c:v>2973158.9662520508</c:v>
                </c:pt>
                <c:pt idx="818">
                  <c:v>2973159.0798946079</c:v>
                </c:pt>
                <c:pt idx="819">
                  <c:v>2973159.1899323952</c:v>
                </c:pt>
                <c:pt idx="820">
                  <c:v>2973159.296475173</c:v>
                </c:pt>
                <c:pt idx="821">
                  <c:v>2973159.3996295114</c:v>
                </c:pt>
                <c:pt idx="822">
                  <c:v>2973159.4994988781</c:v>
                </c:pt>
                <c:pt idx="823">
                  <c:v>2973159.5961837247</c:v>
                </c:pt>
                <c:pt idx="824">
                  <c:v>2973159.6897815694</c:v>
                </c:pt>
                <c:pt idx="825">
                  <c:v>2973159.7803870779</c:v>
                </c:pt>
                <c:pt idx="826">
                  <c:v>2973159.868092143</c:v>
                </c:pt>
                <c:pt idx="827">
                  <c:v>2973159.9529859615</c:v>
                </c:pt>
                <c:pt idx="828">
                  <c:v>2973160.0351551091</c:v>
                </c:pt>
                <c:pt idx="829">
                  <c:v>2973160.1146836141</c:v>
                </c:pt>
                <c:pt idx="830">
                  <c:v>2973160.1916530281</c:v>
                </c:pt>
                <c:pt idx="831">
                  <c:v>2973160.2661424945</c:v>
                </c:pt>
                <c:pt idx="832">
                  <c:v>2973160.3382288171</c:v>
                </c:pt>
                <c:pt idx="833">
                  <c:v>2973160.407986525</c:v>
                </c:pt>
                <c:pt idx="834">
                  <c:v>2973160.4754879377</c:v>
                </c:pt>
                <c:pt idx="835">
                  <c:v>2973160.5408032257</c:v>
                </c:pt>
                <c:pt idx="836">
                  <c:v>2973160.6040004725</c:v>
                </c:pt>
                <c:pt idx="837">
                  <c:v>2973160.6651457329</c:v>
                </c:pt>
                <c:pt idx="838">
                  <c:v>2973160.7243030905</c:v>
                </c:pt>
                <c:pt idx="839">
                  <c:v>2973160.7815347142</c:v>
                </c:pt>
                <c:pt idx="840">
                  <c:v>2973160.8369009113</c:v>
                </c:pt>
                <c:pt idx="841">
                  <c:v>2973160.890460182</c:v>
                </c:pt>
                <c:pt idx="842">
                  <c:v>2973160.9422692698</c:v>
                </c:pt>
                <c:pt idx="843">
                  <c:v>2973160.9923832123</c:v>
                </c:pt>
                <c:pt idx="844">
                  <c:v>2973161.0408553891</c:v>
                </c:pt>
                <c:pt idx="845">
                  <c:v>2973161.087737571</c:v>
                </c:pt>
                <c:pt idx="846">
                  <c:v>2973161.1330799642</c:v>
                </c:pt>
                <c:pt idx="847">
                  <c:v>2973161.1769312569</c:v>
                </c:pt>
                <c:pt idx="848">
                  <c:v>2973161.2193386615</c:v>
                </c:pt>
                <c:pt idx="849">
                  <c:v>2973161.2603479587</c:v>
                </c:pt>
                <c:pt idx="850">
                  <c:v>2973161.3000035374</c:v>
                </c:pt>
                <c:pt idx="851">
                  <c:v>2973161.3383484366</c:v>
                </c:pt>
                <c:pt idx="852">
                  <c:v>2973161.3754243832</c:v>
                </c:pt>
                <c:pt idx="853">
                  <c:v>2973161.4112718301</c:v>
                </c:pt>
                <c:pt idx="854">
                  <c:v>2973161.4459299939</c:v>
                </c:pt>
                <c:pt idx="855">
                  <c:v>2973161.4794368912</c:v>
                </c:pt>
                <c:pt idx="856">
                  <c:v>2973161.5118293725</c:v>
                </c:pt>
                <c:pt idx="857">
                  <c:v>2973161.5431431574</c:v>
                </c:pt>
                <c:pt idx="858">
                  <c:v>2973161.5734128668</c:v>
                </c:pt>
                <c:pt idx="859">
                  <c:v>2973161.6026720558</c:v>
                </c:pt>
                <c:pt idx="860">
                  <c:v>2973161.6309532444</c:v>
                </c:pt>
                <c:pt idx="861">
                  <c:v>2973161.6582879485</c:v>
                </c:pt>
                <c:pt idx="862">
                  <c:v>2973161.6847067093</c:v>
                </c:pt>
                <c:pt idx="863">
                  <c:v>2973161.7102391217</c:v>
                </c:pt>
                <c:pt idx="864">
                  <c:v>2973161.7349138628</c:v>
                </c:pt>
                <c:pt idx="865">
                  <c:v>2973161.7587587186</c:v>
                </c:pt>
                <c:pt idx="866">
                  <c:v>2973161.7818006114</c:v>
                </c:pt>
                <c:pt idx="867">
                  <c:v>2973161.8040656238</c:v>
                </c:pt>
                <c:pt idx="868">
                  <c:v>2973161.8255790253</c:v>
                </c:pt>
                <c:pt idx="869">
                  <c:v>2973161.8463652958</c:v>
                </c:pt>
                <c:pt idx="870">
                  <c:v>2973161.8664481491</c:v>
                </c:pt>
                <c:pt idx="871">
                  <c:v>2973161.8858505562</c:v>
                </c:pt>
                <c:pt idx="872">
                  <c:v>2973161.9045947664</c:v>
                </c:pt>
                <c:pt idx="873">
                  <c:v>2973161.9227023311</c:v>
                </c:pt>
                <c:pt idx="874">
                  <c:v>2973161.9401941225</c:v>
                </c:pt>
                <c:pt idx="875">
                  <c:v>2973161.957090355</c:v>
                </c:pt>
                <c:pt idx="876">
                  <c:v>2973161.9734106059</c:v>
                </c:pt>
                <c:pt idx="877">
                  <c:v>2973161.9891738328</c:v>
                </c:pt>
                <c:pt idx="878">
                  <c:v>2973162.0043983939</c:v>
                </c:pt>
                <c:pt idx="879">
                  <c:v>2973162.0191020654</c:v>
                </c:pt>
                <c:pt idx="880">
                  <c:v>2973162.0333020589</c:v>
                </c:pt>
                <c:pt idx="881">
                  <c:v>2973162.0470150402</c:v>
                </c:pt>
                <c:pt idx="882">
                  <c:v>2973162.0602571429</c:v>
                </c:pt>
                <c:pt idx="883">
                  <c:v>2973162.0730439872</c:v>
                </c:pt>
                <c:pt idx="884">
                  <c:v>2973162.0853906949</c:v>
                </c:pt>
                <c:pt idx="885">
                  <c:v>2973162.0973119042</c:v>
                </c:pt>
                <c:pt idx="886">
                  <c:v>2973162.1088217846</c:v>
                </c:pt>
                <c:pt idx="887">
                  <c:v>2973162.1199340518</c:v>
                </c:pt>
                <c:pt idx="888">
                  <c:v>2973162.1306619807</c:v>
                </c:pt>
                <c:pt idx="889">
                  <c:v>2973162.14101842</c:v>
                </c:pt>
                <c:pt idx="890">
                  <c:v>2973162.1510158046</c:v>
                </c:pt>
                <c:pt idx="891">
                  <c:v>2973162.1606661687</c:v>
                </c:pt>
                <c:pt idx="892">
                  <c:v>2973162.1699811579</c:v>
                </c:pt>
                <c:pt idx="893">
                  <c:v>2973162.1789720417</c:v>
                </c:pt>
                <c:pt idx="894">
                  <c:v>2973162.1876497241</c:v>
                </c:pt>
                <c:pt idx="895">
                  <c:v>2973162.1960247564</c:v>
                </c:pt>
                <c:pt idx="896">
                  <c:v>2973162.2041073474</c:v>
                </c:pt>
                <c:pt idx="897">
                  <c:v>2973162.2119073737</c:v>
                </c:pt>
                <c:pt idx="898">
                  <c:v>2973162.2194343912</c:v>
                </c:pt>
                <c:pt idx="899">
                  <c:v>2973162.2266976433</c:v>
                </c:pt>
                <c:pt idx="900">
                  <c:v>2973162.233706072</c:v>
                </c:pt>
                <c:pt idx="901">
                  <c:v>2973162.2404683279</c:v>
                </c:pt>
                <c:pt idx="902">
                  <c:v>2973162.2469927776</c:v>
                </c:pt>
                <c:pt idx="903">
                  <c:v>2973162.2532875137</c:v>
                </c:pt>
                <c:pt idx="904">
                  <c:v>2973162.2593603637</c:v>
                </c:pt>
                <c:pt idx="905">
                  <c:v>2973162.2652188977</c:v>
                </c:pt>
                <c:pt idx="906">
                  <c:v>2973162.2708704364</c:v>
                </c:pt>
                <c:pt idx="907">
                  <c:v>2973162.2763220593</c:v>
                </c:pt>
                <c:pt idx="908">
                  <c:v>2973162.281580613</c:v>
                </c:pt>
                <c:pt idx="909">
                  <c:v>2973162.2866527173</c:v>
                </c:pt>
                <c:pt idx="910">
                  <c:v>2973162.2915447727</c:v>
                </c:pt>
                <c:pt idx="911">
                  <c:v>2973162.2962629688</c:v>
                </c:pt>
                <c:pt idx="912">
                  <c:v>2973162.3008132889</c:v>
                </c:pt>
                <c:pt idx="913">
                  <c:v>2973162.3052015179</c:v>
                </c:pt>
                <c:pt idx="914">
                  <c:v>2973162.3094332479</c:v>
                </c:pt>
                <c:pt idx="915">
                  <c:v>2973162.3135138857</c:v>
                </c:pt>
                <c:pt idx="916">
                  <c:v>2973162.317448657</c:v>
                </c:pt>
                <c:pt idx="917">
                  <c:v>2973162.3212426133</c:v>
                </c:pt>
                <c:pt idx="918">
                  <c:v>2973162.3249006364</c:v>
                </c:pt>
                <c:pt idx="919">
                  <c:v>2973162.3284274461</c:v>
                </c:pt>
                <c:pt idx="920">
                  <c:v>2973162.3318276033</c:v>
                </c:pt>
                <c:pt idx="921">
                  <c:v>2973162.3351055151</c:v>
                </c:pt>
                <c:pt idx="922">
                  <c:v>2973162.3382654414</c:v>
                </c:pt>
                <c:pt idx="923">
                  <c:v>2973162.3413114981</c:v>
                </c:pt>
                <c:pt idx="924">
                  <c:v>2973162.3442476629</c:v>
                </c:pt>
                <c:pt idx="925">
                  <c:v>2973162.3470777785</c:v>
                </c:pt>
                <c:pt idx="926">
                  <c:v>2973162.3498055586</c:v>
                </c:pt>
                <c:pt idx="927">
                  <c:v>2973162.3524345909</c:v>
                </c:pt>
                <c:pt idx="928">
                  <c:v>2973162.3549683415</c:v>
                </c:pt>
                <c:pt idx="929">
                  <c:v>2973162.3574101585</c:v>
                </c:pt>
                <c:pt idx="930">
                  <c:v>2973162.3597632772</c:v>
                </c:pt>
                <c:pt idx="931">
                  <c:v>2973162.3620308219</c:v>
                </c:pt>
                <c:pt idx="932">
                  <c:v>2973162.3642158108</c:v>
                </c:pt>
                <c:pt idx="933">
                  <c:v>2973162.3663211595</c:v>
                </c:pt>
                <c:pt idx="934">
                  <c:v>2973162.3683496839</c:v>
                </c:pt>
                <c:pt idx="935">
                  <c:v>2973162.3703041035</c:v>
                </c:pt>
                <c:pt idx="936">
                  <c:v>2973162.3721870445</c:v>
                </c:pt>
                <c:pt idx="937">
                  <c:v>2973162.3740010434</c:v>
                </c:pt>
                <c:pt idx="938">
                  <c:v>2973162.3757485496</c:v>
                </c:pt>
                <c:pt idx="939">
                  <c:v>2973162.3774319282</c:v>
                </c:pt>
                <c:pt idx="940">
                  <c:v>2973162.3790534628</c:v>
                </c:pt>
                <c:pt idx="941">
                  <c:v>2973162.3806153582</c:v>
                </c:pt>
                <c:pt idx="942">
                  <c:v>2973162.3821197441</c:v>
                </c:pt>
                <c:pt idx="943">
                  <c:v>2973162.3835686753</c:v>
                </c:pt>
                <c:pt idx="944">
                  <c:v>2973162.3849641364</c:v>
                </c:pt>
                <c:pt idx="945">
                  <c:v>2973162.3863080433</c:v>
                </c:pt>
                <c:pt idx="946">
                  <c:v>2973162.3876022445</c:v>
                </c:pt>
                <c:pt idx="947">
                  <c:v>2973162.3888485255</c:v>
                </c:pt>
                <c:pt idx="948">
                  <c:v>2973162.3900486086</c:v>
                </c:pt>
                <c:pt idx="949">
                  <c:v>2973162.3912041574</c:v>
                </c:pt>
                <c:pt idx="950">
                  <c:v>2973162.3923167763</c:v>
                </c:pt>
                <c:pt idx="951">
                  <c:v>2973162.3933880148</c:v>
                </c:pt>
                <c:pt idx="952">
                  <c:v>2973162.3944193674</c:v>
                </c:pt>
                <c:pt idx="953">
                  <c:v>2973162.3954122765</c:v>
                </c:pt>
                <c:pt idx="954">
                  <c:v>2973162.3963681343</c:v>
                </c:pt>
                <c:pt idx="955">
                  <c:v>2973162.3972882838</c:v>
                </c:pt>
                <c:pt idx="956">
                  <c:v>2973162.3981740209</c:v>
                </c:pt>
                <c:pt idx="957">
                  <c:v>2973162.3990265965</c:v>
                </c:pt>
                <c:pt idx="958">
                  <c:v>2973162.3998472164</c:v>
                </c:pt>
                <c:pt idx="959">
                  <c:v>2973162.400637045</c:v>
                </c:pt>
                <c:pt idx="960">
                  <c:v>2973162.401397205</c:v>
                </c:pt>
                <c:pt idx="961">
                  <c:v>2973162.4021287793</c:v>
                </c:pt>
                <c:pt idx="962">
                  <c:v>2973162.4028328126</c:v>
                </c:pt>
                <c:pt idx="963">
                  <c:v>2973162.4035103125</c:v>
                </c:pt>
                <c:pt idx="964">
                  <c:v>2973162.4041622514</c:v>
                </c:pt>
                <c:pt idx="965">
                  <c:v>2973162.404789567</c:v>
                </c:pt>
                <c:pt idx="966">
                  <c:v>2973162.4053931632</c:v>
                </c:pt>
                <c:pt idx="967">
                  <c:v>2973162.4059739118</c:v>
                </c:pt>
                <c:pt idx="968">
                  <c:v>2973162.4065326536</c:v>
                </c:pt>
                <c:pt idx="969">
                  <c:v>2973162.4070702</c:v>
                </c:pt>
                <c:pt idx="970">
                  <c:v>2973162.4075873322</c:v>
                </c:pt>
                <c:pt idx="971">
                  <c:v>2973162.4080848047</c:v>
                </c:pt>
                <c:pt idx="972">
                  <c:v>2973162.4085633443</c:v>
                </c:pt>
                <c:pt idx="973">
                  <c:v>2973162.4090236514</c:v>
                </c:pt>
                <c:pt idx="974">
                  <c:v>2973162.4094664021</c:v>
                </c:pt>
                <c:pt idx="975">
                  <c:v>2973162.4098922475</c:v>
                </c:pt>
                <c:pt idx="976">
                  <c:v>2973162.4103018157</c:v>
                </c:pt>
                <c:pt idx="977">
                  <c:v>2973162.4106957121</c:v>
                </c:pt>
                <c:pt idx="978">
                  <c:v>2973162.4110745201</c:v>
                </c:pt>
                <c:pt idx="979">
                  <c:v>2973162.4114388018</c:v>
                </c:pt>
                <c:pt idx="980">
                  <c:v>2973162.4117890992</c:v>
                </c:pt>
                <c:pt idx="981">
                  <c:v>2973162.4121259348</c:v>
                </c:pt>
                <c:pt idx="982">
                  <c:v>2973162.4124498125</c:v>
                </c:pt>
                <c:pt idx="983">
                  <c:v>2973162.412761217</c:v>
                </c:pt>
                <c:pt idx="984">
                  <c:v>2973162.4130606158</c:v>
                </c:pt>
                <c:pt idx="985">
                  <c:v>2973162.4133484596</c:v>
                </c:pt>
                <c:pt idx="986">
                  <c:v>2973162.4136251826</c:v>
                </c:pt>
                <c:pt idx="987">
                  <c:v>2973162.4138912028</c:v>
                </c:pt>
                <c:pt idx="988">
                  <c:v>2973162.414146923</c:v>
                </c:pt>
                <c:pt idx="989">
                  <c:v>2973162.4143927321</c:v>
                </c:pt>
                <c:pt idx="990">
                  <c:v>2973162.4146290035</c:v>
                </c:pt>
                <c:pt idx="991">
                  <c:v>2973162.4148560981</c:v>
                </c:pt>
                <c:pt idx="992">
                  <c:v>2973162.4150743624</c:v>
                </c:pt>
                <c:pt idx="993">
                  <c:v>2973162.4152841312</c:v>
                </c:pt>
                <c:pt idx="994">
                  <c:v>2973162.4154857262</c:v>
                </c:pt>
                <c:pt idx="995">
                  <c:v>2973162.4156794576</c:v>
                </c:pt>
                <c:pt idx="996">
                  <c:v>2973162.4158656243</c:v>
                </c:pt>
                <c:pt idx="997">
                  <c:v>2973162.4160445142</c:v>
                </c:pt>
                <c:pt idx="998">
                  <c:v>2973162.4162164042</c:v>
                </c:pt>
                <c:pt idx="999">
                  <c:v>2973162.4163815612</c:v>
                </c:pt>
                <c:pt idx="1000">
                  <c:v>2973162.4165402418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D0-434A-AB1E-1F48B942AD1E}"/>
            </c:ext>
          </c:extLst>
        </c:ser>
        <c:ser>
          <c:idx val="2"/>
          <c:order val="2"/>
          <c:tx>
            <c:strRef>
              <c:f>'Kinetic Model'!$H$2</c:f>
              <c:strCache>
                <c:ptCount val="1"/>
                <c:pt idx="0">
                  <c:v>Plants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xVal>
            <c:strRef>
              <c:f>'Kinetic Model'!$A:$A</c:f>
              <c:strCache>
                <c:ptCount val="1003"/>
                <c:pt idx="0">
                  <c:v>Timestep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  <c:pt idx="100">
                  <c:v>98</c:v>
                </c:pt>
                <c:pt idx="101">
                  <c:v>99</c:v>
                </c:pt>
                <c:pt idx="102">
                  <c:v>100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105</c:v>
                </c:pt>
                <c:pt idx="108">
                  <c:v>106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112</c:v>
                </c:pt>
                <c:pt idx="115">
                  <c:v>113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117</c:v>
                </c:pt>
                <c:pt idx="120">
                  <c:v>118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122</c:v>
                </c:pt>
                <c:pt idx="125">
                  <c:v>123</c:v>
                </c:pt>
                <c:pt idx="126">
                  <c:v>124</c:v>
                </c:pt>
                <c:pt idx="127">
                  <c:v>125</c:v>
                </c:pt>
                <c:pt idx="128">
                  <c:v>126</c:v>
                </c:pt>
                <c:pt idx="129">
                  <c:v>127</c:v>
                </c:pt>
                <c:pt idx="130">
                  <c:v>128</c:v>
                </c:pt>
                <c:pt idx="131">
                  <c:v>129</c:v>
                </c:pt>
                <c:pt idx="132">
                  <c:v>130</c:v>
                </c:pt>
                <c:pt idx="133">
                  <c:v>131</c:v>
                </c:pt>
                <c:pt idx="134">
                  <c:v>132</c:v>
                </c:pt>
                <c:pt idx="135">
                  <c:v>133</c:v>
                </c:pt>
                <c:pt idx="136">
                  <c:v>134</c:v>
                </c:pt>
                <c:pt idx="137">
                  <c:v>135</c:v>
                </c:pt>
                <c:pt idx="138">
                  <c:v>136</c:v>
                </c:pt>
                <c:pt idx="139">
                  <c:v>137</c:v>
                </c:pt>
                <c:pt idx="140">
                  <c:v>138</c:v>
                </c:pt>
                <c:pt idx="141">
                  <c:v>139</c:v>
                </c:pt>
                <c:pt idx="142">
                  <c:v>140</c:v>
                </c:pt>
                <c:pt idx="143">
                  <c:v>141</c:v>
                </c:pt>
                <c:pt idx="144">
                  <c:v>142</c:v>
                </c:pt>
                <c:pt idx="145">
                  <c:v>143</c:v>
                </c:pt>
                <c:pt idx="146">
                  <c:v>144</c:v>
                </c:pt>
                <c:pt idx="147">
                  <c:v>145</c:v>
                </c:pt>
                <c:pt idx="148">
                  <c:v>146</c:v>
                </c:pt>
                <c:pt idx="149">
                  <c:v>147</c:v>
                </c:pt>
                <c:pt idx="150">
                  <c:v>148</c:v>
                </c:pt>
                <c:pt idx="151">
                  <c:v>149</c:v>
                </c:pt>
                <c:pt idx="152">
                  <c:v>150</c:v>
                </c:pt>
                <c:pt idx="153">
                  <c:v>151</c:v>
                </c:pt>
                <c:pt idx="154">
                  <c:v>152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158</c:v>
                </c:pt>
                <c:pt idx="161">
                  <c:v>159</c:v>
                </c:pt>
                <c:pt idx="162">
                  <c:v>160</c:v>
                </c:pt>
                <c:pt idx="163">
                  <c:v>161</c:v>
                </c:pt>
                <c:pt idx="164">
                  <c:v>162</c:v>
                </c:pt>
                <c:pt idx="165">
                  <c:v>163</c:v>
                </c:pt>
                <c:pt idx="166">
                  <c:v>164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168</c:v>
                </c:pt>
                <c:pt idx="171">
                  <c:v>169</c:v>
                </c:pt>
                <c:pt idx="172">
                  <c:v>170</c:v>
                </c:pt>
                <c:pt idx="173">
                  <c:v>171</c:v>
                </c:pt>
                <c:pt idx="174">
                  <c:v>172</c:v>
                </c:pt>
                <c:pt idx="175">
                  <c:v>173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  <c:pt idx="187">
                  <c:v>185</c:v>
                </c:pt>
                <c:pt idx="188">
                  <c:v>186</c:v>
                </c:pt>
                <c:pt idx="189">
                  <c:v>187</c:v>
                </c:pt>
                <c:pt idx="190">
                  <c:v>188</c:v>
                </c:pt>
                <c:pt idx="191">
                  <c:v>189</c:v>
                </c:pt>
                <c:pt idx="192">
                  <c:v>190</c:v>
                </c:pt>
                <c:pt idx="193">
                  <c:v>191</c:v>
                </c:pt>
                <c:pt idx="194">
                  <c:v>192</c:v>
                </c:pt>
                <c:pt idx="195">
                  <c:v>193</c:v>
                </c:pt>
                <c:pt idx="196">
                  <c:v>194</c:v>
                </c:pt>
                <c:pt idx="197">
                  <c:v>195</c:v>
                </c:pt>
                <c:pt idx="198">
                  <c:v>196</c:v>
                </c:pt>
                <c:pt idx="199">
                  <c:v>197</c:v>
                </c:pt>
                <c:pt idx="200">
                  <c:v>198</c:v>
                </c:pt>
                <c:pt idx="201">
                  <c:v>199</c:v>
                </c:pt>
                <c:pt idx="202">
                  <c:v>200</c:v>
                </c:pt>
                <c:pt idx="203">
                  <c:v>201</c:v>
                </c:pt>
                <c:pt idx="204">
                  <c:v>202</c:v>
                </c:pt>
                <c:pt idx="205">
                  <c:v>203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464</c:v>
                </c:pt>
                <c:pt idx="467">
                  <c:v>465</c:v>
                </c:pt>
                <c:pt idx="468">
                  <c:v>466</c:v>
                </c:pt>
                <c:pt idx="469">
                  <c:v>467</c:v>
                </c:pt>
                <c:pt idx="470">
                  <c:v>468</c:v>
                </c:pt>
                <c:pt idx="471">
                  <c:v>469</c:v>
                </c:pt>
                <c:pt idx="472">
                  <c:v>470</c:v>
                </c:pt>
                <c:pt idx="473">
                  <c:v>471</c:v>
                </c:pt>
                <c:pt idx="474">
                  <c:v>472</c:v>
                </c:pt>
                <c:pt idx="475">
                  <c:v>473</c:v>
                </c:pt>
                <c:pt idx="476">
                  <c:v>474</c:v>
                </c:pt>
                <c:pt idx="477">
                  <c:v>475</c:v>
                </c:pt>
                <c:pt idx="478">
                  <c:v>476</c:v>
                </c:pt>
                <c:pt idx="479">
                  <c:v>477</c:v>
                </c:pt>
                <c:pt idx="480">
                  <c:v>478</c:v>
                </c:pt>
                <c:pt idx="481">
                  <c:v>479</c:v>
                </c:pt>
                <c:pt idx="482">
                  <c:v>480</c:v>
                </c:pt>
                <c:pt idx="483">
                  <c:v>481</c:v>
                </c:pt>
                <c:pt idx="484">
                  <c:v>482</c:v>
                </c:pt>
                <c:pt idx="485">
                  <c:v>483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487</c:v>
                </c:pt>
                <c:pt idx="490">
                  <c:v>488</c:v>
                </c:pt>
                <c:pt idx="491">
                  <c:v>489</c:v>
                </c:pt>
                <c:pt idx="492">
                  <c:v>490</c:v>
                </c:pt>
                <c:pt idx="493">
                  <c:v>491</c:v>
                </c:pt>
                <c:pt idx="494">
                  <c:v>492</c:v>
                </c:pt>
                <c:pt idx="495">
                  <c:v>493</c:v>
                </c:pt>
                <c:pt idx="496">
                  <c:v>494</c:v>
                </c:pt>
                <c:pt idx="497">
                  <c:v>495</c:v>
                </c:pt>
                <c:pt idx="498">
                  <c:v>496</c:v>
                </c:pt>
                <c:pt idx="499">
                  <c:v>497</c:v>
                </c:pt>
                <c:pt idx="500">
                  <c:v>498</c:v>
                </c:pt>
                <c:pt idx="501">
                  <c:v>499</c:v>
                </c:pt>
                <c:pt idx="502">
                  <c:v>500</c:v>
                </c:pt>
                <c:pt idx="503">
                  <c:v>501</c:v>
                </c:pt>
                <c:pt idx="504">
                  <c:v>502</c:v>
                </c:pt>
                <c:pt idx="505">
                  <c:v>503</c:v>
                </c:pt>
                <c:pt idx="506">
                  <c:v>504</c:v>
                </c:pt>
                <c:pt idx="507">
                  <c:v>505</c:v>
                </c:pt>
                <c:pt idx="508">
                  <c:v>506</c:v>
                </c:pt>
                <c:pt idx="509">
                  <c:v>507</c:v>
                </c:pt>
                <c:pt idx="510">
                  <c:v>508</c:v>
                </c:pt>
                <c:pt idx="511">
                  <c:v>509</c:v>
                </c:pt>
                <c:pt idx="512">
                  <c:v>510</c:v>
                </c:pt>
                <c:pt idx="513">
                  <c:v>511</c:v>
                </c:pt>
                <c:pt idx="514">
                  <c:v>512</c:v>
                </c:pt>
                <c:pt idx="515">
                  <c:v>513</c:v>
                </c:pt>
                <c:pt idx="516">
                  <c:v>514</c:v>
                </c:pt>
                <c:pt idx="517">
                  <c:v>515</c:v>
                </c:pt>
                <c:pt idx="518">
                  <c:v>516</c:v>
                </c:pt>
                <c:pt idx="519">
                  <c:v>517</c:v>
                </c:pt>
                <c:pt idx="520">
                  <c:v>518</c:v>
                </c:pt>
                <c:pt idx="521">
                  <c:v>519</c:v>
                </c:pt>
                <c:pt idx="522">
                  <c:v>520</c:v>
                </c:pt>
                <c:pt idx="523">
                  <c:v>521</c:v>
                </c:pt>
                <c:pt idx="524">
                  <c:v>522</c:v>
                </c:pt>
                <c:pt idx="525">
                  <c:v>523</c:v>
                </c:pt>
                <c:pt idx="526">
                  <c:v>524</c:v>
                </c:pt>
                <c:pt idx="527">
                  <c:v>525</c:v>
                </c:pt>
                <c:pt idx="528">
                  <c:v>526</c:v>
                </c:pt>
                <c:pt idx="529">
                  <c:v>527</c:v>
                </c:pt>
                <c:pt idx="530">
                  <c:v>528</c:v>
                </c:pt>
                <c:pt idx="531">
                  <c:v>529</c:v>
                </c:pt>
                <c:pt idx="532">
                  <c:v>530</c:v>
                </c:pt>
                <c:pt idx="533">
                  <c:v>531</c:v>
                </c:pt>
                <c:pt idx="534">
                  <c:v>532</c:v>
                </c:pt>
                <c:pt idx="535">
                  <c:v>533</c:v>
                </c:pt>
                <c:pt idx="536">
                  <c:v>534</c:v>
                </c:pt>
                <c:pt idx="537">
                  <c:v>535</c:v>
                </c:pt>
                <c:pt idx="538">
                  <c:v>536</c:v>
                </c:pt>
                <c:pt idx="539">
                  <c:v>537</c:v>
                </c:pt>
                <c:pt idx="540">
                  <c:v>538</c:v>
                </c:pt>
                <c:pt idx="541">
                  <c:v>539</c:v>
                </c:pt>
                <c:pt idx="542">
                  <c:v>540</c:v>
                </c:pt>
                <c:pt idx="543">
                  <c:v>541</c:v>
                </c:pt>
                <c:pt idx="544">
                  <c:v>542</c:v>
                </c:pt>
                <c:pt idx="545">
                  <c:v>543</c:v>
                </c:pt>
                <c:pt idx="546">
                  <c:v>544</c:v>
                </c:pt>
                <c:pt idx="547">
                  <c:v>545</c:v>
                </c:pt>
                <c:pt idx="548">
                  <c:v>546</c:v>
                </c:pt>
                <c:pt idx="549">
                  <c:v>547</c:v>
                </c:pt>
                <c:pt idx="550">
                  <c:v>548</c:v>
                </c:pt>
                <c:pt idx="551">
                  <c:v>549</c:v>
                </c:pt>
                <c:pt idx="552">
                  <c:v>550</c:v>
                </c:pt>
                <c:pt idx="553">
                  <c:v>551</c:v>
                </c:pt>
                <c:pt idx="554">
                  <c:v>552</c:v>
                </c:pt>
                <c:pt idx="555">
                  <c:v>553</c:v>
                </c:pt>
                <c:pt idx="556">
                  <c:v>554</c:v>
                </c:pt>
                <c:pt idx="557">
                  <c:v>555</c:v>
                </c:pt>
                <c:pt idx="558">
                  <c:v>556</c:v>
                </c:pt>
                <c:pt idx="559">
                  <c:v>557</c:v>
                </c:pt>
                <c:pt idx="560">
                  <c:v>558</c:v>
                </c:pt>
                <c:pt idx="561">
                  <c:v>559</c:v>
                </c:pt>
                <c:pt idx="562">
                  <c:v>560</c:v>
                </c:pt>
                <c:pt idx="563">
                  <c:v>561</c:v>
                </c:pt>
                <c:pt idx="564">
                  <c:v>562</c:v>
                </c:pt>
                <c:pt idx="565">
                  <c:v>563</c:v>
                </c:pt>
                <c:pt idx="566">
                  <c:v>564</c:v>
                </c:pt>
                <c:pt idx="567">
                  <c:v>565</c:v>
                </c:pt>
                <c:pt idx="568">
                  <c:v>566</c:v>
                </c:pt>
                <c:pt idx="569">
                  <c:v>567</c:v>
                </c:pt>
                <c:pt idx="570">
                  <c:v>568</c:v>
                </c:pt>
                <c:pt idx="571">
                  <c:v>569</c:v>
                </c:pt>
                <c:pt idx="572">
                  <c:v>570</c:v>
                </c:pt>
                <c:pt idx="573">
                  <c:v>571</c:v>
                </c:pt>
                <c:pt idx="574">
                  <c:v>572</c:v>
                </c:pt>
                <c:pt idx="575">
                  <c:v>573</c:v>
                </c:pt>
                <c:pt idx="576">
                  <c:v>574</c:v>
                </c:pt>
                <c:pt idx="577">
                  <c:v>575</c:v>
                </c:pt>
                <c:pt idx="578">
                  <c:v>576</c:v>
                </c:pt>
                <c:pt idx="579">
                  <c:v>577</c:v>
                </c:pt>
                <c:pt idx="580">
                  <c:v>578</c:v>
                </c:pt>
                <c:pt idx="581">
                  <c:v>579</c:v>
                </c:pt>
                <c:pt idx="582">
                  <c:v>580</c:v>
                </c:pt>
                <c:pt idx="583">
                  <c:v>581</c:v>
                </c:pt>
                <c:pt idx="584">
                  <c:v>582</c:v>
                </c:pt>
                <c:pt idx="585">
                  <c:v>583</c:v>
                </c:pt>
                <c:pt idx="586">
                  <c:v>584</c:v>
                </c:pt>
                <c:pt idx="587">
                  <c:v>585</c:v>
                </c:pt>
                <c:pt idx="588">
                  <c:v>586</c:v>
                </c:pt>
                <c:pt idx="589">
                  <c:v>587</c:v>
                </c:pt>
                <c:pt idx="590">
                  <c:v>588</c:v>
                </c:pt>
                <c:pt idx="591">
                  <c:v>589</c:v>
                </c:pt>
                <c:pt idx="592">
                  <c:v>590</c:v>
                </c:pt>
                <c:pt idx="593">
                  <c:v>591</c:v>
                </c:pt>
                <c:pt idx="594">
                  <c:v>592</c:v>
                </c:pt>
                <c:pt idx="595">
                  <c:v>593</c:v>
                </c:pt>
                <c:pt idx="596">
                  <c:v>594</c:v>
                </c:pt>
                <c:pt idx="597">
                  <c:v>595</c:v>
                </c:pt>
                <c:pt idx="598">
                  <c:v>596</c:v>
                </c:pt>
                <c:pt idx="599">
                  <c:v>597</c:v>
                </c:pt>
                <c:pt idx="600">
                  <c:v>598</c:v>
                </c:pt>
                <c:pt idx="601">
                  <c:v>599</c:v>
                </c:pt>
                <c:pt idx="602">
                  <c:v>600</c:v>
                </c:pt>
                <c:pt idx="603">
                  <c:v>601</c:v>
                </c:pt>
                <c:pt idx="604">
                  <c:v>602</c:v>
                </c:pt>
                <c:pt idx="605">
                  <c:v>603</c:v>
                </c:pt>
                <c:pt idx="606">
                  <c:v>604</c:v>
                </c:pt>
                <c:pt idx="607">
                  <c:v>605</c:v>
                </c:pt>
                <c:pt idx="608">
                  <c:v>606</c:v>
                </c:pt>
                <c:pt idx="609">
                  <c:v>607</c:v>
                </c:pt>
                <c:pt idx="610">
                  <c:v>608</c:v>
                </c:pt>
                <c:pt idx="611">
                  <c:v>609</c:v>
                </c:pt>
                <c:pt idx="612">
                  <c:v>610</c:v>
                </c:pt>
                <c:pt idx="613">
                  <c:v>611</c:v>
                </c:pt>
                <c:pt idx="614">
                  <c:v>612</c:v>
                </c:pt>
                <c:pt idx="615">
                  <c:v>613</c:v>
                </c:pt>
                <c:pt idx="616">
                  <c:v>614</c:v>
                </c:pt>
                <c:pt idx="617">
                  <c:v>615</c:v>
                </c:pt>
                <c:pt idx="618">
                  <c:v>616</c:v>
                </c:pt>
                <c:pt idx="619">
                  <c:v>617</c:v>
                </c:pt>
                <c:pt idx="620">
                  <c:v>618</c:v>
                </c:pt>
                <c:pt idx="621">
                  <c:v>619</c:v>
                </c:pt>
                <c:pt idx="622">
                  <c:v>620</c:v>
                </c:pt>
                <c:pt idx="623">
                  <c:v>621</c:v>
                </c:pt>
                <c:pt idx="624">
                  <c:v>622</c:v>
                </c:pt>
                <c:pt idx="625">
                  <c:v>623</c:v>
                </c:pt>
                <c:pt idx="626">
                  <c:v>624</c:v>
                </c:pt>
                <c:pt idx="627">
                  <c:v>625</c:v>
                </c:pt>
                <c:pt idx="628">
                  <c:v>626</c:v>
                </c:pt>
                <c:pt idx="629">
                  <c:v>627</c:v>
                </c:pt>
                <c:pt idx="630">
                  <c:v>628</c:v>
                </c:pt>
                <c:pt idx="631">
                  <c:v>629</c:v>
                </c:pt>
                <c:pt idx="632">
                  <c:v>630</c:v>
                </c:pt>
                <c:pt idx="633">
                  <c:v>631</c:v>
                </c:pt>
                <c:pt idx="634">
                  <c:v>632</c:v>
                </c:pt>
                <c:pt idx="635">
                  <c:v>633</c:v>
                </c:pt>
                <c:pt idx="636">
                  <c:v>634</c:v>
                </c:pt>
                <c:pt idx="637">
                  <c:v>635</c:v>
                </c:pt>
                <c:pt idx="638">
                  <c:v>636</c:v>
                </c:pt>
                <c:pt idx="639">
                  <c:v>637</c:v>
                </c:pt>
                <c:pt idx="640">
                  <c:v>638</c:v>
                </c:pt>
                <c:pt idx="641">
                  <c:v>639</c:v>
                </c:pt>
                <c:pt idx="642">
                  <c:v>640</c:v>
                </c:pt>
                <c:pt idx="643">
                  <c:v>641</c:v>
                </c:pt>
                <c:pt idx="644">
                  <c:v>642</c:v>
                </c:pt>
                <c:pt idx="645">
                  <c:v>643</c:v>
                </c:pt>
                <c:pt idx="646">
                  <c:v>644</c:v>
                </c:pt>
                <c:pt idx="647">
                  <c:v>645</c:v>
                </c:pt>
                <c:pt idx="648">
                  <c:v>646</c:v>
                </c:pt>
                <c:pt idx="649">
                  <c:v>647</c:v>
                </c:pt>
                <c:pt idx="650">
                  <c:v>648</c:v>
                </c:pt>
                <c:pt idx="651">
                  <c:v>649</c:v>
                </c:pt>
                <c:pt idx="652">
                  <c:v>650</c:v>
                </c:pt>
                <c:pt idx="653">
                  <c:v>651</c:v>
                </c:pt>
                <c:pt idx="654">
                  <c:v>652</c:v>
                </c:pt>
                <c:pt idx="655">
                  <c:v>653</c:v>
                </c:pt>
                <c:pt idx="656">
                  <c:v>654</c:v>
                </c:pt>
                <c:pt idx="657">
                  <c:v>655</c:v>
                </c:pt>
                <c:pt idx="658">
                  <c:v>656</c:v>
                </c:pt>
                <c:pt idx="659">
                  <c:v>657</c:v>
                </c:pt>
                <c:pt idx="660">
                  <c:v>658</c:v>
                </c:pt>
                <c:pt idx="661">
                  <c:v>659</c:v>
                </c:pt>
                <c:pt idx="662">
                  <c:v>660</c:v>
                </c:pt>
                <c:pt idx="663">
                  <c:v>661</c:v>
                </c:pt>
                <c:pt idx="664">
                  <c:v>662</c:v>
                </c:pt>
                <c:pt idx="665">
                  <c:v>663</c:v>
                </c:pt>
                <c:pt idx="666">
                  <c:v>664</c:v>
                </c:pt>
                <c:pt idx="667">
                  <c:v>665</c:v>
                </c:pt>
                <c:pt idx="668">
                  <c:v>666</c:v>
                </c:pt>
                <c:pt idx="669">
                  <c:v>667</c:v>
                </c:pt>
                <c:pt idx="670">
                  <c:v>668</c:v>
                </c:pt>
                <c:pt idx="671">
                  <c:v>669</c:v>
                </c:pt>
                <c:pt idx="672">
                  <c:v>670</c:v>
                </c:pt>
                <c:pt idx="673">
                  <c:v>671</c:v>
                </c:pt>
                <c:pt idx="674">
                  <c:v>672</c:v>
                </c:pt>
                <c:pt idx="675">
                  <c:v>673</c:v>
                </c:pt>
                <c:pt idx="676">
                  <c:v>674</c:v>
                </c:pt>
                <c:pt idx="677">
                  <c:v>675</c:v>
                </c:pt>
                <c:pt idx="678">
                  <c:v>676</c:v>
                </c:pt>
                <c:pt idx="679">
                  <c:v>677</c:v>
                </c:pt>
                <c:pt idx="680">
                  <c:v>678</c:v>
                </c:pt>
                <c:pt idx="681">
                  <c:v>679</c:v>
                </c:pt>
                <c:pt idx="682">
                  <c:v>680</c:v>
                </c:pt>
                <c:pt idx="683">
                  <c:v>681</c:v>
                </c:pt>
                <c:pt idx="684">
                  <c:v>682</c:v>
                </c:pt>
                <c:pt idx="685">
                  <c:v>683</c:v>
                </c:pt>
                <c:pt idx="686">
                  <c:v>684</c:v>
                </c:pt>
                <c:pt idx="687">
                  <c:v>685</c:v>
                </c:pt>
                <c:pt idx="688">
                  <c:v>686</c:v>
                </c:pt>
                <c:pt idx="689">
                  <c:v>687</c:v>
                </c:pt>
                <c:pt idx="690">
                  <c:v>688</c:v>
                </c:pt>
                <c:pt idx="691">
                  <c:v>689</c:v>
                </c:pt>
                <c:pt idx="692">
                  <c:v>690</c:v>
                </c:pt>
                <c:pt idx="693">
                  <c:v>691</c:v>
                </c:pt>
                <c:pt idx="694">
                  <c:v>692</c:v>
                </c:pt>
                <c:pt idx="695">
                  <c:v>693</c:v>
                </c:pt>
                <c:pt idx="696">
                  <c:v>694</c:v>
                </c:pt>
                <c:pt idx="697">
                  <c:v>695</c:v>
                </c:pt>
                <c:pt idx="698">
                  <c:v>696</c:v>
                </c:pt>
                <c:pt idx="699">
                  <c:v>697</c:v>
                </c:pt>
                <c:pt idx="700">
                  <c:v>698</c:v>
                </c:pt>
                <c:pt idx="701">
                  <c:v>699</c:v>
                </c:pt>
                <c:pt idx="702">
                  <c:v>700</c:v>
                </c:pt>
                <c:pt idx="703">
                  <c:v>701</c:v>
                </c:pt>
                <c:pt idx="704">
                  <c:v>702</c:v>
                </c:pt>
                <c:pt idx="705">
                  <c:v>703</c:v>
                </c:pt>
                <c:pt idx="706">
                  <c:v>704</c:v>
                </c:pt>
                <c:pt idx="707">
                  <c:v>705</c:v>
                </c:pt>
                <c:pt idx="708">
                  <c:v>706</c:v>
                </c:pt>
                <c:pt idx="709">
                  <c:v>707</c:v>
                </c:pt>
                <c:pt idx="710">
                  <c:v>708</c:v>
                </c:pt>
                <c:pt idx="711">
                  <c:v>709</c:v>
                </c:pt>
                <c:pt idx="712">
                  <c:v>710</c:v>
                </c:pt>
                <c:pt idx="713">
                  <c:v>711</c:v>
                </c:pt>
                <c:pt idx="714">
                  <c:v>712</c:v>
                </c:pt>
                <c:pt idx="715">
                  <c:v>713</c:v>
                </c:pt>
                <c:pt idx="716">
                  <c:v>714</c:v>
                </c:pt>
                <c:pt idx="717">
                  <c:v>715</c:v>
                </c:pt>
                <c:pt idx="718">
                  <c:v>716</c:v>
                </c:pt>
                <c:pt idx="719">
                  <c:v>717</c:v>
                </c:pt>
                <c:pt idx="720">
                  <c:v>718</c:v>
                </c:pt>
                <c:pt idx="721">
                  <c:v>719</c:v>
                </c:pt>
                <c:pt idx="722">
                  <c:v>720</c:v>
                </c:pt>
                <c:pt idx="723">
                  <c:v>721</c:v>
                </c:pt>
                <c:pt idx="724">
                  <c:v>722</c:v>
                </c:pt>
                <c:pt idx="725">
                  <c:v>723</c:v>
                </c:pt>
                <c:pt idx="726">
                  <c:v>724</c:v>
                </c:pt>
                <c:pt idx="727">
                  <c:v>725</c:v>
                </c:pt>
                <c:pt idx="728">
                  <c:v>726</c:v>
                </c:pt>
                <c:pt idx="729">
                  <c:v>727</c:v>
                </c:pt>
                <c:pt idx="730">
                  <c:v>728</c:v>
                </c:pt>
                <c:pt idx="731">
                  <c:v>729</c:v>
                </c:pt>
                <c:pt idx="732">
                  <c:v>730</c:v>
                </c:pt>
                <c:pt idx="733">
                  <c:v>731</c:v>
                </c:pt>
                <c:pt idx="734">
                  <c:v>732</c:v>
                </c:pt>
                <c:pt idx="735">
                  <c:v>733</c:v>
                </c:pt>
                <c:pt idx="736">
                  <c:v>734</c:v>
                </c:pt>
                <c:pt idx="737">
                  <c:v>735</c:v>
                </c:pt>
                <c:pt idx="738">
                  <c:v>736</c:v>
                </c:pt>
                <c:pt idx="739">
                  <c:v>737</c:v>
                </c:pt>
                <c:pt idx="740">
                  <c:v>738</c:v>
                </c:pt>
                <c:pt idx="741">
                  <c:v>739</c:v>
                </c:pt>
                <c:pt idx="742">
                  <c:v>740</c:v>
                </c:pt>
                <c:pt idx="743">
                  <c:v>741</c:v>
                </c:pt>
                <c:pt idx="744">
                  <c:v>742</c:v>
                </c:pt>
                <c:pt idx="745">
                  <c:v>743</c:v>
                </c:pt>
                <c:pt idx="746">
                  <c:v>744</c:v>
                </c:pt>
                <c:pt idx="747">
                  <c:v>745</c:v>
                </c:pt>
                <c:pt idx="748">
                  <c:v>746</c:v>
                </c:pt>
                <c:pt idx="749">
                  <c:v>747</c:v>
                </c:pt>
                <c:pt idx="750">
                  <c:v>748</c:v>
                </c:pt>
                <c:pt idx="751">
                  <c:v>749</c:v>
                </c:pt>
                <c:pt idx="752">
                  <c:v>750</c:v>
                </c:pt>
                <c:pt idx="753">
                  <c:v>751</c:v>
                </c:pt>
                <c:pt idx="754">
                  <c:v>752</c:v>
                </c:pt>
                <c:pt idx="755">
                  <c:v>753</c:v>
                </c:pt>
                <c:pt idx="756">
                  <c:v>754</c:v>
                </c:pt>
                <c:pt idx="757">
                  <c:v>755</c:v>
                </c:pt>
                <c:pt idx="758">
                  <c:v>756</c:v>
                </c:pt>
                <c:pt idx="759">
                  <c:v>757</c:v>
                </c:pt>
                <c:pt idx="760">
                  <c:v>758</c:v>
                </c:pt>
                <c:pt idx="761">
                  <c:v>759</c:v>
                </c:pt>
                <c:pt idx="762">
                  <c:v>760</c:v>
                </c:pt>
                <c:pt idx="763">
                  <c:v>761</c:v>
                </c:pt>
                <c:pt idx="764">
                  <c:v>762</c:v>
                </c:pt>
                <c:pt idx="765">
                  <c:v>763</c:v>
                </c:pt>
                <c:pt idx="766">
                  <c:v>764</c:v>
                </c:pt>
                <c:pt idx="767">
                  <c:v>765</c:v>
                </c:pt>
                <c:pt idx="768">
                  <c:v>766</c:v>
                </c:pt>
                <c:pt idx="769">
                  <c:v>767</c:v>
                </c:pt>
                <c:pt idx="770">
                  <c:v>768</c:v>
                </c:pt>
                <c:pt idx="771">
                  <c:v>769</c:v>
                </c:pt>
                <c:pt idx="772">
                  <c:v>770</c:v>
                </c:pt>
                <c:pt idx="773">
                  <c:v>771</c:v>
                </c:pt>
                <c:pt idx="774">
                  <c:v>772</c:v>
                </c:pt>
                <c:pt idx="775">
                  <c:v>773</c:v>
                </c:pt>
                <c:pt idx="776">
                  <c:v>774</c:v>
                </c:pt>
                <c:pt idx="777">
                  <c:v>775</c:v>
                </c:pt>
                <c:pt idx="778">
                  <c:v>776</c:v>
                </c:pt>
                <c:pt idx="779">
                  <c:v>777</c:v>
                </c:pt>
                <c:pt idx="780">
                  <c:v>778</c:v>
                </c:pt>
                <c:pt idx="781">
                  <c:v>779</c:v>
                </c:pt>
                <c:pt idx="782">
                  <c:v>780</c:v>
                </c:pt>
                <c:pt idx="783">
                  <c:v>781</c:v>
                </c:pt>
                <c:pt idx="784">
                  <c:v>782</c:v>
                </c:pt>
                <c:pt idx="785">
                  <c:v>783</c:v>
                </c:pt>
                <c:pt idx="786">
                  <c:v>784</c:v>
                </c:pt>
                <c:pt idx="787">
                  <c:v>785</c:v>
                </c:pt>
                <c:pt idx="788">
                  <c:v>786</c:v>
                </c:pt>
                <c:pt idx="789">
                  <c:v>787</c:v>
                </c:pt>
                <c:pt idx="790">
                  <c:v>788</c:v>
                </c:pt>
                <c:pt idx="791">
                  <c:v>789</c:v>
                </c:pt>
                <c:pt idx="792">
                  <c:v>790</c:v>
                </c:pt>
                <c:pt idx="793">
                  <c:v>791</c:v>
                </c:pt>
                <c:pt idx="794">
                  <c:v>792</c:v>
                </c:pt>
                <c:pt idx="795">
                  <c:v>793</c:v>
                </c:pt>
                <c:pt idx="796">
                  <c:v>794</c:v>
                </c:pt>
                <c:pt idx="797">
                  <c:v>795</c:v>
                </c:pt>
                <c:pt idx="798">
                  <c:v>796</c:v>
                </c:pt>
                <c:pt idx="799">
                  <c:v>797</c:v>
                </c:pt>
                <c:pt idx="800">
                  <c:v>798</c:v>
                </c:pt>
                <c:pt idx="801">
                  <c:v>799</c:v>
                </c:pt>
                <c:pt idx="802">
                  <c:v>800</c:v>
                </c:pt>
                <c:pt idx="803">
                  <c:v>801</c:v>
                </c:pt>
                <c:pt idx="804">
                  <c:v>802</c:v>
                </c:pt>
                <c:pt idx="805">
                  <c:v>803</c:v>
                </c:pt>
                <c:pt idx="806">
                  <c:v>804</c:v>
                </c:pt>
                <c:pt idx="807">
                  <c:v>805</c:v>
                </c:pt>
                <c:pt idx="808">
                  <c:v>806</c:v>
                </c:pt>
                <c:pt idx="809">
                  <c:v>807</c:v>
                </c:pt>
                <c:pt idx="810">
                  <c:v>808</c:v>
                </c:pt>
                <c:pt idx="811">
                  <c:v>809</c:v>
                </c:pt>
                <c:pt idx="812">
                  <c:v>810</c:v>
                </c:pt>
                <c:pt idx="813">
                  <c:v>811</c:v>
                </c:pt>
                <c:pt idx="814">
                  <c:v>812</c:v>
                </c:pt>
                <c:pt idx="815">
                  <c:v>813</c:v>
                </c:pt>
                <c:pt idx="816">
                  <c:v>814</c:v>
                </c:pt>
                <c:pt idx="817">
                  <c:v>815</c:v>
                </c:pt>
                <c:pt idx="818">
                  <c:v>816</c:v>
                </c:pt>
                <c:pt idx="819">
                  <c:v>817</c:v>
                </c:pt>
                <c:pt idx="820">
                  <c:v>818</c:v>
                </c:pt>
                <c:pt idx="821">
                  <c:v>819</c:v>
                </c:pt>
                <c:pt idx="822">
                  <c:v>820</c:v>
                </c:pt>
                <c:pt idx="823">
                  <c:v>821</c:v>
                </c:pt>
                <c:pt idx="824">
                  <c:v>822</c:v>
                </c:pt>
                <c:pt idx="825">
                  <c:v>823</c:v>
                </c:pt>
                <c:pt idx="826">
                  <c:v>824</c:v>
                </c:pt>
                <c:pt idx="827">
                  <c:v>825</c:v>
                </c:pt>
                <c:pt idx="828">
                  <c:v>826</c:v>
                </c:pt>
                <c:pt idx="829">
                  <c:v>827</c:v>
                </c:pt>
                <c:pt idx="830">
                  <c:v>828</c:v>
                </c:pt>
                <c:pt idx="831">
                  <c:v>829</c:v>
                </c:pt>
                <c:pt idx="832">
                  <c:v>830</c:v>
                </c:pt>
                <c:pt idx="833">
                  <c:v>831</c:v>
                </c:pt>
                <c:pt idx="834">
                  <c:v>832</c:v>
                </c:pt>
                <c:pt idx="835">
                  <c:v>833</c:v>
                </c:pt>
                <c:pt idx="836">
                  <c:v>834</c:v>
                </c:pt>
                <c:pt idx="837">
                  <c:v>835</c:v>
                </c:pt>
                <c:pt idx="838">
                  <c:v>836</c:v>
                </c:pt>
                <c:pt idx="839">
                  <c:v>837</c:v>
                </c:pt>
                <c:pt idx="840">
                  <c:v>838</c:v>
                </c:pt>
                <c:pt idx="841">
                  <c:v>839</c:v>
                </c:pt>
                <c:pt idx="842">
                  <c:v>840</c:v>
                </c:pt>
                <c:pt idx="843">
                  <c:v>841</c:v>
                </c:pt>
                <c:pt idx="844">
                  <c:v>842</c:v>
                </c:pt>
                <c:pt idx="845">
                  <c:v>843</c:v>
                </c:pt>
                <c:pt idx="846">
                  <c:v>844</c:v>
                </c:pt>
                <c:pt idx="847">
                  <c:v>845</c:v>
                </c:pt>
                <c:pt idx="848">
                  <c:v>846</c:v>
                </c:pt>
                <c:pt idx="849">
                  <c:v>847</c:v>
                </c:pt>
                <c:pt idx="850">
                  <c:v>848</c:v>
                </c:pt>
                <c:pt idx="851">
                  <c:v>849</c:v>
                </c:pt>
                <c:pt idx="852">
                  <c:v>850</c:v>
                </c:pt>
                <c:pt idx="853">
                  <c:v>851</c:v>
                </c:pt>
                <c:pt idx="854">
                  <c:v>852</c:v>
                </c:pt>
                <c:pt idx="855">
                  <c:v>853</c:v>
                </c:pt>
                <c:pt idx="856">
                  <c:v>854</c:v>
                </c:pt>
                <c:pt idx="857">
                  <c:v>855</c:v>
                </c:pt>
                <c:pt idx="858">
                  <c:v>856</c:v>
                </c:pt>
                <c:pt idx="859">
                  <c:v>857</c:v>
                </c:pt>
                <c:pt idx="860">
                  <c:v>858</c:v>
                </c:pt>
                <c:pt idx="861">
                  <c:v>859</c:v>
                </c:pt>
                <c:pt idx="862">
                  <c:v>860</c:v>
                </c:pt>
                <c:pt idx="863">
                  <c:v>861</c:v>
                </c:pt>
                <c:pt idx="864">
                  <c:v>862</c:v>
                </c:pt>
                <c:pt idx="865">
                  <c:v>863</c:v>
                </c:pt>
                <c:pt idx="866">
                  <c:v>864</c:v>
                </c:pt>
                <c:pt idx="867">
                  <c:v>865</c:v>
                </c:pt>
                <c:pt idx="868">
                  <c:v>866</c:v>
                </c:pt>
                <c:pt idx="869">
                  <c:v>867</c:v>
                </c:pt>
                <c:pt idx="870">
                  <c:v>868</c:v>
                </c:pt>
                <c:pt idx="871">
                  <c:v>869</c:v>
                </c:pt>
                <c:pt idx="872">
                  <c:v>870</c:v>
                </c:pt>
                <c:pt idx="873">
                  <c:v>871</c:v>
                </c:pt>
                <c:pt idx="874">
                  <c:v>872</c:v>
                </c:pt>
                <c:pt idx="875">
                  <c:v>873</c:v>
                </c:pt>
                <c:pt idx="876">
                  <c:v>874</c:v>
                </c:pt>
                <c:pt idx="877">
                  <c:v>875</c:v>
                </c:pt>
                <c:pt idx="878">
                  <c:v>876</c:v>
                </c:pt>
                <c:pt idx="879">
                  <c:v>877</c:v>
                </c:pt>
                <c:pt idx="880">
                  <c:v>878</c:v>
                </c:pt>
                <c:pt idx="881">
                  <c:v>879</c:v>
                </c:pt>
                <c:pt idx="882">
                  <c:v>880</c:v>
                </c:pt>
                <c:pt idx="883">
                  <c:v>881</c:v>
                </c:pt>
                <c:pt idx="884">
                  <c:v>882</c:v>
                </c:pt>
                <c:pt idx="885">
                  <c:v>883</c:v>
                </c:pt>
                <c:pt idx="886">
                  <c:v>884</c:v>
                </c:pt>
                <c:pt idx="887">
                  <c:v>885</c:v>
                </c:pt>
                <c:pt idx="888">
                  <c:v>886</c:v>
                </c:pt>
                <c:pt idx="889">
                  <c:v>887</c:v>
                </c:pt>
                <c:pt idx="890">
                  <c:v>888</c:v>
                </c:pt>
                <c:pt idx="891">
                  <c:v>889</c:v>
                </c:pt>
                <c:pt idx="892">
                  <c:v>890</c:v>
                </c:pt>
                <c:pt idx="893">
                  <c:v>891</c:v>
                </c:pt>
                <c:pt idx="894">
                  <c:v>892</c:v>
                </c:pt>
                <c:pt idx="895">
                  <c:v>893</c:v>
                </c:pt>
                <c:pt idx="896">
                  <c:v>894</c:v>
                </c:pt>
                <c:pt idx="897">
                  <c:v>895</c:v>
                </c:pt>
                <c:pt idx="898">
                  <c:v>896</c:v>
                </c:pt>
                <c:pt idx="899">
                  <c:v>897</c:v>
                </c:pt>
                <c:pt idx="900">
                  <c:v>898</c:v>
                </c:pt>
                <c:pt idx="901">
                  <c:v>899</c:v>
                </c:pt>
                <c:pt idx="902">
                  <c:v>900</c:v>
                </c:pt>
                <c:pt idx="903">
                  <c:v>901</c:v>
                </c:pt>
                <c:pt idx="904">
                  <c:v>902</c:v>
                </c:pt>
                <c:pt idx="905">
                  <c:v>903</c:v>
                </c:pt>
                <c:pt idx="906">
                  <c:v>904</c:v>
                </c:pt>
                <c:pt idx="907">
                  <c:v>905</c:v>
                </c:pt>
                <c:pt idx="908">
                  <c:v>906</c:v>
                </c:pt>
                <c:pt idx="909">
                  <c:v>907</c:v>
                </c:pt>
                <c:pt idx="910">
                  <c:v>908</c:v>
                </c:pt>
                <c:pt idx="911">
                  <c:v>909</c:v>
                </c:pt>
                <c:pt idx="912">
                  <c:v>910</c:v>
                </c:pt>
                <c:pt idx="913">
                  <c:v>911</c:v>
                </c:pt>
                <c:pt idx="914">
                  <c:v>912</c:v>
                </c:pt>
                <c:pt idx="915">
                  <c:v>913</c:v>
                </c:pt>
                <c:pt idx="916">
                  <c:v>914</c:v>
                </c:pt>
                <c:pt idx="917">
                  <c:v>915</c:v>
                </c:pt>
                <c:pt idx="918">
                  <c:v>916</c:v>
                </c:pt>
                <c:pt idx="919">
                  <c:v>917</c:v>
                </c:pt>
                <c:pt idx="920">
                  <c:v>918</c:v>
                </c:pt>
                <c:pt idx="921">
                  <c:v>919</c:v>
                </c:pt>
                <c:pt idx="922">
                  <c:v>920</c:v>
                </c:pt>
                <c:pt idx="923">
                  <c:v>921</c:v>
                </c:pt>
                <c:pt idx="924">
                  <c:v>922</c:v>
                </c:pt>
                <c:pt idx="925">
                  <c:v>923</c:v>
                </c:pt>
                <c:pt idx="926">
                  <c:v>924</c:v>
                </c:pt>
                <c:pt idx="927">
                  <c:v>925</c:v>
                </c:pt>
                <c:pt idx="928">
                  <c:v>926</c:v>
                </c:pt>
                <c:pt idx="929">
                  <c:v>927</c:v>
                </c:pt>
                <c:pt idx="930">
                  <c:v>928</c:v>
                </c:pt>
                <c:pt idx="931">
                  <c:v>929</c:v>
                </c:pt>
                <c:pt idx="932">
                  <c:v>930</c:v>
                </c:pt>
                <c:pt idx="933">
                  <c:v>931</c:v>
                </c:pt>
                <c:pt idx="934">
                  <c:v>932</c:v>
                </c:pt>
                <c:pt idx="935">
                  <c:v>933</c:v>
                </c:pt>
                <c:pt idx="936">
                  <c:v>934</c:v>
                </c:pt>
                <c:pt idx="937">
                  <c:v>935</c:v>
                </c:pt>
                <c:pt idx="938">
                  <c:v>936</c:v>
                </c:pt>
                <c:pt idx="939">
                  <c:v>937</c:v>
                </c:pt>
                <c:pt idx="940">
                  <c:v>938</c:v>
                </c:pt>
                <c:pt idx="941">
                  <c:v>939</c:v>
                </c:pt>
                <c:pt idx="942">
                  <c:v>940</c:v>
                </c:pt>
                <c:pt idx="943">
                  <c:v>941</c:v>
                </c:pt>
                <c:pt idx="944">
                  <c:v>942</c:v>
                </c:pt>
                <c:pt idx="945">
                  <c:v>943</c:v>
                </c:pt>
                <c:pt idx="946">
                  <c:v>944</c:v>
                </c:pt>
                <c:pt idx="947">
                  <c:v>945</c:v>
                </c:pt>
                <c:pt idx="948">
                  <c:v>946</c:v>
                </c:pt>
                <c:pt idx="949">
                  <c:v>947</c:v>
                </c:pt>
                <c:pt idx="950">
                  <c:v>948</c:v>
                </c:pt>
                <c:pt idx="951">
                  <c:v>949</c:v>
                </c:pt>
                <c:pt idx="952">
                  <c:v>950</c:v>
                </c:pt>
                <c:pt idx="953">
                  <c:v>951</c:v>
                </c:pt>
                <c:pt idx="954">
                  <c:v>952</c:v>
                </c:pt>
                <c:pt idx="955">
                  <c:v>953</c:v>
                </c:pt>
                <c:pt idx="956">
                  <c:v>954</c:v>
                </c:pt>
                <c:pt idx="957">
                  <c:v>955</c:v>
                </c:pt>
                <c:pt idx="958">
                  <c:v>956</c:v>
                </c:pt>
                <c:pt idx="959">
                  <c:v>957</c:v>
                </c:pt>
                <c:pt idx="960">
                  <c:v>958</c:v>
                </c:pt>
                <c:pt idx="961">
                  <c:v>959</c:v>
                </c:pt>
                <c:pt idx="962">
                  <c:v>960</c:v>
                </c:pt>
                <c:pt idx="963">
                  <c:v>961</c:v>
                </c:pt>
                <c:pt idx="964">
                  <c:v>962</c:v>
                </c:pt>
                <c:pt idx="965">
                  <c:v>963</c:v>
                </c:pt>
                <c:pt idx="966">
                  <c:v>964</c:v>
                </c:pt>
                <c:pt idx="967">
                  <c:v>965</c:v>
                </c:pt>
                <c:pt idx="968">
                  <c:v>966</c:v>
                </c:pt>
                <c:pt idx="969">
                  <c:v>967</c:v>
                </c:pt>
                <c:pt idx="970">
                  <c:v>968</c:v>
                </c:pt>
                <c:pt idx="971">
                  <c:v>969</c:v>
                </c:pt>
                <c:pt idx="972">
                  <c:v>970</c:v>
                </c:pt>
                <c:pt idx="973">
                  <c:v>971</c:v>
                </c:pt>
                <c:pt idx="974">
                  <c:v>972</c:v>
                </c:pt>
                <c:pt idx="975">
                  <c:v>973</c:v>
                </c:pt>
                <c:pt idx="976">
                  <c:v>974</c:v>
                </c:pt>
                <c:pt idx="977">
                  <c:v>975</c:v>
                </c:pt>
                <c:pt idx="978">
                  <c:v>976</c:v>
                </c:pt>
                <c:pt idx="979">
                  <c:v>977</c:v>
                </c:pt>
                <c:pt idx="980">
                  <c:v>978</c:v>
                </c:pt>
                <c:pt idx="981">
                  <c:v>979</c:v>
                </c:pt>
                <c:pt idx="982">
                  <c:v>980</c:v>
                </c:pt>
                <c:pt idx="983">
                  <c:v>981</c:v>
                </c:pt>
                <c:pt idx="984">
                  <c:v>982</c:v>
                </c:pt>
                <c:pt idx="985">
                  <c:v>983</c:v>
                </c:pt>
                <c:pt idx="986">
                  <c:v>984</c:v>
                </c:pt>
                <c:pt idx="987">
                  <c:v>985</c:v>
                </c:pt>
                <c:pt idx="988">
                  <c:v>986</c:v>
                </c:pt>
                <c:pt idx="989">
                  <c:v>987</c:v>
                </c:pt>
                <c:pt idx="990">
                  <c:v>988</c:v>
                </c:pt>
                <c:pt idx="991">
                  <c:v>989</c:v>
                </c:pt>
                <c:pt idx="992">
                  <c:v>990</c:v>
                </c:pt>
                <c:pt idx="993">
                  <c:v>991</c:v>
                </c:pt>
                <c:pt idx="994">
                  <c:v>992</c:v>
                </c:pt>
                <c:pt idx="995">
                  <c:v>993</c:v>
                </c:pt>
                <c:pt idx="996">
                  <c:v>994</c:v>
                </c:pt>
                <c:pt idx="997">
                  <c:v>995</c:v>
                </c:pt>
                <c:pt idx="998">
                  <c:v>996</c:v>
                </c:pt>
                <c:pt idx="999">
                  <c:v>997</c:v>
                </c:pt>
                <c:pt idx="1000">
                  <c:v>998</c:v>
                </c:pt>
                <c:pt idx="1001">
                  <c:v>999</c:v>
                </c:pt>
                <c:pt idx="1002">
                  <c:v>1000</c:v>
                </c:pt>
              </c:strCache>
            </c:strRef>
          </c:xVal>
          <c:yVal>
            <c:numRef>
              <c:f>'Kinetic Model'!$H$3:$H$1048576</c:f>
              <c:numCache>
                <c:formatCode>General</c:formatCode>
                <c:ptCount val="1048574"/>
                <c:pt idx="0">
                  <c:v>0</c:v>
                </c:pt>
                <c:pt idx="1">
                  <c:v>13.034853883912113</c:v>
                </c:pt>
                <c:pt idx="2">
                  <c:v>39.103514394531629</c:v>
                </c:pt>
                <c:pt idx="3">
                  <c:v>78.203363515056196</c:v>
                </c:pt>
                <c:pt idx="4">
                  <c:v>130.33021288976363</c:v>
                </c:pt>
                <c:pt idx="5">
                  <c:v>195.47830456010351</c:v>
                </c:pt>
                <c:pt idx="6">
                  <c:v>273.64031201602495</c:v>
                </c:pt>
                <c:pt idx="7">
                  <c:v>364.80734156227481</c:v>
                </c:pt>
                <c:pt idx="8">
                  <c:v>468.96893399931139</c:v>
                </c:pt>
                <c:pt idx="9">
                  <c:v>586.11306661839069</c:v>
                </c:pt>
                <c:pt idx="10">
                  <c:v>716.22615551029389</c:v>
                </c:pt>
                <c:pt idx="11">
                  <c:v>859.29305818707644</c:v>
                </c:pt>
                <c:pt idx="12">
                  <c:v>1015.2970765161322</c:v>
                </c:pt>
                <c:pt idx="13">
                  <c:v>1184.2199599657756</c:v>
                </c:pt>
                <c:pt idx="14">
                  <c:v>1366.0419091614626</c:v>
                </c:pt>
                <c:pt idx="15">
                  <c:v>1560.7415797516769</c:v>
                </c:pt>
                <c:pt idx="16">
                  <c:v>1768.2960865824298</c:v>
                </c:pt>
                <c:pt idx="17">
                  <c:v>1988.6810081792271</c:v>
                </c:pt>
                <c:pt idx="18">
                  <c:v>2221.8703915352771</c:v>
                </c:pt>
                <c:pt idx="19">
                  <c:v>2467.8367572046245</c:v>
                </c:pt>
                <c:pt idx="20">
                  <c:v>2726.5511046988122</c:v>
                </c:pt>
                <c:pt idx="21">
                  <c:v>2997.9829181855857</c:v>
                </c:pt>
                <c:pt idx="22">
                  <c:v>3282.1001724880734</c:v>
                </c:pt>
                <c:pt idx="23">
                  <c:v>3578.8693393827921</c:v>
                </c:pt>
                <c:pt idx="24">
                  <c:v>3888.2553941947431</c:v>
                </c:pt>
                <c:pt idx="25">
                  <c:v>4210.2218226877822</c:v>
                </c:pt>
                <c:pt idx="26">
                  <c:v>4544.730628248366</c:v>
                </c:pt>
                <c:pt idx="27">
                  <c:v>4891.742339360696</c:v>
                </c:pt>
                <c:pt idx="28">
                  <c:v>5251.2160173711991</c:v>
                </c:pt>
                <c:pt idx="29">
                  <c:v>5623.1092645402086</c:v>
                </c:pt>
                <c:pt idx="30">
                  <c:v>6007.3782323786281</c:v>
                </c:pt>
                <c:pt idx="31">
                  <c:v>6403.9776302672781</c:v>
                </c:pt>
                <c:pt idx="32">
                  <c:v>6812.8607343565573</c:v>
                </c:pt>
                <c:pt idx="33">
                  <c:v>7233.9793967439718</c:v>
                </c:pt>
                <c:pt idx="34">
                  <c:v>7667.2840549269968</c:v>
                </c:pt>
                <c:pt idx="35">
                  <c:v>8112.7237415286836</c:v>
                </c:pt>
                <c:pt idx="36">
                  <c:v>8570.2460942933358</c:v>
                </c:pt>
                <c:pt idx="37">
                  <c:v>9039.7973663494995</c:v>
                </c:pt>
                <c:pt idx="38">
                  <c:v>9521.3224367374696</c:v>
                </c:pt>
                <c:pt idx="39">
                  <c:v>10014.764821198401</c:v>
                </c:pt>
                <c:pt idx="40">
                  <c:v>10520.06668322209</c:v>
                </c:pt>
                <c:pt idx="41">
                  <c:v>11037.168845350376</c:v>
                </c:pt>
                <c:pt idx="42">
                  <c:v>11566.010800733089</c:v>
                </c:pt>
                <c:pt idx="43">
                  <c:v>12106.530724933382</c:v>
                </c:pt>
                <c:pt idx="44">
                  <c:v>12658.665487979191</c:v>
                </c:pt>
                <c:pt idx="45">
                  <c:v>13222.350666657585</c:v>
                </c:pt>
                <c:pt idx="46">
                  <c:v>13797.5205570486</c:v>
                </c:pt>
                <c:pt idx="47">
                  <c:v>14384.10818729518</c:v>
                </c:pt>
                <c:pt idx="48">
                  <c:v>14982.045330605728</c:v>
                </c:pt>
                <c:pt idx="49">
                  <c:v>15591.262518485733</c:v>
                </c:pt>
                <c:pt idx="50">
                  <c:v>16211.689054194894</c:v>
                </c:pt>
                <c:pt idx="51">
                  <c:v>16843.253026426064</c:v>
                </c:pt>
                <c:pt idx="52">
                  <c:v>17485.881323202339</c:v>
                </c:pt>
                <c:pt idx="53">
                  <c:v>18139.499645988493</c:v>
                </c:pt>
                <c:pt idx="54">
                  <c:v>18804.032524012982</c:v>
                </c:pt>
                <c:pt idx="55">
                  <c:v>19479.40332879663</c:v>
                </c:pt>
                <c:pt idx="56">
                  <c:v>20165.534288884075</c:v>
                </c:pt>
                <c:pt idx="57">
                  <c:v>20862.346504774021</c:v>
                </c:pt>
                <c:pt idx="58">
                  <c:v>21569.759964044286</c:v>
                </c:pt>
                <c:pt idx="59">
                  <c:v>22287.693556667564</c:v>
                </c:pt>
                <c:pt idx="60">
                  <c:v>23016.065090513821</c:v>
                </c:pt>
                <c:pt idx="61">
                  <c:v>23754.791307035164</c:v>
                </c:pt>
                <c:pt idx="62">
                  <c:v>24503.787897128983</c:v>
                </c:pt>
                <c:pt idx="63">
                  <c:v>25262.969517175159</c:v>
                </c:pt>
                <c:pt idx="64">
                  <c:v>26032.249805243035</c:v>
                </c:pt>
                <c:pt idx="65">
                  <c:v>26811.541397463876</c:v>
                </c:pt>
                <c:pt idx="66">
                  <c:v>27600.755944564444</c:v>
                </c:pt>
                <c:pt idx="67">
                  <c:v>28399.804128557324</c:v>
                </c:pt>
                <c:pt idx="68">
                  <c:v>29208.595679583577</c:v>
                </c:pt>
                <c:pt idx="69">
                  <c:v>30027.039392903291</c:v>
                </c:pt>
                <c:pt idx="70">
                  <c:v>30855.043146029537</c:v>
                </c:pt>
                <c:pt idx="71">
                  <c:v>31692.51391600124</c:v>
                </c:pt>
                <c:pt idx="72">
                  <c:v>32539.35779679042</c:v>
                </c:pt>
                <c:pt idx="73">
                  <c:v>33395.480016839261</c:v>
                </c:pt>
                <c:pt idx="74">
                  <c:v>34260.784956722397</c:v>
                </c:pt>
                <c:pt idx="75">
                  <c:v>35135.176166929872</c:v>
                </c:pt>
                <c:pt idx="76">
                  <c:v>36018.556385766067</c:v>
                </c:pt>
                <c:pt idx="77">
                  <c:v>36910.827557360011</c:v>
                </c:pt>
                <c:pt idx="78">
                  <c:v>37811.890849782394</c:v>
                </c:pt>
                <c:pt idx="79">
                  <c:v>38721.646673264593</c:v>
                </c:pt>
                <c:pt idx="80">
                  <c:v>39639.994698515024</c:v>
                </c:pt>
                <c:pt idx="81">
                  <c:v>40566.833875128119</c:v>
                </c:pt>
                <c:pt idx="82">
                  <c:v>41502.062450081183</c:v>
                </c:pt>
                <c:pt idx="83">
                  <c:v>42445.577986314463</c:v>
                </c:pt>
                <c:pt idx="84">
                  <c:v>43397.277381389591</c:v>
                </c:pt>
                <c:pt idx="85">
                  <c:v>44357.056886221733</c:v>
                </c:pt>
                <c:pt idx="86">
                  <c:v>45324.812123880693</c:v>
                </c:pt>
                <c:pt idx="87">
                  <c:v>46300.438108456154</c:v>
                </c:pt>
                <c:pt idx="88">
                  <c:v>47283.829263982363</c:v>
                </c:pt>
                <c:pt idx="89">
                  <c:v>48274.879443417456</c:v>
                </c:pt>
                <c:pt idx="90">
                  <c:v>49273.481947672684</c:v>
                </c:pt>
                <c:pt idx="91">
                  <c:v>50279.529544686804</c:v>
                </c:pt>
                <c:pt idx="92">
                  <c:v>51292.914488540824</c:v>
                </c:pt>
                <c:pt idx="93">
                  <c:v>52313.5285386084</c:v>
                </c:pt>
                <c:pt idx="94">
                  <c:v>53341.262978737148</c:v>
                </c:pt>
                <c:pt idx="95">
                  <c:v>54376.008636456092</c:v>
                </c:pt>
                <c:pt idx="96">
                  <c:v>55417.655902204577</c:v>
                </c:pt>
                <c:pt idx="97">
                  <c:v>56466.094748577889</c:v>
                </c:pt>
                <c:pt idx="98">
                  <c:v>57521.214749584913</c:v>
                </c:pt>
                <c:pt idx="99">
                  <c:v>58582.905099913143</c:v>
                </c:pt>
                <c:pt idx="100">
                  <c:v>59651.054634196313</c:v>
                </c:pt>
                <c:pt idx="101">
                  <c:v>60725.551846280112</c:v>
                </c:pt>
                <c:pt idx="102">
                  <c:v>61806.284908481219</c:v>
                </c:pt>
                <c:pt idx="103">
                  <c:v>62893.141690835117</c:v>
                </c:pt>
                <c:pt idx="104">
                  <c:v>63986.009780328102</c:v>
                </c:pt>
                <c:pt idx="105">
                  <c:v>65084.776500108848</c:v>
                </c:pt>
                <c:pt idx="106">
                  <c:v>66189.328928675037</c:v>
                </c:pt>
                <c:pt idx="107">
                  <c:v>67299.553919030513</c:v>
                </c:pt>
                <c:pt idx="108">
                  <c:v>68415.338117808453</c:v>
                </c:pt>
                <c:pt idx="109">
                  <c:v>69536.567984356094</c:v>
                </c:pt>
                <c:pt idx="110">
                  <c:v>70663.129809776627</c:v>
                </c:pt>
                <c:pt idx="111">
                  <c:v>71794.909735923706</c:v>
                </c:pt>
                <c:pt idx="112">
                  <c:v>72931.793774344376</c:v>
                </c:pt>
                <c:pt idx="113">
                  <c:v>74073.667825165947</c:v>
                </c:pt>
                <c:pt idx="114">
                  <c:v>75220.417695922559</c:v>
                </c:pt>
                <c:pt idx="115">
                  <c:v>76371.929120317145</c:v>
                </c:pt>
                <c:pt idx="116">
                  <c:v>77528.087776914588</c:v>
                </c:pt>
                <c:pt idx="117">
                  <c:v>78688.779307761812</c:v>
                </c:pt>
                <c:pt idx="118">
                  <c:v>79853.889336930719</c:v>
                </c:pt>
                <c:pt idx="119">
                  <c:v>81023.303488979785</c:v>
                </c:pt>
                <c:pt idx="120">
                  <c:v>82196.907407330291</c:v>
                </c:pt>
                <c:pt idx="121">
                  <c:v>83374.586772553172</c:v>
                </c:pt>
                <c:pt idx="122">
                  <c:v>84556.22732056235</c:v>
                </c:pt>
                <c:pt idx="123">
                  <c:v>85741.714860710825</c:v>
                </c:pt>
                <c:pt idx="124">
                  <c:v>86930.935293785427</c:v>
                </c:pt>
                <c:pt idx="125">
                  <c:v>88123.774629896536</c:v>
                </c:pt>
                <c:pt idx="126">
                  <c:v>89320.11900625877</c:v>
                </c:pt>
                <c:pt idx="127">
                  <c:v>90519.854704859128</c:v>
                </c:pt>
                <c:pt idx="128">
                  <c:v>91722.868170008674</c:v>
                </c:pt>
                <c:pt idx="129">
                  <c:v>92929.046025774238</c:v>
                </c:pt>
                <c:pt idx="130">
                  <c:v>94138.275093286415</c:v>
                </c:pt>
                <c:pt idx="131">
                  <c:v>95350.442407920433</c:v>
                </c:pt>
                <c:pt idx="132">
                  <c:v>96565.43523634634</c:v>
                </c:pt>
                <c:pt idx="133">
                  <c:v>97783.141093444996</c:v>
                </c:pt>
                <c:pt idx="134">
                  <c:v>99003.44775908663</c:v>
                </c:pt>
                <c:pt idx="135">
                  <c:v>100226.24329476849</c:v>
                </c:pt>
                <c:pt idx="136">
                  <c:v>101451.4160601084</c:v>
                </c:pt>
                <c:pt idx="137">
                  <c:v>102678.85472919101</c:v>
                </c:pt>
                <c:pt idx="138">
                  <c:v>103908.44830676344</c:v>
                </c:pt>
                <c:pt idx="139">
                  <c:v>105140.08614427746</c:v>
                </c:pt>
                <c:pt idx="140">
                  <c:v>106373.65795577495</c:v>
                </c:pt>
                <c:pt idx="141">
                  <c:v>107609.05383361375</c:v>
                </c:pt>
                <c:pt idx="142">
                  <c:v>108846.16426403102</c:v>
                </c:pt>
                <c:pt idx="143">
                  <c:v>110084.88014254114</c:v>
                </c:pt>
                <c:pt idx="144">
                  <c:v>111325.09278916552</c:v>
                </c:pt>
                <c:pt idx="145">
                  <c:v>112566.6939634914</c:v>
                </c:pt>
                <c:pt idx="146">
                  <c:v>113809.5758795571</c:v>
                </c:pt>
                <c:pt idx="147">
                  <c:v>115053.63122056107</c:v>
                </c:pt>
                <c:pt idx="148">
                  <c:v>116298.75315339229</c:v>
                </c:pt>
                <c:pt idx="149">
                  <c:v>117544.83534297928</c:v>
                </c:pt>
                <c:pt idx="150">
                  <c:v>118791.77196645569</c:v>
                </c:pt>
                <c:pt idx="151">
                  <c:v>120039.45772713987</c:v>
                </c:pt>
                <c:pt idx="152">
                  <c:v>121287.78786832608</c:v>
                </c:pt>
                <c:pt idx="153">
                  <c:v>122536.6581868854</c:v>
                </c:pt>
                <c:pt idx="154">
                  <c:v>123785.96504667401</c:v>
                </c:pt>
                <c:pt idx="155">
                  <c:v>125035.60539174674</c:v>
                </c:pt>
                <c:pt idx="156">
                  <c:v>126285.47675937394</c:v>
                </c:pt>
                <c:pt idx="157">
                  <c:v>127535.47729285977</c:v>
                </c:pt>
                <c:pt idx="158">
                  <c:v>128785.50575415992</c:v>
                </c:pt>
                <c:pt idx="159">
                  <c:v>130035.46153629708</c:v>
                </c:pt>
                <c:pt idx="160">
                  <c:v>131285.24467557226</c:v>
                </c:pt>
                <c:pt idx="161">
                  <c:v>132534.75586357043</c:v>
                </c:pt>
                <c:pt idx="162">
                  <c:v>133783.89645895886</c:v>
                </c:pt>
                <c:pt idx="163">
                  <c:v>135032.56849907647</c:v>
                </c:pt>
                <c:pt idx="164">
                  <c:v>136280.67471131301</c:v>
                </c:pt>
                <c:pt idx="165">
                  <c:v>137528.11852427633</c:v>
                </c:pt>
                <c:pt idx="166">
                  <c:v>138774.80407874667</c:v>
                </c:pt>
                <c:pt idx="167">
                  <c:v>140020.63623841666</c:v>
                </c:pt>
                <c:pt idx="168">
                  <c:v>141265.52060041559</c:v>
                </c:pt>
                <c:pt idx="169">
                  <c:v>142509.36350561734</c:v>
                </c:pt>
                <c:pt idx="170">
                  <c:v>143752.0720487303</c:v>
                </c:pt>
                <c:pt idx="171">
                  <c:v>144993.55408816886</c:v>
                </c:pt>
                <c:pt idx="172">
                  <c:v>146233.71825570503</c:v>
                </c:pt>
                <c:pt idx="173">
                  <c:v>147472.47396589973</c:v>
                </c:pt>
                <c:pt idx="174">
                  <c:v>148709.73142531281</c:v>
                </c:pt>
                <c:pt idx="175">
                  <c:v>149945.4016414911</c:v>
                </c:pt>
                <c:pt idx="176">
                  <c:v>151179.3964317338</c:v>
                </c:pt>
                <c:pt idx="177">
                  <c:v>152411.62843163469</c:v>
                </c:pt>
                <c:pt idx="178">
                  <c:v>153642.01110340052</c:v>
                </c:pt>
                <c:pt idx="179">
                  <c:v>154870.45874394546</c:v>
                </c:pt>
                <c:pt idx="180">
                  <c:v>156096.88649276071</c:v>
                </c:pt>
                <c:pt idx="181">
                  <c:v>157321.21033955939</c:v>
                </c:pt>
                <c:pt idx="182">
                  <c:v>158543.3471316963</c:v>
                </c:pt>
                <c:pt idx="183">
                  <c:v>159763.21458136226</c:v>
                </c:pt>
                <c:pt idx="184">
                  <c:v>160980.73127255321</c:v>
                </c:pt>
                <c:pt idx="185">
                  <c:v>162195.81666781349</c:v>
                </c:pt>
                <c:pt idx="186">
                  <c:v>163408.39111475396</c:v>
                </c:pt>
                <c:pt idx="187">
                  <c:v>164618.37585234453</c:v>
                </c:pt>
                <c:pt idx="188">
                  <c:v>165825.69301698133</c:v>
                </c:pt>
                <c:pt idx="189">
                  <c:v>167030.26564832893</c:v>
                </c:pt>
                <c:pt idx="190">
                  <c:v>168232.01769493768</c:v>
                </c:pt>
                <c:pt idx="191">
                  <c:v>169430.87401963639</c:v>
                </c:pt>
                <c:pt idx="192">
                  <c:v>170626.76040470105</c:v>
                </c:pt>
                <c:pt idx="193">
                  <c:v>171819.60355679967</c:v>
                </c:pt>
                <c:pt idx="194">
                  <c:v>173009.33111171407</c:v>
                </c:pt>
                <c:pt idx="195">
                  <c:v>174195.87163883881</c:v>
                </c:pt>
                <c:pt idx="196">
                  <c:v>175379.1546454583</c:v>
                </c:pt>
                <c:pt idx="197">
                  <c:v>176559.11058080237</c:v>
                </c:pt>
                <c:pt idx="198">
                  <c:v>177735.67083988132</c:v>
                </c:pt>
                <c:pt idx="199">
                  <c:v>178908.76776710094</c:v>
                </c:pt>
                <c:pt idx="200">
                  <c:v>180078.33465965878</c:v>
                </c:pt>
                <c:pt idx="201">
                  <c:v>181244.30577072207</c:v>
                </c:pt>
                <c:pt idx="202">
                  <c:v>182406.61631238859</c:v>
                </c:pt>
                <c:pt idx="203">
                  <c:v>183565.20245843136</c:v>
                </c:pt>
                <c:pt idx="204">
                  <c:v>184720.00134682821</c:v>
                </c:pt>
                <c:pt idx="205">
                  <c:v>185870.95108207746</c:v>
                </c:pt>
                <c:pt idx="206">
                  <c:v>187017.99073730054</c:v>
                </c:pt>
                <c:pt idx="207">
                  <c:v>188161.0603561333</c:v>
                </c:pt>
                <c:pt idx="208">
                  <c:v>189300.10095440669</c:v>
                </c:pt>
                <c:pt idx="209">
                  <c:v>190435.05452161856</c:v>
                </c:pt>
                <c:pt idx="210">
                  <c:v>191565.8640221977</c:v>
                </c:pt>
                <c:pt idx="211">
                  <c:v>192692.47339656163</c:v>
                </c:pt>
                <c:pt idx="212">
                  <c:v>193814.82756196955</c:v>
                </c:pt>
                <c:pt idx="213">
                  <c:v>194932.87241317189</c:v>
                </c:pt>
                <c:pt idx="214">
                  <c:v>196046.55482285828</c:v>
                </c:pt>
                <c:pt idx="215">
                  <c:v>197155.82264190499</c:v>
                </c:pt>
                <c:pt idx="216">
                  <c:v>198260.62469942408</c:v>
                </c:pt>
                <c:pt idx="217">
                  <c:v>199360.91080261557</c:v>
                </c:pt>
                <c:pt idx="218">
                  <c:v>200456.63173642434</c:v>
                </c:pt>
                <c:pt idx="219">
                  <c:v>201547.73926300363</c:v>
                </c:pt>
                <c:pt idx="220">
                  <c:v>202634.18612098691</c:v>
                </c:pt>
                <c:pt idx="221">
                  <c:v>203715.92602456998</c:v>
                </c:pt>
                <c:pt idx="222">
                  <c:v>204792.91366240507</c:v>
                </c:pt>
                <c:pt idx="223">
                  <c:v>205865.10469630884</c:v>
                </c:pt>
                <c:pt idx="224">
                  <c:v>206932.45575978642</c:v>
                </c:pt>
                <c:pt idx="225">
                  <c:v>207994.92445637318</c:v>
                </c:pt>
                <c:pt idx="226">
                  <c:v>209052.46935779651</c:v>
                </c:pt>
                <c:pt idx="227">
                  <c:v>210105.05000195943</c:v>
                </c:pt>
                <c:pt idx="228">
                  <c:v>211152.62689074827</c:v>
                </c:pt>
                <c:pt idx="229">
                  <c:v>212195.1614876664</c:v>
                </c:pt>
                <c:pt idx="230">
                  <c:v>213232.61621529615</c:v>
                </c:pt>
                <c:pt idx="231">
                  <c:v>214264.95445259137</c:v>
                </c:pt>
                <c:pt idx="232">
                  <c:v>215292.14053200229</c:v>
                </c:pt>
                <c:pt idx="233">
                  <c:v>216314.13973643538</c:v>
                </c:pt>
                <c:pt idx="234">
                  <c:v>217330.91829605016</c:v>
                </c:pt>
                <c:pt idx="235">
                  <c:v>218342.44338489548</c:v>
                </c:pt>
                <c:pt idx="236">
                  <c:v>219348.68311738732</c:v>
                </c:pt>
                <c:pt idx="237">
                  <c:v>220349.60654463054</c:v>
                </c:pt>
                <c:pt idx="238">
                  <c:v>221345.18365058702</c:v>
                </c:pt>
                <c:pt idx="239">
                  <c:v>222335.38534809221</c:v>
                </c:pt>
                <c:pt idx="240">
                  <c:v>223320.1834747231</c:v>
                </c:pt>
                <c:pt idx="241">
                  <c:v>224299.55078851923</c:v>
                </c:pt>
                <c:pt idx="242">
                  <c:v>225273.46096355977</c:v>
                </c:pt>
                <c:pt idx="243">
                  <c:v>226241.88858539888</c:v>
                </c:pt>
                <c:pt idx="244">
                  <c:v>227204.80914636175</c:v>
                </c:pt>
                <c:pt idx="245">
                  <c:v>228162.19904070394</c:v>
                </c:pt>
                <c:pt idx="246">
                  <c:v>229114.03555963637</c:v>
                </c:pt>
                <c:pt idx="247">
                  <c:v>230060.29688621848</c:v>
                </c:pt>
                <c:pt idx="248">
                  <c:v>231000.96209012222</c:v>
                </c:pt>
                <c:pt idx="249">
                  <c:v>231936.01112226918</c:v>
                </c:pt>
                <c:pt idx="250">
                  <c:v>232865.42480934353</c:v>
                </c:pt>
                <c:pt idx="251">
                  <c:v>233789.18484818333</c:v>
                </c:pt>
                <c:pt idx="252">
                  <c:v>234707.27380005262</c:v>
                </c:pt>
                <c:pt idx="253">
                  <c:v>235619.67508479697</c:v>
                </c:pt>
                <c:pt idx="254">
                  <c:v>236526.37297488513</c:v>
                </c:pt>
                <c:pt idx="255">
                  <c:v>237427.35258933919</c:v>
                </c:pt>
                <c:pt idx="256">
                  <c:v>238322.59988755584</c:v>
                </c:pt>
                <c:pt idx="257">
                  <c:v>239212.10166302155</c:v>
                </c:pt>
                <c:pt idx="258">
                  <c:v>240095.84553692388</c:v>
                </c:pt>
                <c:pt idx="259">
                  <c:v>240973.81995166204</c:v>
                </c:pt>
                <c:pt idx="260">
                  <c:v>241846.01416425855</c:v>
                </c:pt>
                <c:pt idx="261">
                  <c:v>242712.41823967549</c:v>
                </c:pt>
                <c:pt idx="262">
                  <c:v>243573.02304403705</c:v>
                </c:pt>
                <c:pt idx="263">
                  <c:v>244427.82023776174</c:v>
                </c:pt>
                <c:pt idx="264">
                  <c:v>245276.80226860635</c:v>
                </c:pt>
                <c:pt idx="265">
                  <c:v>246119.96236462437</c:v>
                </c:pt>
                <c:pt idx="266">
                  <c:v>246957.29452704173</c:v>
                </c:pt>
                <c:pt idx="267">
                  <c:v>247788.79352305198</c:v>
                </c:pt>
                <c:pt idx="268">
                  <c:v>248614.4548785339</c:v>
                </c:pt>
                <c:pt idx="269">
                  <c:v>249434.27487069383</c:v>
                </c:pt>
                <c:pt idx="270">
                  <c:v>250248.25052063554</c:v>
                </c:pt>
                <c:pt idx="271">
                  <c:v>251056.37958586006</c:v>
                </c:pt>
                <c:pt idx="272">
                  <c:v>251858.66055269793</c:v>
                </c:pt>
                <c:pt idx="273">
                  <c:v>252655.09262867662</c:v>
                </c:pt>
                <c:pt idx="274">
                  <c:v>253445.67573482561</c:v>
                </c:pt>
                <c:pt idx="275">
                  <c:v>254230.41049792158</c:v>
                </c:pt>
                <c:pt idx="276">
                  <c:v>255009.29824267619</c:v>
                </c:pt>
                <c:pt idx="277">
                  <c:v>255782.34098386916</c:v>
                </c:pt>
                <c:pt idx="278">
                  <c:v>256549.54141842894</c:v>
                </c:pt>
                <c:pt idx="279">
                  <c:v>257310.90291746359</c:v>
                </c:pt>
                <c:pt idx="280">
                  <c:v>258066.4295182442</c:v>
                </c:pt>
                <c:pt idx="281">
                  <c:v>258816.1259161435</c:v>
                </c:pt>
                <c:pt idx="282">
                  <c:v>259559.99745653188</c:v>
                </c:pt>
                <c:pt idx="283">
                  <c:v>260298.05012663343</c:v>
                </c:pt>
                <c:pt idx="284">
                  <c:v>261030.29054734431</c:v>
                </c:pt>
                <c:pt idx="285">
                  <c:v>261756.72596501585</c:v>
                </c:pt>
                <c:pt idx="286">
                  <c:v>262477.36424320482</c:v>
                </c:pt>
                <c:pt idx="287">
                  <c:v>263192.21385439317</c:v>
                </c:pt>
                <c:pt idx="288">
                  <c:v>263901.28387167951</c:v>
                </c:pt>
                <c:pt idx="289">
                  <c:v>264604.58396044496</c:v>
                </c:pt>
                <c:pt idx="290">
                  <c:v>265302.1243699952</c:v>
                </c:pt>
                <c:pt idx="291">
                  <c:v>265993.91592518135</c:v>
                </c:pt>
                <c:pt idx="292">
                  <c:v>266679.97001800197</c:v>
                </c:pt>
                <c:pt idx="293">
                  <c:v>267360.29859918816</c:v>
                </c:pt>
                <c:pt idx="294">
                  <c:v>268034.91416977422</c:v>
                </c:pt>
                <c:pt idx="295">
                  <c:v>268703.82977265585</c:v>
                </c:pt>
                <c:pt idx="296">
                  <c:v>269367.0589841383</c:v>
                </c:pt>
                <c:pt idx="297">
                  <c:v>270024.61590547656</c:v>
                </c:pt>
                <c:pt idx="298">
                  <c:v>270676.51515440957</c:v>
                </c:pt>
                <c:pt idx="299">
                  <c:v>271322.77185669076</c:v>
                </c:pt>
                <c:pt idx="300">
                  <c:v>271963.40163761686</c:v>
                </c:pt>
                <c:pt idx="301">
                  <c:v>272598.42061355716</c:v>
                </c:pt>
                <c:pt idx="302">
                  <c:v>273227.8453834852</c:v>
                </c:pt>
                <c:pt idx="303">
                  <c:v>273851.69302051474</c:v>
                </c:pt>
                <c:pt idx="304">
                  <c:v>274469.98106344242</c:v>
                </c:pt>
                <c:pt idx="305">
                  <c:v>275082.72750829865</c:v>
                </c:pt>
                <c:pt idx="306">
                  <c:v>275689.95079990884</c:v>
                </c:pt>
                <c:pt idx="307">
                  <c:v>276291.6698234668</c:v>
                </c:pt>
                <c:pt idx="308">
                  <c:v>276887.90389612253</c:v>
                </c:pt>
                <c:pt idx="309">
                  <c:v>277478.67275858548</c:v>
                </c:pt>
                <c:pt idx="310">
                  <c:v>278063.99656674621</c:v>
                </c:pt>
                <c:pt idx="311">
                  <c:v>278643.89588331722</c:v>
                </c:pt>
                <c:pt idx="312">
                  <c:v>279218.39166949526</c:v>
                </c:pt>
                <c:pt idx="313">
                  <c:v>279787.50527664687</c:v>
                </c:pt>
                <c:pt idx="314">
                  <c:v>280351.25843801856</c:v>
                </c:pt>
                <c:pt idx="315">
                  <c:v>280909.67326047388</c:v>
                </c:pt>
                <c:pt idx="316">
                  <c:v>281462.77221625816</c:v>
                </c:pt>
                <c:pt idx="317">
                  <c:v>282010.57813479356</c:v>
                </c:pt>
                <c:pt idx="318">
                  <c:v>282553.11419450521</c:v>
                </c:pt>
                <c:pt idx="319">
                  <c:v>283090.40391468059</c:v>
                </c:pt>
                <c:pt idx="320">
                  <c:v>283622.47114736325</c:v>
                </c:pt>
                <c:pt idx="321">
                  <c:v>284149.34006928286</c:v>
                </c:pt>
                <c:pt idx="322">
                  <c:v>284671.03517382249</c:v>
                </c:pt>
                <c:pt idx="323">
                  <c:v>285187.58126302506</c:v>
                </c:pt>
                <c:pt idx="324">
                  <c:v>285699.00343964039</c:v>
                </c:pt>
                <c:pt idx="325">
                  <c:v>286205.32709921378</c:v>
                </c:pt>
                <c:pt idx="326">
                  <c:v>286706.57792221796</c:v>
                </c:pt>
                <c:pt idx="327">
                  <c:v>287202.78186622955</c:v>
                </c:pt>
                <c:pt idx="328">
                  <c:v>287693.96515815158</c:v>
                </c:pt>
                <c:pt idx="329">
                  <c:v>288180.15428648266</c:v>
                </c:pt>
                <c:pt idx="330">
                  <c:v>288661.37599363504</c:v>
                </c:pt>
                <c:pt idx="331">
                  <c:v>289137.65726830199</c:v>
                </c:pt>
                <c:pt idx="332">
                  <c:v>289609.02533787605</c:v>
                </c:pt>
                <c:pt idx="333">
                  <c:v>290075.50766091928</c:v>
                </c:pt>
                <c:pt idx="334">
                  <c:v>290537.13191968645</c:v>
                </c:pt>
                <c:pt idx="335">
                  <c:v>290993.92601270264</c:v>
                </c:pt>
                <c:pt idx="336">
                  <c:v>291445.91804739588</c:v>
                </c:pt>
                <c:pt idx="337">
                  <c:v>291893.13633278623</c:v>
                </c:pt>
                <c:pt idx="338">
                  <c:v>292335.60937223199</c:v>
                </c:pt>
                <c:pt idx="339">
                  <c:v>292773.36585623457</c:v>
                </c:pt>
                <c:pt idx="340">
                  <c:v>293206.43465530203</c:v>
                </c:pt>
                <c:pt idx="341">
                  <c:v>293634.84481287346</c:v>
                </c:pt>
                <c:pt idx="342">
                  <c:v>294058.62553830381</c:v>
                </c:pt>
                <c:pt idx="343">
                  <c:v>294477.80619991099</c:v>
                </c:pt>
                <c:pt idx="344">
                  <c:v>294892.41631808563</c:v>
                </c:pt>
                <c:pt idx="345">
                  <c:v>295302.48555846448</c:v>
                </c:pt>
                <c:pt idx="346">
                  <c:v>295708.04372516798</c:v>
                </c:pt>
                <c:pt idx="347">
                  <c:v>296109.12075410318</c:v>
                </c:pt>
                <c:pt idx="348">
                  <c:v>296505.74670633202</c:v>
                </c:pt>
                <c:pt idx="349">
                  <c:v>296897.95176150679</c:v>
                </c:pt>
                <c:pt idx="350">
                  <c:v>297285.7662113721</c:v>
                </c:pt>
                <c:pt idx="351">
                  <c:v>297669.22045333497</c:v>
                </c:pt>
                <c:pt idx="352">
                  <c:v>298048.3449841034</c:v>
                </c:pt>
                <c:pt idx="353">
                  <c:v>298423.17039339361</c:v>
                </c:pt>
                <c:pt idx="354">
                  <c:v>298793.7273577071</c:v>
                </c:pt>
                <c:pt idx="355">
                  <c:v>299160.04663417785</c:v>
                </c:pt>
                <c:pt idx="356">
                  <c:v>299522.15905448957</c:v>
                </c:pt>
                <c:pt idx="357">
                  <c:v>299880.09551886475</c:v>
                </c:pt>
                <c:pt idx="358">
                  <c:v>300233.88699012436</c:v>
                </c:pt>
                <c:pt idx="359">
                  <c:v>300583.5644878202</c:v>
                </c:pt>
                <c:pt idx="360">
                  <c:v>300929.15908243903</c:v>
                </c:pt>
                <c:pt idx="361">
                  <c:v>301270.70188967948</c:v>
                </c:pt>
                <c:pt idx="362">
                  <c:v>301608.22406480205</c:v>
                </c:pt>
                <c:pt idx="363">
                  <c:v>301941.7567970524</c:v>
                </c:pt>
                <c:pt idx="364">
                  <c:v>302271.33130415814</c:v>
                </c:pt>
                <c:pt idx="365">
                  <c:v>302596.97882689966</c:v>
                </c:pt>
                <c:pt idx="366">
                  <c:v>302918.73062375479</c:v>
                </c:pt>
                <c:pt idx="367">
                  <c:v>303236.61796561797</c:v>
                </c:pt>
                <c:pt idx="368">
                  <c:v>303550.67213059403</c:v>
                </c:pt>
                <c:pt idx="369">
                  <c:v>303860.92439886637</c:v>
                </c:pt>
                <c:pt idx="370">
                  <c:v>304167.40604764025</c:v>
                </c:pt>
                <c:pt idx="371">
                  <c:v>304470.14834616089</c:v>
                </c:pt>
                <c:pt idx="372">
                  <c:v>304769.18255080644</c:v>
                </c:pt>
                <c:pt idx="373">
                  <c:v>305064.5399002565</c:v>
                </c:pt>
                <c:pt idx="374">
                  <c:v>305356.25161073537</c:v>
                </c:pt>
                <c:pt idx="375">
                  <c:v>305644.34887133096</c:v>
                </c:pt>
                <c:pt idx="376">
                  <c:v>305928.86283938837</c:v>
                </c:pt>
                <c:pt idx="377">
                  <c:v>306209.8246359792</c:v>
                </c:pt>
                <c:pt idx="378">
                  <c:v>306487.26534144575</c:v>
                </c:pt>
                <c:pt idx="379">
                  <c:v>306761.21599102044</c:v>
                </c:pt>
                <c:pt idx="380">
                  <c:v>307031.70757052017</c:v>
                </c:pt>
                <c:pt idx="381">
                  <c:v>307298.77101211582</c:v>
                </c:pt>
                <c:pt idx="382">
                  <c:v>307562.4371901764</c:v>
                </c:pt>
                <c:pt idx="383">
                  <c:v>307822.7369171881</c:v>
                </c:pt>
                <c:pt idx="384">
                  <c:v>308079.7009397478</c:v>
                </c:pt>
                <c:pt idx="385">
                  <c:v>308333.35993463092</c:v>
                </c:pt>
                <c:pt idx="386">
                  <c:v>308583.74450493365</c:v>
                </c:pt>
                <c:pt idx="387">
                  <c:v>308830.88517628901</c:v>
                </c:pt>
                <c:pt idx="388">
                  <c:v>309074.81239315675</c:v>
                </c:pt>
                <c:pt idx="389">
                  <c:v>309315.55651518673</c:v>
                </c:pt>
                <c:pt idx="390">
                  <c:v>309553.14781365584</c:v>
                </c:pt>
                <c:pt idx="391">
                  <c:v>309787.61646797747</c:v>
                </c:pt>
                <c:pt idx="392">
                  <c:v>310018.99256228405</c:v>
                </c:pt>
                <c:pt idx="393">
                  <c:v>310247.30608208192</c:v>
                </c:pt>
                <c:pt idx="394">
                  <c:v>310472.58691097819</c:v>
                </c:pt>
                <c:pt idx="395">
                  <c:v>310694.86482747953</c:v>
                </c:pt>
                <c:pt idx="396">
                  <c:v>310914.16950186196</c:v>
                </c:pt>
                <c:pt idx="397">
                  <c:v>311130.53049311222</c:v>
                </c:pt>
                <c:pt idx="398">
                  <c:v>311343.97724593937</c:v>
                </c:pt>
                <c:pt idx="399">
                  <c:v>311554.53908785677</c:v>
                </c:pt>
                <c:pt idx="400">
                  <c:v>311762.24522633391</c:v>
                </c:pt>
                <c:pt idx="401">
                  <c:v>311967.12474601768</c:v>
                </c:pt>
                <c:pt idx="402">
                  <c:v>312169.20660602255</c:v>
                </c:pt>
                <c:pt idx="403">
                  <c:v>312368.51963728946</c:v>
                </c:pt>
                <c:pt idx="404">
                  <c:v>312565.0925400125</c:v>
                </c:pt>
                <c:pt idx="405">
                  <c:v>312758.95388113352</c:v>
                </c:pt>
                <c:pt idx="406">
                  <c:v>312950.13209190354</c:v>
                </c:pt>
                <c:pt idx="407">
                  <c:v>313138.65546551114</c:v>
                </c:pt>
                <c:pt idx="408">
                  <c:v>313324.55215477664</c:v>
                </c:pt>
                <c:pt idx="409">
                  <c:v>313507.85016991221</c:v>
                </c:pt>
                <c:pt idx="410">
                  <c:v>313688.5773763468</c:v>
                </c:pt>
                <c:pt idx="411">
                  <c:v>313866.7614926158</c:v>
                </c:pt>
                <c:pt idx="412">
                  <c:v>314042.43008831464</c:v>
                </c:pt>
                <c:pt idx="413">
                  <c:v>314215.61058211571</c:v>
                </c:pt>
                <c:pt idx="414">
                  <c:v>314386.33023984858</c:v>
                </c:pt>
                <c:pt idx="415">
                  <c:v>314554.61617264204</c:v>
                </c:pt>
                <c:pt idx="416">
                  <c:v>314720.49533512827</c:v>
                </c:pt>
                <c:pt idx="417">
                  <c:v>314883.99452370795</c:v>
                </c:pt>
                <c:pt idx="418">
                  <c:v>315045.14037487598</c:v>
                </c:pt>
                <c:pt idx="419">
                  <c:v>315203.95936360728</c:v>
                </c:pt>
                <c:pt idx="420">
                  <c:v>315360.47780180181</c:v>
                </c:pt>
                <c:pt idx="421">
                  <c:v>315514.72183678835</c:v>
                </c:pt>
                <c:pt idx="422">
                  <c:v>315666.71744988643</c:v>
                </c:pt>
                <c:pt idx="423">
                  <c:v>315816.49045502569</c:v>
                </c:pt>
                <c:pt idx="424">
                  <c:v>315964.06649742229</c:v>
                </c:pt>
                <c:pt idx="425">
                  <c:v>316109.4710523113</c:v>
                </c:pt>
                <c:pt idx="426">
                  <c:v>316252.72942373483</c:v>
                </c:pt>
                <c:pt idx="427">
                  <c:v>316393.86674338486</c:v>
                </c:pt>
                <c:pt idx="428">
                  <c:v>316532.90796950081</c:v>
                </c:pt>
                <c:pt idx="429">
                  <c:v>316669.87788582017</c:v>
                </c:pt>
                <c:pt idx="430">
                  <c:v>316804.80110058258</c:v>
                </c:pt>
                <c:pt idx="431">
                  <c:v>316937.70204558579</c:v>
                </c:pt>
                <c:pt idx="432">
                  <c:v>317068.60497529362</c:v>
                </c:pt>
                <c:pt idx="433">
                  <c:v>317197.53396599455</c:v>
                </c:pt>
                <c:pt idx="434">
                  <c:v>317324.51291501091</c:v>
                </c:pt>
                <c:pt idx="435">
                  <c:v>317449.56553995743</c:v>
                </c:pt>
                <c:pt idx="436">
                  <c:v>317572.71537804883</c:v>
                </c:pt>
                <c:pt idx="437">
                  <c:v>317693.98578545562</c:v>
                </c:pt>
                <c:pt idx="438">
                  <c:v>317813.39993670757</c:v>
                </c:pt>
                <c:pt idx="439">
                  <c:v>317930.98082414392</c:v>
                </c:pt>
                <c:pt idx="440">
                  <c:v>318046.75125740981</c:v>
                </c:pt>
                <c:pt idx="441">
                  <c:v>318160.73386299849</c:v>
                </c:pt>
                <c:pt idx="442">
                  <c:v>318272.95108383783</c:v>
                </c:pt>
                <c:pt idx="443">
                  <c:v>318383.42517892161</c:v>
                </c:pt>
                <c:pt idx="444">
                  <c:v>318492.17822298361</c:v>
                </c:pt>
                <c:pt idx="445">
                  <c:v>318599.23210621509</c:v>
                </c:pt>
                <c:pt idx="446">
                  <c:v>318704.60853402381</c:v>
                </c:pt>
                <c:pt idx="447">
                  <c:v>318808.32902683481</c:v>
                </c:pt>
                <c:pt idx="448">
                  <c:v>318910.41491993173</c:v>
                </c:pt>
                <c:pt idx="449">
                  <c:v>319010.88736333814</c:v>
                </c:pt>
                <c:pt idx="450">
                  <c:v>319109.7673217383</c:v>
                </c:pt>
                <c:pt idx="451">
                  <c:v>319207.07557443646</c:v>
                </c:pt>
                <c:pt idx="452">
                  <c:v>319302.83271535416</c:v>
                </c:pt>
                <c:pt idx="453">
                  <c:v>319397.05915306485</c:v>
                </c:pt>
                <c:pt idx="454">
                  <c:v>319489.77511086513</c:v>
                </c:pt>
                <c:pt idx="455">
                  <c:v>319581.00062688172</c:v>
                </c:pt>
                <c:pt idx="456">
                  <c:v>319670.755554214</c:v>
                </c:pt>
                <c:pt idx="457">
                  <c:v>319759.05956111092</c:v>
                </c:pt>
                <c:pt idx="458">
                  <c:v>319845.93213118182</c:v>
                </c:pt>
                <c:pt idx="459">
                  <c:v>319931.39256364061</c:v>
                </c:pt>
                <c:pt idx="460">
                  <c:v>320015.45997358236</c:v>
                </c:pt>
                <c:pt idx="461">
                  <c:v>320098.15329229197</c:v>
                </c:pt>
                <c:pt idx="462">
                  <c:v>320179.49126758392</c:v>
                </c:pt>
                <c:pt idx="463">
                  <c:v>320259.49246417289</c:v>
                </c:pt>
                <c:pt idx="464">
                  <c:v>320338.17526407394</c:v>
                </c:pt>
                <c:pt idx="465">
                  <c:v>320415.55786703236</c:v>
                </c:pt>
                <c:pt idx="466">
                  <c:v>320491.65829098201</c:v>
                </c:pt>
                <c:pt idx="467">
                  <c:v>320566.49437253148</c:v>
                </c:pt>
                <c:pt idx="468">
                  <c:v>320640.08376747812</c:v>
                </c:pt>
                <c:pt idx="469">
                  <c:v>320712.44395134819</c:v>
                </c:pt>
                <c:pt idx="470">
                  <c:v>320783.59221996379</c:v>
                </c:pt>
                <c:pt idx="471">
                  <c:v>320853.54569003457</c:v>
                </c:pt>
                <c:pt idx="472">
                  <c:v>320922.32129977498</c:v>
                </c:pt>
                <c:pt idx="473">
                  <c:v>320989.93580954528</c:v>
                </c:pt>
                <c:pt idx="474">
                  <c:v>321056.40580251638</c:v>
                </c:pt>
                <c:pt idx="475">
                  <c:v>321121.74768535787</c:v>
                </c:pt>
                <c:pt idx="476">
                  <c:v>321185.97768894816</c:v>
                </c:pt>
                <c:pt idx="477">
                  <c:v>321249.11186910677</c:v>
                </c:pt>
                <c:pt idx="478">
                  <c:v>321311.16610734753</c:v>
                </c:pt>
                <c:pt idx="479">
                  <c:v>321372.15611165285</c:v>
                </c:pt>
                <c:pt idx="480">
                  <c:v>321432.0974172678</c:v>
                </c:pt>
                <c:pt idx="481">
                  <c:v>321491.00538751378</c:v>
                </c:pt>
                <c:pt idx="482">
                  <c:v>321548.89521462109</c:v>
                </c:pt>
                <c:pt idx="483">
                  <c:v>321605.7819205799</c:v>
                </c:pt>
                <c:pt idx="484">
                  <c:v>321661.68035800912</c:v>
                </c:pt>
                <c:pt idx="485">
                  <c:v>321716.60521104245</c:v>
                </c:pt>
                <c:pt idx="486">
                  <c:v>321770.57099623111</c:v>
                </c:pt>
                <c:pt idx="487">
                  <c:v>321823.59206346277</c:v>
                </c:pt>
                <c:pt idx="488">
                  <c:v>321875.68259689637</c:v>
                </c:pt>
                <c:pt idx="489">
                  <c:v>321926.85661591159</c:v>
                </c:pt>
                <c:pt idx="490">
                  <c:v>321977.1279760733</c:v>
                </c:pt>
                <c:pt idx="491">
                  <c:v>322026.51037010999</c:v>
                </c:pt>
                <c:pt idx="492">
                  <c:v>322075.0173289057</c:v>
                </c:pt>
                <c:pt idx="493">
                  <c:v>322122.66222250497</c:v>
                </c:pt>
                <c:pt idx="494">
                  <c:v>322169.45826113049</c:v>
                </c:pt>
                <c:pt idx="495">
                  <c:v>322215.41849621286</c:v>
                </c:pt>
                <c:pt idx="496">
                  <c:v>322260.55582143163</c:v>
                </c:pt>
                <c:pt idx="497">
                  <c:v>322304.88297376776</c:v>
                </c:pt>
                <c:pt idx="498">
                  <c:v>322348.41253456671</c:v>
                </c:pt>
                <c:pt idx="499">
                  <c:v>322391.15693061135</c:v>
                </c:pt>
                <c:pt idx="500">
                  <c:v>322433.12843520497</c:v>
                </c:pt>
                <c:pt idx="501">
                  <c:v>322474.33916926337</c:v>
                </c:pt>
                <c:pt idx="502">
                  <c:v>322514.80110241577</c:v>
                </c:pt>
                <c:pt idx="503">
                  <c:v>322554.5260541141</c:v>
                </c:pt>
                <c:pt idx="504">
                  <c:v>322593.52569475013</c:v>
                </c:pt>
                <c:pt idx="505">
                  <c:v>322631.81154678023</c:v>
                </c:pt>
                <c:pt idx="506">
                  <c:v>322669.39498585713</c:v>
                </c:pt>
                <c:pt idx="507">
                  <c:v>322706.28724196833</c:v>
                </c:pt>
                <c:pt idx="508">
                  <c:v>322742.49940058094</c:v>
                </c:pt>
                <c:pt idx="509">
                  <c:v>322778.04240379203</c:v>
                </c:pt>
                <c:pt idx="510">
                  <c:v>322812.92705148476</c:v>
                </c:pt>
                <c:pt idx="511">
                  <c:v>322847.16400248936</c:v>
                </c:pt>
                <c:pt idx="512">
                  <c:v>322880.76377574907</c:v>
                </c:pt>
                <c:pt idx="513">
                  <c:v>322913.73675148998</c:v>
                </c:pt>
                <c:pt idx="514">
                  <c:v>322946.09317239519</c:v>
                </c:pt>
                <c:pt idx="515">
                  <c:v>322977.84314478229</c:v>
                </c:pt>
                <c:pt idx="516">
                  <c:v>323008.99663978419</c:v>
                </c:pt>
                <c:pt idx="517">
                  <c:v>323039.56349453283</c:v>
                </c:pt>
                <c:pt idx="518">
                  <c:v>323069.55341334525</c:v>
                </c:pt>
                <c:pt idx="519">
                  <c:v>323098.97596891201</c:v>
                </c:pt>
                <c:pt idx="520">
                  <c:v>323127.84060348751</c:v>
                </c:pt>
                <c:pt idx="521">
                  <c:v>323156.15663008153</c:v>
                </c:pt>
                <c:pt idx="522">
                  <c:v>323183.93323365232</c:v>
                </c:pt>
                <c:pt idx="523">
                  <c:v>323211.17947230052</c:v>
                </c:pt>
                <c:pt idx="524">
                  <c:v>323237.90427846339</c:v>
                </c:pt>
                <c:pt idx="525">
                  <c:v>323264.11646010977</c:v>
                </c:pt>
                <c:pt idx="526">
                  <c:v>323289.82470193459</c:v>
                </c:pt>
                <c:pt idx="527">
                  <c:v>323315.03756655345</c:v>
                </c:pt>
                <c:pt idx="528">
                  <c:v>323339.76349569648</c:v>
                </c:pt>
                <c:pt idx="529">
                  <c:v>323364.0108114013</c:v>
                </c:pt>
                <c:pt idx="530">
                  <c:v>323387.78771720489</c:v>
                </c:pt>
                <c:pt idx="531">
                  <c:v>323411.10229933413</c:v>
                </c:pt>
                <c:pt idx="532">
                  <c:v>323433.96252789465</c:v>
                </c:pt>
                <c:pt idx="533">
                  <c:v>323456.37625805783</c:v>
                </c:pt>
                <c:pt idx="534">
                  <c:v>323478.35123124567</c:v>
                </c:pt>
                <c:pt idx="535">
                  <c:v>323499.89507631317</c:v>
                </c:pt>
                <c:pt idx="536">
                  <c:v>323521.01531072811</c:v>
                </c:pt>
                <c:pt idx="537">
                  <c:v>323541.71934174828</c:v>
                </c:pt>
                <c:pt idx="538">
                  <c:v>323562.0144675952</c:v>
                </c:pt>
                <c:pt idx="539">
                  <c:v>323581.90787862492</c:v>
                </c:pt>
                <c:pt idx="540">
                  <c:v>323601.40665849496</c:v>
                </c:pt>
                <c:pt idx="541">
                  <c:v>323620.51778532815</c:v>
                </c:pt>
                <c:pt idx="542">
                  <c:v>323639.24813287175</c:v>
                </c:pt>
                <c:pt idx="543">
                  <c:v>323657.60447165329</c:v>
                </c:pt>
                <c:pt idx="544">
                  <c:v>323675.59347013145</c:v>
                </c:pt>
                <c:pt idx="545">
                  <c:v>323693.22169584304</c:v>
                </c:pt>
                <c:pt idx="546">
                  <c:v>323710.49561654479</c:v>
                </c:pt>
                <c:pt idx="547">
                  <c:v>323727.42160135083</c:v>
                </c:pt>
                <c:pt idx="548">
                  <c:v>323744.00592186471</c:v>
                </c:pt>
                <c:pt idx="549">
                  <c:v>323760.25475330668</c:v>
                </c:pt>
                <c:pt idx="550">
                  <c:v>323776.17417563527</c:v>
                </c:pt>
                <c:pt idx="551">
                  <c:v>323791.77017466369</c:v>
                </c:pt>
                <c:pt idx="552">
                  <c:v>323807.04864317051</c:v>
                </c:pt>
                <c:pt idx="553">
                  <c:v>323822.01538200455</c:v>
                </c:pt>
                <c:pt idx="554">
                  <c:v>323836.67610118387</c:v>
                </c:pt>
                <c:pt idx="555">
                  <c:v>323851.03642098873</c:v>
                </c:pt>
                <c:pt idx="556">
                  <c:v>323865.10187304846</c:v>
                </c:pt>
                <c:pt idx="557">
                  <c:v>323878.87790142198</c:v>
                </c:pt>
                <c:pt idx="558">
                  <c:v>323892.36986367172</c:v>
                </c:pt>
                <c:pt idx="559">
                  <c:v>323905.58303193143</c:v>
                </c:pt>
                <c:pt idx="560">
                  <c:v>323918.52259396686</c:v>
                </c:pt>
                <c:pt idx="561">
                  <c:v>323931.19365423021</c:v>
                </c:pt>
                <c:pt idx="562">
                  <c:v>323943.60123490717</c:v>
                </c:pt>
                <c:pt idx="563">
                  <c:v>323955.75027695741</c:v>
                </c:pt>
                <c:pt idx="564">
                  <c:v>323967.64564114797</c:v>
                </c:pt>
                <c:pt idx="565">
                  <c:v>323979.29210907937</c:v>
                </c:pt>
                <c:pt idx="566">
                  <c:v>323990.69438420446</c:v>
                </c:pt>
                <c:pt idx="567">
                  <c:v>324001.85709284031</c:v>
                </c:pt>
                <c:pt idx="568">
                  <c:v>324012.7847851722</c:v>
                </c:pt>
                <c:pt idx="569">
                  <c:v>324023.48193625064</c:v>
                </c:pt>
                <c:pt idx="570">
                  <c:v>324033.95294698054</c:v>
                </c:pt>
                <c:pt idx="571">
                  <c:v>324044.20214510284</c:v>
                </c:pt>
                <c:pt idx="572">
                  <c:v>324054.23378616862</c:v>
                </c:pt>
                <c:pt idx="573">
                  <c:v>324064.05205450527</c:v>
                </c:pt>
                <c:pt idx="574">
                  <c:v>324073.66106417502</c:v>
                </c:pt>
                <c:pt idx="575">
                  <c:v>324083.06485992565</c:v>
                </c:pt>
                <c:pt idx="576">
                  <c:v>324092.26741813321</c:v>
                </c:pt>
                <c:pt idx="577">
                  <c:v>324101.27264773689</c:v>
                </c:pt>
                <c:pt idx="578">
                  <c:v>324110.08439116593</c:v>
                </c:pt>
                <c:pt idx="579">
                  <c:v>324118.70642525842</c:v>
                </c:pt>
                <c:pt idx="580">
                  <c:v>324127.14246217214</c:v>
                </c:pt>
                <c:pt idx="581">
                  <c:v>324135.3961502873</c:v>
                </c:pt>
                <c:pt idx="582">
                  <c:v>324143.47107510117</c:v>
                </c:pt>
                <c:pt idx="583">
                  <c:v>324151.37076011446</c:v>
                </c:pt>
                <c:pt idx="584">
                  <c:v>324159.09866770974</c:v>
                </c:pt>
                <c:pt idx="585">
                  <c:v>324166.65820002154</c:v>
                </c:pt>
                <c:pt idx="586">
                  <c:v>324174.05269979814</c:v>
                </c:pt>
                <c:pt idx="587">
                  <c:v>324181.28545125545</c:v>
                </c:pt>
                <c:pt idx="588">
                  <c:v>324188.35968092229</c:v>
                </c:pt>
                <c:pt idx="589">
                  <c:v>324195.2785584777</c:v>
                </c:pt>
                <c:pt idx="590">
                  <c:v>324202.04519757989</c:v>
                </c:pt>
                <c:pt idx="591">
                  <c:v>324208.66265668679</c:v>
                </c:pt>
                <c:pt idx="592">
                  <c:v>324215.13393986865</c:v>
                </c:pt>
                <c:pt idx="593">
                  <c:v>324221.46199761215</c:v>
                </c:pt>
                <c:pt idx="594">
                  <c:v>324227.64972761617</c:v>
                </c:pt>
                <c:pt idx="595">
                  <c:v>324233.69997557963</c:v>
                </c:pt>
                <c:pt idx="596">
                  <c:v>324239.61553598061</c:v>
                </c:pt>
                <c:pt idx="597">
                  <c:v>324245.39915284771</c:v>
                </c:pt>
                <c:pt idx="598">
                  <c:v>324251.05352052278</c:v>
                </c:pt>
                <c:pt idx="599">
                  <c:v>324256.58128441573</c:v>
                </c:pt>
                <c:pt idx="600">
                  <c:v>324261.98504175094</c:v>
                </c:pt>
                <c:pt idx="601">
                  <c:v>324267.26734230539</c:v>
                </c:pt>
                <c:pt idx="602">
                  <c:v>324272.43068913894</c:v>
                </c:pt>
                <c:pt idx="603">
                  <c:v>324277.47753931611</c:v>
                </c:pt>
                <c:pt idx="604">
                  <c:v>324282.41030462011</c:v>
                </c:pt>
                <c:pt idx="605">
                  <c:v>324287.23135225824</c:v>
                </c:pt>
                <c:pt idx="606">
                  <c:v>324291.94300555967</c:v>
                </c:pt>
                <c:pt idx="607">
                  <c:v>324296.54754466505</c:v>
                </c:pt>
                <c:pt idx="608">
                  <c:v>324301.04720720783</c:v>
                </c:pt>
                <c:pt idx="609">
                  <c:v>324305.44418898795</c:v>
                </c:pt>
                <c:pt idx="610">
                  <c:v>324309.74064463732</c:v>
                </c:pt>
                <c:pt idx="611">
                  <c:v>324313.93868827756</c:v>
                </c:pt>
                <c:pt idx="612">
                  <c:v>324318.04039416951</c:v>
                </c:pt>
                <c:pt idx="613">
                  <c:v>324322.04779735528</c:v>
                </c:pt>
                <c:pt idx="614">
                  <c:v>324325.9628942922</c:v>
                </c:pt>
                <c:pt idx="615">
                  <c:v>324329.78764347913</c:v>
                </c:pt>
                <c:pt idx="616">
                  <c:v>324333.52396607486</c:v>
                </c:pt>
                <c:pt idx="617">
                  <c:v>324337.17374650913</c:v>
                </c:pt>
                <c:pt idx="618">
                  <c:v>324340.73883308546</c:v>
                </c:pt>
                <c:pt idx="619">
                  <c:v>324344.22103857686</c:v>
                </c:pt>
                <c:pt idx="620">
                  <c:v>324347.62214081374</c:v>
                </c:pt>
                <c:pt idx="621">
                  <c:v>324350.94388326432</c:v>
                </c:pt>
                <c:pt idx="622">
                  <c:v>324354.18797560746</c:v>
                </c:pt>
                <c:pt idx="623">
                  <c:v>324357.35609429836</c:v>
                </c:pt>
                <c:pt idx="624">
                  <c:v>324360.44988312636</c:v>
                </c:pt>
                <c:pt idx="625">
                  <c:v>324363.47095376591</c:v>
                </c:pt>
                <c:pt idx="626">
                  <c:v>324366.42088632006</c:v>
                </c:pt>
                <c:pt idx="627">
                  <c:v>324369.30122985656</c:v>
                </c:pt>
                <c:pt idx="628">
                  <c:v>324372.11350293702</c:v>
                </c:pt>
                <c:pt idx="629">
                  <c:v>324374.85919413873</c:v>
                </c:pt>
                <c:pt idx="630">
                  <c:v>324377.53976256953</c:v>
                </c:pt>
                <c:pt idx="631">
                  <c:v>324380.15663837566</c:v>
                </c:pt>
                <c:pt idx="632">
                  <c:v>324382.71122324246</c:v>
                </c:pt>
                <c:pt idx="633">
                  <c:v>324385.20489088848</c:v>
                </c:pt>
                <c:pt idx="634">
                  <c:v>324387.63898755237</c:v>
                </c:pt>
                <c:pt idx="635">
                  <c:v>324390.01483247319</c:v>
                </c:pt>
                <c:pt idx="636">
                  <c:v>324392.33371836378</c:v>
                </c:pt>
                <c:pt idx="637">
                  <c:v>324394.5969118778</c:v>
                </c:pt>
                <c:pt idx="638">
                  <c:v>324396.8056540697</c:v>
                </c:pt>
                <c:pt idx="639">
                  <c:v>324398.96116084838</c:v>
                </c:pt>
                <c:pt idx="640">
                  <c:v>324401.0646234242</c:v>
                </c:pt>
                <c:pt idx="641">
                  <c:v>324403.11720874964</c:v>
                </c:pt>
                <c:pt idx="642">
                  <c:v>324405.12005995348</c:v>
                </c:pt>
                <c:pt idx="643">
                  <c:v>324407.0742967687</c:v>
                </c:pt>
                <c:pt idx="644">
                  <c:v>324408.98101595393</c:v>
                </c:pt>
                <c:pt idx="645">
                  <c:v>324410.84129170899</c:v>
                </c:pt>
                <c:pt idx="646">
                  <c:v>324412.6561760839</c:v>
                </c:pt>
                <c:pt idx="647">
                  <c:v>324414.42669938208</c:v>
                </c:pt>
                <c:pt idx="648">
                  <c:v>324416.15387055732</c:v>
                </c:pt>
                <c:pt idx="649">
                  <c:v>324417.83867760486</c:v>
                </c:pt>
                <c:pt idx="650">
                  <c:v>324419.48208794661</c:v>
                </c:pt>
                <c:pt idx="651">
                  <c:v>324421.08504881023</c:v>
                </c:pt>
                <c:pt idx="652">
                  <c:v>324422.64848760271</c:v>
                </c:pt>
                <c:pt idx="653">
                  <c:v>324424.17331227817</c:v>
                </c:pt>
                <c:pt idx="654">
                  <c:v>324425.66041169979</c:v>
                </c:pt>
                <c:pt idx="655">
                  <c:v>324427.11065599631</c:v>
                </c:pt>
                <c:pt idx="656">
                  <c:v>324428.52489691286</c:v>
                </c:pt>
                <c:pt idx="657">
                  <c:v>324429.90396815632</c:v>
                </c:pt>
                <c:pt idx="658">
                  <c:v>324431.24868573528</c:v>
                </c:pt>
                <c:pt idx="659">
                  <c:v>324432.55984829471</c:v>
                </c:pt>
                <c:pt idx="660">
                  <c:v>324433.83823744499</c:v>
                </c:pt>
                <c:pt idx="661">
                  <c:v>324435.08461808611</c:v>
                </c:pt>
                <c:pt idx="662">
                  <c:v>324436.29973872629</c:v>
                </c:pt>
                <c:pt idx="663">
                  <c:v>324437.48433179577</c:v>
                </c:pt>
                <c:pt idx="664">
                  <c:v>324438.63911395532</c:v>
                </c:pt>
                <c:pt idx="665">
                  <c:v>324439.7647863999</c:v>
                </c:pt>
                <c:pt idx="666">
                  <c:v>324440.86203515716</c:v>
                </c:pt>
                <c:pt idx="667">
                  <c:v>324441.93153138121</c:v>
                </c:pt>
                <c:pt idx="668">
                  <c:v>324442.97393164167</c:v>
                </c:pt>
                <c:pt idx="669">
                  <c:v>324443.98987820745</c:v>
                </c:pt>
                <c:pt idx="670">
                  <c:v>324444.97999932646</c:v>
                </c:pt>
                <c:pt idx="671">
                  <c:v>324445.94490950025</c:v>
                </c:pt>
                <c:pt idx="672">
                  <c:v>324446.88520975399</c:v>
                </c:pt>
                <c:pt idx="673">
                  <c:v>324447.80148790224</c:v>
                </c:pt>
                <c:pt idx="674">
                  <c:v>324448.69431881007</c:v>
                </c:pt>
                <c:pt idx="675">
                  <c:v>324449.56426464964</c:v>
                </c:pt>
                <c:pt idx="676">
                  <c:v>324450.41187515255</c:v>
                </c:pt>
                <c:pt idx="677">
                  <c:v>324451.23768785782</c:v>
                </c:pt>
                <c:pt idx="678">
                  <c:v>324452.04222835577</c:v>
                </c:pt>
                <c:pt idx="679">
                  <c:v>324452.82601052732</c:v>
                </c:pt>
                <c:pt idx="680">
                  <c:v>324453.58953677962</c:v>
                </c:pt>
                <c:pt idx="681">
                  <c:v>324454.33329827728</c:v>
                </c:pt>
                <c:pt idx="682">
                  <c:v>324455.05777516961</c:v>
                </c:pt>
                <c:pt idx="683">
                  <c:v>324455.76343681396</c:v>
                </c:pt>
                <c:pt idx="684">
                  <c:v>324456.45074199507</c:v>
                </c:pt>
                <c:pt idx="685">
                  <c:v>324457.12013914069</c:v>
                </c:pt>
                <c:pt idx="686">
                  <c:v>324457.77206653316</c:v>
                </c:pt>
                <c:pt idx="687">
                  <c:v>324458.40695251734</c:v>
                </c:pt>
                <c:pt idx="688">
                  <c:v>324459.02521570493</c:v>
                </c:pt>
                <c:pt idx="689">
                  <c:v>324459.62726517493</c:v>
                </c:pt>
                <c:pt idx="690">
                  <c:v>324460.21350067074</c:v>
                </c:pt>
                <c:pt idx="691">
                  <c:v>324460.7843127934</c:v>
                </c:pt>
                <c:pt idx="692">
                  <c:v>324461.34008319164</c:v>
                </c:pt>
                <c:pt idx="693">
                  <c:v>324461.88118474826</c:v>
                </c:pt>
                <c:pt idx="694">
                  <c:v>324462.40798176324</c:v>
                </c:pt>
                <c:pt idx="695">
                  <c:v>324462.92083013343</c:v>
                </c:pt>
                <c:pt idx="696">
                  <c:v>324463.42007752886</c:v>
                </c:pt>
                <c:pt idx="697">
                  <c:v>324463.9060635661</c:v>
                </c:pt>
                <c:pt idx="698">
                  <c:v>324464.37911997811</c:v>
                </c:pt>
                <c:pt idx="699">
                  <c:v>324464.83957078092</c:v>
                </c:pt>
                <c:pt idx="700">
                  <c:v>324465.28773243754</c:v>
                </c:pt>
                <c:pt idx="701">
                  <c:v>324465.72391401837</c:v>
                </c:pt>
                <c:pt idx="702">
                  <c:v>324466.14841735904</c:v>
                </c:pt>
                <c:pt idx="703">
                  <c:v>324466.56153721496</c:v>
                </c:pt>
                <c:pt idx="704">
                  <c:v>324466.96356141299</c:v>
                </c:pt>
                <c:pt idx="705">
                  <c:v>324467.35477100045</c:v>
                </c:pt>
                <c:pt idx="706">
                  <c:v>324467.73544039094</c:v>
                </c:pt>
                <c:pt idx="707">
                  <c:v>324468.10583750776</c:v>
                </c:pt>
                <c:pt idx="708">
                  <c:v>324468.4662239243</c:v>
                </c:pt>
                <c:pt idx="709">
                  <c:v>324468.81685500202</c:v>
                </c:pt>
                <c:pt idx="710">
                  <c:v>324469.15798002534</c:v>
                </c:pt>
                <c:pt idx="711">
                  <c:v>324469.48984233435</c:v>
                </c:pt>
                <c:pt idx="712">
                  <c:v>324469.81267945474</c:v>
                </c:pt>
                <c:pt idx="713">
                  <c:v>324470.12672322523</c:v>
                </c:pt>
                <c:pt idx="714">
                  <c:v>324470.43219992245</c:v>
                </c:pt>
                <c:pt idx="715">
                  <c:v>324470.72933038359</c:v>
                </c:pt>
                <c:pt idx="716">
                  <c:v>324471.01833012642</c:v>
                </c:pt>
                <c:pt idx="717">
                  <c:v>324471.29940946691</c:v>
                </c:pt>
                <c:pt idx="718">
                  <c:v>324471.57277363481</c:v>
                </c:pt>
                <c:pt idx="719">
                  <c:v>324471.83862288669</c:v>
                </c:pt>
                <c:pt idx="720">
                  <c:v>324472.09715261683</c:v>
                </c:pt>
                <c:pt idx="721">
                  <c:v>324472.34855346574</c:v>
                </c:pt>
                <c:pt idx="722">
                  <c:v>324472.59301142686</c:v>
                </c:pt>
                <c:pt idx="723">
                  <c:v>324472.83070795069</c:v>
                </c:pt>
                <c:pt idx="724">
                  <c:v>324473.06182004721</c:v>
                </c:pt>
                <c:pt idx="725">
                  <c:v>324473.28652038582</c:v>
                </c:pt>
                <c:pt idx="726">
                  <c:v>324473.50497739384</c:v>
                </c:pt>
                <c:pt idx="727">
                  <c:v>324473.71735535224</c:v>
                </c:pt>
                <c:pt idx="728">
                  <c:v>324473.92381449015</c:v>
                </c:pt>
                <c:pt idx="729">
                  <c:v>324474.12451107695</c:v>
                </c:pt>
                <c:pt idx="730">
                  <c:v>324474.31959751277</c:v>
                </c:pt>
                <c:pt idx="731">
                  <c:v>324474.50922241685</c:v>
                </c:pt>
                <c:pt idx="732">
                  <c:v>324474.69353071437</c:v>
                </c:pt>
                <c:pt idx="733">
                  <c:v>324474.87266372127</c:v>
                </c:pt>
                <c:pt idx="734">
                  <c:v>324475.04675922741</c:v>
                </c:pt>
                <c:pt idx="735">
                  <c:v>324475.21595157793</c:v>
                </c:pt>
                <c:pt idx="736">
                  <c:v>324475.38037175307</c:v>
                </c:pt>
                <c:pt idx="737">
                  <c:v>324475.54014744604</c:v>
                </c:pt>
                <c:pt idx="738">
                  <c:v>324475.69540313951</c:v>
                </c:pt>
                <c:pt idx="739">
                  <c:v>324475.84626018046</c:v>
                </c:pt>
                <c:pt idx="740">
                  <c:v>324475.99283685326</c:v>
                </c:pt>
                <c:pt idx="741">
                  <c:v>324476.13524845149</c:v>
                </c:pt>
                <c:pt idx="742">
                  <c:v>324476.27360734792</c:v>
                </c:pt>
                <c:pt idx="743">
                  <c:v>324476.40802306327</c:v>
                </c:pt>
                <c:pt idx="744">
                  <c:v>324476.5386023334</c:v>
                </c:pt>
                <c:pt idx="745">
                  <c:v>324476.66544917494</c:v>
                </c:pt>
                <c:pt idx="746">
                  <c:v>324476.78866494977</c:v>
                </c:pt>
                <c:pt idx="747">
                  <c:v>324476.90834842785</c:v>
                </c:pt>
                <c:pt idx="748">
                  <c:v>324477.02459584898</c:v>
                </c:pt>
                <c:pt idx="749">
                  <c:v>324477.13750098285</c:v>
                </c:pt>
                <c:pt idx="750">
                  <c:v>324477.24715518812</c:v>
                </c:pt>
                <c:pt idx="751">
                  <c:v>324477.35364747012</c:v>
                </c:pt>
                <c:pt idx="752">
                  <c:v>324477.45706453716</c:v>
                </c:pt>
                <c:pt idx="753">
                  <c:v>324477.55749085575</c:v>
                </c:pt>
                <c:pt idx="754">
                  <c:v>324477.65500870463</c:v>
                </c:pt>
                <c:pt idx="755">
                  <c:v>324477.74969822745</c:v>
                </c:pt>
                <c:pt idx="756">
                  <c:v>324477.8416374845</c:v>
                </c:pt>
                <c:pt idx="757">
                  <c:v>324477.93090250302</c:v>
                </c:pt>
                <c:pt idx="758">
                  <c:v>324478.01756732684</c:v>
                </c:pt>
                <c:pt idx="759">
                  <c:v>324478.10170406429</c:v>
                </c:pt>
                <c:pt idx="760">
                  <c:v>324478.18338293571</c:v>
                </c:pt>
                <c:pt idx="761">
                  <c:v>324478.26267231931</c:v>
                </c:pt>
                <c:pt idx="762">
                  <c:v>324478.33963879658</c:v>
                </c:pt>
                <c:pt idx="763">
                  <c:v>324478.41434719606</c:v>
                </c:pt>
                <c:pt idx="764">
                  <c:v>324478.48686063662</c:v>
                </c:pt>
                <c:pt idx="765">
                  <c:v>324478.55724056961</c:v>
                </c:pt>
                <c:pt idx="766">
                  <c:v>324478.62554681988</c:v>
                </c:pt>
                <c:pt idx="767">
                  <c:v>324478.69183762616</c:v>
                </c:pt>
                <c:pt idx="768">
                  <c:v>324478.75616968027</c:v>
                </c:pt>
                <c:pt idx="769">
                  <c:v>324478.8185981657</c:v>
                </c:pt>
                <c:pt idx="770">
                  <c:v>324478.87917679496</c:v>
                </c:pt>
                <c:pt idx="771">
                  <c:v>324478.93795784644</c:v>
                </c:pt>
                <c:pt idx="772">
                  <c:v>324478.99499220017</c:v>
                </c:pt>
                <c:pt idx="773">
                  <c:v>324479.05032937281</c:v>
                </c:pt>
                <c:pt idx="774">
                  <c:v>324479.10401755199</c:v>
                </c:pt>
                <c:pt idx="775">
                  <c:v>324479.15610362968</c:v>
                </c:pt>
                <c:pt idx="776">
                  <c:v>324479.20663323475</c:v>
                </c:pt>
                <c:pt idx="777">
                  <c:v>324479.25565076491</c:v>
                </c:pt>
                <c:pt idx="778">
                  <c:v>324479.30319941789</c:v>
                </c:pt>
                <c:pt idx="779">
                  <c:v>324479.34932122187</c:v>
                </c:pt>
                <c:pt idx="780">
                  <c:v>324479.39405706513</c:v>
                </c:pt>
                <c:pt idx="781">
                  <c:v>324479.43744672503</c:v>
                </c:pt>
                <c:pt idx="782">
                  <c:v>324479.47952889651</c:v>
                </c:pt>
                <c:pt idx="783">
                  <c:v>324479.5203412195</c:v>
                </c:pt>
                <c:pt idx="784">
                  <c:v>324479.55992030614</c:v>
                </c:pt>
                <c:pt idx="785">
                  <c:v>324479.59830176702</c:v>
                </c:pt>
                <c:pt idx="786">
                  <c:v>324479.63552023692</c:v>
                </c:pt>
                <c:pt idx="787">
                  <c:v>324479.67160940007</c:v>
                </c:pt>
                <c:pt idx="788">
                  <c:v>324479.70660201448</c:v>
                </c:pt>
                <c:pt idx="789">
                  <c:v>324479.7405299361</c:v>
                </c:pt>
                <c:pt idx="790">
                  <c:v>324479.77342414192</c:v>
                </c:pt>
                <c:pt idx="791">
                  <c:v>324479.80531475309</c:v>
                </c:pt>
                <c:pt idx="792">
                  <c:v>324479.83623105689</c:v>
                </c:pt>
                <c:pt idx="793">
                  <c:v>324479.86620152858</c:v>
                </c:pt>
                <c:pt idx="794">
                  <c:v>324479.89525385265</c:v>
                </c:pt>
                <c:pt idx="795">
                  <c:v>324479.92341494339</c:v>
                </c:pt>
                <c:pt idx="796">
                  <c:v>324479.95071096515</c:v>
                </c:pt>
                <c:pt idx="797">
                  <c:v>324479.97716735199</c:v>
                </c:pt>
                <c:pt idx="798">
                  <c:v>324480.00280882686</c:v>
                </c:pt>
                <c:pt idx="799">
                  <c:v>324480.02765942033</c:v>
                </c:pt>
                <c:pt idx="800">
                  <c:v>324480.05174248904</c:v>
                </c:pt>
                <c:pt idx="801">
                  <c:v>324480.07508073322</c:v>
                </c:pt>
                <c:pt idx="802">
                  <c:v>324480.09769621439</c:v>
                </c:pt>
                <c:pt idx="803">
                  <c:v>324480.11961037212</c:v>
                </c:pt>
                <c:pt idx="804">
                  <c:v>324480.14084404067</c:v>
                </c:pt>
                <c:pt idx="805">
                  <c:v>324480.16141746496</c:v>
                </c:pt>
                <c:pt idx="806">
                  <c:v>324480.18135031662</c:v>
                </c:pt>
                <c:pt idx="807">
                  <c:v>324480.20066170895</c:v>
                </c:pt>
                <c:pt idx="808">
                  <c:v>324480.21937021211</c:v>
                </c:pt>
                <c:pt idx="809">
                  <c:v>324480.23749386775</c:v>
                </c:pt>
                <c:pt idx="810">
                  <c:v>324480.25505020301</c:v>
                </c:pt>
                <c:pt idx="811">
                  <c:v>324480.27205624449</c:v>
                </c:pt>
                <c:pt idx="812">
                  <c:v>324480.28852853185</c:v>
                </c:pt>
                <c:pt idx="813">
                  <c:v>324480.30448313081</c:v>
                </c:pt>
                <c:pt idx="814">
                  <c:v>324480.31993564614</c:v>
                </c:pt>
                <c:pt idx="815">
                  <c:v>324480.33490123408</c:v>
                </c:pt>
                <c:pt idx="816">
                  <c:v>324480.34939461452</c:v>
                </c:pt>
                <c:pt idx="817">
                  <c:v>324480.36343008297</c:v>
                </c:pt>
                <c:pt idx="818">
                  <c:v>324480.37702152209</c:v>
                </c:pt>
                <c:pt idx="819">
                  <c:v>324480.39018241293</c:v>
                </c:pt>
                <c:pt idx="820">
                  <c:v>324480.40292584605</c:v>
                </c:pt>
                <c:pt idx="821">
                  <c:v>324480.41526453214</c:v>
                </c:pt>
                <c:pt idx="822">
                  <c:v>324480.42721081246</c:v>
                </c:pt>
                <c:pt idx="823">
                  <c:v>324480.43877666903</c:v>
                </c:pt>
                <c:pt idx="824">
                  <c:v>324480.44997373462</c:v>
                </c:pt>
                <c:pt idx="825">
                  <c:v>324480.4608133022</c:v>
                </c:pt>
                <c:pt idx="826">
                  <c:v>324480.47130633448</c:v>
                </c:pt>
                <c:pt idx="827">
                  <c:v>324480.48146347317</c:v>
                </c:pt>
                <c:pt idx="828">
                  <c:v>324480.49129504769</c:v>
                </c:pt>
                <c:pt idx="829">
                  <c:v>324480.50081108388</c:v>
                </c:pt>
                <c:pt idx="830">
                  <c:v>324480.51002131269</c:v>
                </c:pt>
                <c:pt idx="831">
                  <c:v>324480.51893517817</c:v>
                </c:pt>
                <c:pt idx="832">
                  <c:v>324480.52756184555</c:v>
                </c:pt>
                <c:pt idx="833">
                  <c:v>324480.53591020912</c:v>
                </c:pt>
                <c:pt idx="834">
                  <c:v>324480.54398889979</c:v>
                </c:pt>
                <c:pt idx="835">
                  <c:v>324480.55180629255</c:v>
                </c:pt>
                <c:pt idx="836">
                  <c:v>324480.55937051354</c:v>
                </c:pt>
                <c:pt idx="837">
                  <c:v>324480.56668944721</c:v>
                </c:pt>
                <c:pt idx="838">
                  <c:v>324480.5737707431</c:v>
                </c:pt>
                <c:pt idx="839">
                  <c:v>324480.5806218225</c:v>
                </c:pt>
                <c:pt idx="840">
                  <c:v>324480.58724988485</c:v>
                </c:pt>
                <c:pt idx="841">
                  <c:v>324480.59366191423</c:v>
                </c:pt>
                <c:pt idx="842">
                  <c:v>324480.59986468527</c:v>
                </c:pt>
                <c:pt idx="843">
                  <c:v>324480.6058647692</c:v>
                </c:pt>
                <c:pt idx="844">
                  <c:v>324480.61166853976</c:v>
                </c:pt>
                <c:pt idx="845">
                  <c:v>324480.61728217872</c:v>
                </c:pt>
                <c:pt idx="846">
                  <c:v>324480.62271168135</c:v>
                </c:pt>
                <c:pt idx="847">
                  <c:v>324480.62796286197</c:v>
                </c:pt>
                <c:pt idx="848">
                  <c:v>324480.63304135896</c:v>
                </c:pt>
                <c:pt idx="849">
                  <c:v>324480.6379526399</c:v>
                </c:pt>
                <c:pt idx="850">
                  <c:v>324480.64270200644</c:v>
                </c:pt>
                <c:pt idx="851">
                  <c:v>324480.64729459921</c:v>
                </c:pt>
                <c:pt idx="852">
                  <c:v>324480.65173540235</c:v>
                </c:pt>
                <c:pt idx="853">
                  <c:v>324480.65602924814</c:v>
                </c:pt>
                <c:pt idx="854">
                  <c:v>324480.66018082143</c:v>
                </c:pt>
                <c:pt idx="855">
                  <c:v>324480.66419466375</c:v>
                </c:pt>
                <c:pt idx="856">
                  <c:v>324480.6680751777</c:v>
                </c:pt>
                <c:pt idx="857">
                  <c:v>324480.67182663083</c:v>
                </c:pt>
                <c:pt idx="858">
                  <c:v>324480.67545315978</c:v>
                </c:pt>
                <c:pt idx="859">
                  <c:v>324480.6789587739</c:v>
                </c:pt>
                <c:pt idx="860">
                  <c:v>324480.68234735914</c:v>
                </c:pt>
                <c:pt idx="861">
                  <c:v>324480.68562268157</c:v>
                </c:pt>
                <c:pt idx="862">
                  <c:v>324480.68878839101</c:v>
                </c:pt>
                <c:pt idx="863">
                  <c:v>324480.69184802432</c:v>
                </c:pt>
                <c:pt idx="864">
                  <c:v>324480.69480500888</c:v>
                </c:pt>
                <c:pt idx="865">
                  <c:v>324480.6976626658</c:v>
                </c:pt>
                <c:pt idx="866">
                  <c:v>324480.7004242129</c:v>
                </c:pt>
                <c:pt idx="867">
                  <c:v>324480.70309276797</c:v>
                </c:pt>
                <c:pt idx="868">
                  <c:v>324480.70567135164</c:v>
                </c:pt>
                <c:pt idx="869">
                  <c:v>324480.70816289034</c:v>
                </c:pt>
                <c:pt idx="870">
                  <c:v>324480.71057021909</c:v>
                </c:pt>
                <c:pt idx="871">
                  <c:v>324480.71289608412</c:v>
                </c:pt>
                <c:pt idx="872">
                  <c:v>324480.71514314564</c:v>
                </c:pt>
                <c:pt idx="873">
                  <c:v>324480.71731398039</c:v>
                </c:pt>
                <c:pt idx="874">
                  <c:v>324480.71941108414</c:v>
                </c:pt>
                <c:pt idx="875">
                  <c:v>324480.72143687413</c:v>
                </c:pt>
                <c:pt idx="876">
                  <c:v>324480.72339369147</c:v>
                </c:pt>
                <c:pt idx="877">
                  <c:v>324480.72528380324</c:v>
                </c:pt>
                <c:pt idx="878">
                  <c:v>324480.72710940504</c:v>
                </c:pt>
                <c:pt idx="879">
                  <c:v>324480.72887262289</c:v>
                </c:pt>
                <c:pt idx="880">
                  <c:v>324480.73057551542</c:v>
                </c:pt>
                <c:pt idx="881">
                  <c:v>324480.73222007597</c:v>
                </c:pt>
                <c:pt idx="882">
                  <c:v>324480.73380823445</c:v>
                </c:pt>
                <c:pt idx="883">
                  <c:v>324480.7353418594</c:v>
                </c:pt>
                <c:pt idx="884">
                  <c:v>324480.73682275979</c:v>
                </c:pt>
                <c:pt idx="885">
                  <c:v>324480.73825268692</c:v>
                </c:pt>
                <c:pt idx="886">
                  <c:v>324480.73963333596</c:v>
                </c:pt>
                <c:pt idx="887">
                  <c:v>324480.74096634792</c:v>
                </c:pt>
                <c:pt idx="888">
                  <c:v>324480.74225331121</c:v>
                </c:pt>
                <c:pt idx="889">
                  <c:v>324480.74349576328</c:v>
                </c:pt>
                <c:pt idx="890">
                  <c:v>324480.74469519209</c:v>
                </c:pt>
                <c:pt idx="891">
                  <c:v>324480.74585303769</c:v>
                </c:pt>
                <c:pt idx="892">
                  <c:v>324480.74697069381</c:v>
                </c:pt>
                <c:pt idx="893">
                  <c:v>324480.74804950919</c:v>
                </c:pt>
                <c:pt idx="894">
                  <c:v>324480.74909078889</c:v>
                </c:pt>
                <c:pt idx="895">
                  <c:v>324480.75009579572</c:v>
                </c:pt>
                <c:pt idx="896">
                  <c:v>324480.75106575165</c:v>
                </c:pt>
                <c:pt idx="897">
                  <c:v>324480.75200183899</c:v>
                </c:pt>
                <c:pt idx="898">
                  <c:v>324480.75290520152</c:v>
                </c:pt>
                <c:pt idx="899">
                  <c:v>324480.75377694593</c:v>
                </c:pt>
                <c:pt idx="900">
                  <c:v>324480.75461814273</c:v>
                </c:pt>
                <c:pt idx="901">
                  <c:v>324480.75542982749</c:v>
                </c:pt>
                <c:pt idx="902">
                  <c:v>324480.75621300208</c:v>
                </c:pt>
                <c:pt idx="903">
                  <c:v>324480.75696863543</c:v>
                </c:pt>
                <c:pt idx="904">
                  <c:v>324480.75769766478</c:v>
                </c:pt>
                <c:pt idx="905">
                  <c:v>324480.75840099662</c:v>
                </c:pt>
                <c:pt idx="906">
                  <c:v>324480.75907950761</c:v>
                </c:pt>
                <c:pt idx="907">
                  <c:v>324480.75973404566</c:v>
                </c:pt>
                <c:pt idx="908">
                  <c:v>324480.76036543067</c:v>
                </c:pt>
                <c:pt idx="909">
                  <c:v>324480.76097445551</c:v>
                </c:pt>
                <c:pt idx="910">
                  <c:v>324480.76156188681</c:v>
                </c:pt>
                <c:pt idx="911">
                  <c:v>324480.76212846593</c:v>
                </c:pt>
                <c:pt idx="912">
                  <c:v>324480.76267490955</c:v>
                </c:pt>
                <c:pt idx="913">
                  <c:v>324480.76320191071</c:v>
                </c:pt>
                <c:pt idx="914">
                  <c:v>324480.76371013938</c:v>
                </c:pt>
                <c:pt idx="915">
                  <c:v>324480.76420024323</c:v>
                </c:pt>
                <c:pt idx="916">
                  <c:v>324480.76467284834</c:v>
                </c:pt>
                <c:pt idx="917">
                  <c:v>324480.76512855996</c:v>
                </c:pt>
                <c:pt idx="918">
                  <c:v>324480.76556796307</c:v>
                </c:pt>
                <c:pt idx="919">
                  <c:v>324480.76599162316</c:v>
                </c:pt>
                <c:pt idx="920">
                  <c:v>324480.76640008675</c:v>
                </c:pt>
                <c:pt idx="921">
                  <c:v>324480.76679388201</c:v>
                </c:pt>
                <c:pt idx="922">
                  <c:v>324480.76717351947</c:v>
                </c:pt>
                <c:pt idx="923">
                  <c:v>324480.7675394924</c:v>
                </c:pt>
                <c:pt idx="924">
                  <c:v>324480.76789227751</c:v>
                </c:pt>
                <c:pt idx="925">
                  <c:v>324480.76823233539</c:v>
                </c:pt>
                <c:pt idx="926">
                  <c:v>324480.76856011123</c:v>
                </c:pt>
                <c:pt idx="927">
                  <c:v>324480.768876035</c:v>
                </c:pt>
                <c:pt idx="928">
                  <c:v>324480.76918052224</c:v>
                </c:pt>
                <c:pt idx="929">
                  <c:v>324480.76947397436</c:v>
                </c:pt>
                <c:pt idx="930">
                  <c:v>324480.76975677913</c:v>
                </c:pt>
                <c:pt idx="931">
                  <c:v>324480.77002931118</c:v>
                </c:pt>
                <c:pt idx="932">
                  <c:v>324480.77029193245</c:v>
                </c:pt>
                <c:pt idx="933">
                  <c:v>324480.77054499247</c:v>
                </c:pt>
                <c:pt idx="934">
                  <c:v>324480.7707888289</c:v>
                </c:pt>
                <c:pt idx="935">
                  <c:v>324480.77102376783</c:v>
                </c:pt>
                <c:pt idx="936">
                  <c:v>324480.77125012421</c:v>
                </c:pt>
                <c:pt idx="937">
                  <c:v>324480.77146820223</c:v>
                </c:pt>
                <c:pt idx="938">
                  <c:v>324480.77167829563</c:v>
                </c:pt>
                <c:pt idx="939">
                  <c:v>324480.77188068809</c:v>
                </c:pt>
                <c:pt idx="940">
                  <c:v>324480.77207565354</c:v>
                </c:pt>
                <c:pt idx="941">
                  <c:v>324480.77226345643</c:v>
                </c:pt>
                <c:pt idx="942">
                  <c:v>324480.77244435216</c:v>
                </c:pt>
                <c:pt idx="943">
                  <c:v>324480.7726185873</c:v>
                </c:pt>
                <c:pt idx="944">
                  <c:v>324480.77278639993</c:v>
                </c:pt>
                <c:pt idx="945">
                  <c:v>324480.77294801979</c:v>
                </c:pt>
                <c:pt idx="946">
                  <c:v>324480.77310366876</c:v>
                </c:pt>
                <c:pt idx="947">
                  <c:v>324480.77325356106</c:v>
                </c:pt>
                <c:pt idx="948">
                  <c:v>324480.77339790331</c:v>
                </c:pt>
                <c:pt idx="949">
                  <c:v>324480.77353689511</c:v>
                </c:pt>
                <c:pt idx="950">
                  <c:v>324480.77367072908</c:v>
                </c:pt>
                <c:pt idx="951">
                  <c:v>324480.77379959106</c:v>
                </c:pt>
                <c:pt idx="952">
                  <c:v>324480.77392366045</c:v>
                </c:pt>
                <c:pt idx="953">
                  <c:v>324480.77404311037</c:v>
                </c:pt>
                <c:pt idx="954">
                  <c:v>324480.77415810787</c:v>
                </c:pt>
                <c:pt idx="955">
                  <c:v>324480.77426881419</c:v>
                </c:pt>
                <c:pt idx="956">
                  <c:v>324480.77437538491</c:v>
                </c:pt>
                <c:pt idx="957">
                  <c:v>324480.77447797009</c:v>
                </c:pt>
                <c:pt idx="958">
                  <c:v>324480.77457671455</c:v>
                </c:pt>
                <c:pt idx="959">
                  <c:v>324480.774671758</c:v>
                </c:pt>
                <c:pt idx="960">
                  <c:v>324480.77476323524</c:v>
                </c:pt>
                <c:pt idx="961">
                  <c:v>324480.77485127631</c:v>
                </c:pt>
                <c:pt idx="962">
                  <c:v>324480.77493600664</c:v>
                </c:pt>
                <c:pt idx="963">
                  <c:v>324480.77501754725</c:v>
                </c:pt>
                <c:pt idx="964">
                  <c:v>324480.7750960149</c:v>
                </c:pt>
                <c:pt idx="965">
                  <c:v>324480.77517152211</c:v>
                </c:pt>
                <c:pt idx="966">
                  <c:v>324480.77524417744</c:v>
                </c:pt>
                <c:pt idx="967">
                  <c:v>324480.77531408565</c:v>
                </c:pt>
                <c:pt idx="968">
                  <c:v>324480.77538134769</c:v>
                </c:pt>
                <c:pt idx="969">
                  <c:v>324480.77544606099</c:v>
                </c:pt>
                <c:pt idx="970">
                  <c:v>324480.77550831944</c:v>
                </c:pt>
                <c:pt idx="971">
                  <c:v>324480.77556821355</c:v>
                </c:pt>
                <c:pt idx="972">
                  <c:v>324480.77562583069</c:v>
                </c:pt>
                <c:pt idx="973">
                  <c:v>324480.77568125504</c:v>
                </c:pt>
                <c:pt idx="974">
                  <c:v>324480.77573456778</c:v>
                </c:pt>
                <c:pt idx="975">
                  <c:v>324480.77578584716</c:v>
                </c:pt>
                <c:pt idx="976">
                  <c:v>324480.77583516861</c:v>
                </c:pt>
                <c:pt idx="977">
                  <c:v>324480.77588260482</c:v>
                </c:pt>
                <c:pt idx="978">
                  <c:v>324480.77592822595</c:v>
                </c:pt>
                <c:pt idx="979">
                  <c:v>324480.77597209951</c:v>
                </c:pt>
                <c:pt idx="980">
                  <c:v>324480.77601429069</c:v>
                </c:pt>
                <c:pt idx="981">
                  <c:v>324480.77605486225</c:v>
                </c:pt>
                <c:pt idx="982">
                  <c:v>324480.77609387471</c:v>
                </c:pt>
                <c:pt idx="983">
                  <c:v>324480.77613138634</c:v>
                </c:pt>
                <c:pt idx="984">
                  <c:v>324480.77616745332</c:v>
                </c:pt>
                <c:pt idx="985">
                  <c:v>324480.77620212984</c:v>
                </c:pt>
                <c:pt idx="986">
                  <c:v>324480.77623546805</c:v>
                </c:pt>
                <c:pt idx="987">
                  <c:v>324480.77626751823</c:v>
                </c:pt>
                <c:pt idx="988">
                  <c:v>324480.77629832888</c:v>
                </c:pt>
                <c:pt idx="989">
                  <c:v>324480.77632794663</c:v>
                </c:pt>
                <c:pt idx="990">
                  <c:v>324480.77635641641</c:v>
                </c:pt>
                <c:pt idx="991">
                  <c:v>324480.77638378157</c:v>
                </c:pt>
                <c:pt idx="992">
                  <c:v>324480.77641008381</c:v>
                </c:pt>
                <c:pt idx="993">
                  <c:v>324480.7764353634</c:v>
                </c:pt>
                <c:pt idx="994">
                  <c:v>324480.77645965898</c:v>
                </c:pt>
                <c:pt idx="995">
                  <c:v>324480.77648300794</c:v>
                </c:pt>
                <c:pt idx="996">
                  <c:v>324480.77650544612</c:v>
                </c:pt>
                <c:pt idx="997">
                  <c:v>324480.77652700816</c:v>
                </c:pt>
                <c:pt idx="998">
                  <c:v>324480.77654772741</c:v>
                </c:pt>
                <c:pt idx="999">
                  <c:v>324480.77656763594</c:v>
                </c:pt>
                <c:pt idx="1000">
                  <c:v>324480.77658676461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D0-434A-AB1E-1F48B942AD1E}"/>
            </c:ext>
          </c:extLst>
        </c:ser>
        <c:ser>
          <c:idx val="3"/>
          <c:order val="3"/>
          <c:tx>
            <c:strRef>
              <c:f>'Kinetic Model'!$K$2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'Kinetic Model'!$A:$A</c:f>
              <c:strCache>
                <c:ptCount val="1003"/>
                <c:pt idx="0">
                  <c:v>Timestep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19</c:v>
                </c:pt>
                <c:pt idx="22">
                  <c:v>20</c:v>
                </c:pt>
                <c:pt idx="23">
                  <c:v>21</c:v>
                </c:pt>
                <c:pt idx="24">
                  <c:v>22</c:v>
                </c:pt>
                <c:pt idx="25">
                  <c:v>23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  <c:pt idx="38">
                  <c:v>36</c:v>
                </c:pt>
                <c:pt idx="39">
                  <c:v>37</c:v>
                </c:pt>
                <c:pt idx="40">
                  <c:v>38</c:v>
                </c:pt>
                <c:pt idx="41">
                  <c:v>39</c:v>
                </c:pt>
                <c:pt idx="42">
                  <c:v>40</c:v>
                </c:pt>
                <c:pt idx="43">
                  <c:v>41</c:v>
                </c:pt>
                <c:pt idx="44">
                  <c:v>42</c:v>
                </c:pt>
                <c:pt idx="45">
                  <c:v>43</c:v>
                </c:pt>
                <c:pt idx="46">
                  <c:v>44</c:v>
                </c:pt>
                <c:pt idx="47">
                  <c:v>45</c:v>
                </c:pt>
                <c:pt idx="48">
                  <c:v>46</c:v>
                </c:pt>
                <c:pt idx="49">
                  <c:v>47</c:v>
                </c:pt>
                <c:pt idx="50">
                  <c:v>48</c:v>
                </c:pt>
                <c:pt idx="51">
                  <c:v>49</c:v>
                </c:pt>
                <c:pt idx="52">
                  <c:v>50</c:v>
                </c:pt>
                <c:pt idx="53">
                  <c:v>51</c:v>
                </c:pt>
                <c:pt idx="54">
                  <c:v>52</c:v>
                </c:pt>
                <c:pt idx="55">
                  <c:v>53</c:v>
                </c:pt>
                <c:pt idx="56">
                  <c:v>54</c:v>
                </c:pt>
                <c:pt idx="57">
                  <c:v>55</c:v>
                </c:pt>
                <c:pt idx="58">
                  <c:v>56</c:v>
                </c:pt>
                <c:pt idx="59">
                  <c:v>57</c:v>
                </c:pt>
                <c:pt idx="60">
                  <c:v>58</c:v>
                </c:pt>
                <c:pt idx="61">
                  <c:v>59</c:v>
                </c:pt>
                <c:pt idx="62">
                  <c:v>60</c:v>
                </c:pt>
                <c:pt idx="63">
                  <c:v>61</c:v>
                </c:pt>
                <c:pt idx="64">
                  <c:v>62</c:v>
                </c:pt>
                <c:pt idx="65">
                  <c:v>63</c:v>
                </c:pt>
                <c:pt idx="66">
                  <c:v>64</c:v>
                </c:pt>
                <c:pt idx="67">
                  <c:v>65</c:v>
                </c:pt>
                <c:pt idx="68">
                  <c:v>66</c:v>
                </c:pt>
                <c:pt idx="69">
                  <c:v>67</c:v>
                </c:pt>
                <c:pt idx="70">
                  <c:v>68</c:v>
                </c:pt>
                <c:pt idx="71">
                  <c:v>69</c:v>
                </c:pt>
                <c:pt idx="72">
                  <c:v>70</c:v>
                </c:pt>
                <c:pt idx="73">
                  <c:v>71</c:v>
                </c:pt>
                <c:pt idx="74">
                  <c:v>72</c:v>
                </c:pt>
                <c:pt idx="75">
                  <c:v>73</c:v>
                </c:pt>
                <c:pt idx="76">
                  <c:v>74</c:v>
                </c:pt>
                <c:pt idx="77">
                  <c:v>75</c:v>
                </c:pt>
                <c:pt idx="78">
                  <c:v>76</c:v>
                </c:pt>
                <c:pt idx="79">
                  <c:v>77</c:v>
                </c:pt>
                <c:pt idx="80">
                  <c:v>78</c:v>
                </c:pt>
                <c:pt idx="81">
                  <c:v>79</c:v>
                </c:pt>
                <c:pt idx="82">
                  <c:v>80</c:v>
                </c:pt>
                <c:pt idx="83">
                  <c:v>81</c:v>
                </c:pt>
                <c:pt idx="84">
                  <c:v>82</c:v>
                </c:pt>
                <c:pt idx="85">
                  <c:v>83</c:v>
                </c:pt>
                <c:pt idx="86">
                  <c:v>84</c:v>
                </c:pt>
                <c:pt idx="87">
                  <c:v>85</c:v>
                </c:pt>
                <c:pt idx="88">
                  <c:v>86</c:v>
                </c:pt>
                <c:pt idx="89">
                  <c:v>87</c:v>
                </c:pt>
                <c:pt idx="90">
                  <c:v>88</c:v>
                </c:pt>
                <c:pt idx="91">
                  <c:v>89</c:v>
                </c:pt>
                <c:pt idx="92">
                  <c:v>90</c:v>
                </c:pt>
                <c:pt idx="93">
                  <c:v>91</c:v>
                </c:pt>
                <c:pt idx="94">
                  <c:v>92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96</c:v>
                </c:pt>
                <c:pt idx="99">
                  <c:v>97</c:v>
                </c:pt>
                <c:pt idx="100">
                  <c:v>98</c:v>
                </c:pt>
                <c:pt idx="101">
                  <c:v>99</c:v>
                </c:pt>
                <c:pt idx="102">
                  <c:v>100</c:v>
                </c:pt>
                <c:pt idx="103">
                  <c:v>101</c:v>
                </c:pt>
                <c:pt idx="104">
                  <c:v>102</c:v>
                </c:pt>
                <c:pt idx="105">
                  <c:v>103</c:v>
                </c:pt>
                <c:pt idx="106">
                  <c:v>104</c:v>
                </c:pt>
                <c:pt idx="107">
                  <c:v>105</c:v>
                </c:pt>
                <c:pt idx="108">
                  <c:v>106</c:v>
                </c:pt>
                <c:pt idx="109">
                  <c:v>107</c:v>
                </c:pt>
                <c:pt idx="110">
                  <c:v>108</c:v>
                </c:pt>
                <c:pt idx="111">
                  <c:v>109</c:v>
                </c:pt>
                <c:pt idx="112">
                  <c:v>110</c:v>
                </c:pt>
                <c:pt idx="113">
                  <c:v>111</c:v>
                </c:pt>
                <c:pt idx="114">
                  <c:v>112</c:v>
                </c:pt>
                <c:pt idx="115">
                  <c:v>113</c:v>
                </c:pt>
                <c:pt idx="116">
                  <c:v>114</c:v>
                </c:pt>
                <c:pt idx="117">
                  <c:v>115</c:v>
                </c:pt>
                <c:pt idx="118">
                  <c:v>116</c:v>
                </c:pt>
                <c:pt idx="119">
                  <c:v>117</c:v>
                </c:pt>
                <c:pt idx="120">
                  <c:v>118</c:v>
                </c:pt>
                <c:pt idx="121">
                  <c:v>119</c:v>
                </c:pt>
                <c:pt idx="122">
                  <c:v>120</c:v>
                </c:pt>
                <c:pt idx="123">
                  <c:v>121</c:v>
                </c:pt>
                <c:pt idx="124">
                  <c:v>122</c:v>
                </c:pt>
                <c:pt idx="125">
                  <c:v>123</c:v>
                </c:pt>
                <c:pt idx="126">
                  <c:v>124</c:v>
                </c:pt>
                <c:pt idx="127">
                  <c:v>125</c:v>
                </c:pt>
                <c:pt idx="128">
                  <c:v>126</c:v>
                </c:pt>
                <c:pt idx="129">
                  <c:v>127</c:v>
                </c:pt>
                <c:pt idx="130">
                  <c:v>128</c:v>
                </c:pt>
                <c:pt idx="131">
                  <c:v>129</c:v>
                </c:pt>
                <c:pt idx="132">
                  <c:v>130</c:v>
                </c:pt>
                <c:pt idx="133">
                  <c:v>131</c:v>
                </c:pt>
                <c:pt idx="134">
                  <c:v>132</c:v>
                </c:pt>
                <c:pt idx="135">
                  <c:v>133</c:v>
                </c:pt>
                <c:pt idx="136">
                  <c:v>134</c:v>
                </c:pt>
                <c:pt idx="137">
                  <c:v>135</c:v>
                </c:pt>
                <c:pt idx="138">
                  <c:v>136</c:v>
                </c:pt>
                <c:pt idx="139">
                  <c:v>137</c:v>
                </c:pt>
                <c:pt idx="140">
                  <c:v>138</c:v>
                </c:pt>
                <c:pt idx="141">
                  <c:v>139</c:v>
                </c:pt>
                <c:pt idx="142">
                  <c:v>140</c:v>
                </c:pt>
                <c:pt idx="143">
                  <c:v>141</c:v>
                </c:pt>
                <c:pt idx="144">
                  <c:v>142</c:v>
                </c:pt>
                <c:pt idx="145">
                  <c:v>143</c:v>
                </c:pt>
                <c:pt idx="146">
                  <c:v>144</c:v>
                </c:pt>
                <c:pt idx="147">
                  <c:v>145</c:v>
                </c:pt>
                <c:pt idx="148">
                  <c:v>146</c:v>
                </c:pt>
                <c:pt idx="149">
                  <c:v>147</c:v>
                </c:pt>
                <c:pt idx="150">
                  <c:v>148</c:v>
                </c:pt>
                <c:pt idx="151">
                  <c:v>149</c:v>
                </c:pt>
                <c:pt idx="152">
                  <c:v>150</c:v>
                </c:pt>
                <c:pt idx="153">
                  <c:v>151</c:v>
                </c:pt>
                <c:pt idx="154">
                  <c:v>152</c:v>
                </c:pt>
                <c:pt idx="155">
                  <c:v>153</c:v>
                </c:pt>
                <c:pt idx="156">
                  <c:v>154</c:v>
                </c:pt>
                <c:pt idx="157">
                  <c:v>155</c:v>
                </c:pt>
                <c:pt idx="158">
                  <c:v>156</c:v>
                </c:pt>
                <c:pt idx="159">
                  <c:v>157</c:v>
                </c:pt>
                <c:pt idx="160">
                  <c:v>158</c:v>
                </c:pt>
                <c:pt idx="161">
                  <c:v>159</c:v>
                </c:pt>
                <c:pt idx="162">
                  <c:v>160</c:v>
                </c:pt>
                <c:pt idx="163">
                  <c:v>161</c:v>
                </c:pt>
                <c:pt idx="164">
                  <c:v>162</c:v>
                </c:pt>
                <c:pt idx="165">
                  <c:v>163</c:v>
                </c:pt>
                <c:pt idx="166">
                  <c:v>164</c:v>
                </c:pt>
                <c:pt idx="167">
                  <c:v>165</c:v>
                </c:pt>
                <c:pt idx="168">
                  <c:v>166</c:v>
                </c:pt>
                <c:pt idx="169">
                  <c:v>167</c:v>
                </c:pt>
                <c:pt idx="170">
                  <c:v>168</c:v>
                </c:pt>
                <c:pt idx="171">
                  <c:v>169</c:v>
                </c:pt>
                <c:pt idx="172">
                  <c:v>170</c:v>
                </c:pt>
                <c:pt idx="173">
                  <c:v>171</c:v>
                </c:pt>
                <c:pt idx="174">
                  <c:v>172</c:v>
                </c:pt>
                <c:pt idx="175">
                  <c:v>173</c:v>
                </c:pt>
                <c:pt idx="176">
                  <c:v>174</c:v>
                </c:pt>
                <c:pt idx="177">
                  <c:v>175</c:v>
                </c:pt>
                <c:pt idx="178">
                  <c:v>176</c:v>
                </c:pt>
                <c:pt idx="179">
                  <c:v>177</c:v>
                </c:pt>
                <c:pt idx="180">
                  <c:v>178</c:v>
                </c:pt>
                <c:pt idx="181">
                  <c:v>179</c:v>
                </c:pt>
                <c:pt idx="182">
                  <c:v>180</c:v>
                </c:pt>
                <c:pt idx="183">
                  <c:v>181</c:v>
                </c:pt>
                <c:pt idx="184">
                  <c:v>182</c:v>
                </c:pt>
                <c:pt idx="185">
                  <c:v>183</c:v>
                </c:pt>
                <c:pt idx="186">
                  <c:v>184</c:v>
                </c:pt>
                <c:pt idx="187">
                  <c:v>185</c:v>
                </c:pt>
                <c:pt idx="188">
                  <c:v>186</c:v>
                </c:pt>
                <c:pt idx="189">
                  <c:v>187</c:v>
                </c:pt>
                <c:pt idx="190">
                  <c:v>188</c:v>
                </c:pt>
                <c:pt idx="191">
                  <c:v>189</c:v>
                </c:pt>
                <c:pt idx="192">
                  <c:v>190</c:v>
                </c:pt>
                <c:pt idx="193">
                  <c:v>191</c:v>
                </c:pt>
                <c:pt idx="194">
                  <c:v>192</c:v>
                </c:pt>
                <c:pt idx="195">
                  <c:v>193</c:v>
                </c:pt>
                <c:pt idx="196">
                  <c:v>194</c:v>
                </c:pt>
                <c:pt idx="197">
                  <c:v>195</c:v>
                </c:pt>
                <c:pt idx="198">
                  <c:v>196</c:v>
                </c:pt>
                <c:pt idx="199">
                  <c:v>197</c:v>
                </c:pt>
                <c:pt idx="200">
                  <c:v>198</c:v>
                </c:pt>
                <c:pt idx="201">
                  <c:v>199</c:v>
                </c:pt>
                <c:pt idx="202">
                  <c:v>200</c:v>
                </c:pt>
                <c:pt idx="203">
                  <c:v>201</c:v>
                </c:pt>
                <c:pt idx="204">
                  <c:v>202</c:v>
                </c:pt>
                <c:pt idx="205">
                  <c:v>203</c:v>
                </c:pt>
                <c:pt idx="206">
                  <c:v>204</c:v>
                </c:pt>
                <c:pt idx="207">
                  <c:v>205</c:v>
                </c:pt>
                <c:pt idx="208">
                  <c:v>206</c:v>
                </c:pt>
                <c:pt idx="209">
                  <c:v>207</c:v>
                </c:pt>
                <c:pt idx="210">
                  <c:v>208</c:v>
                </c:pt>
                <c:pt idx="211">
                  <c:v>209</c:v>
                </c:pt>
                <c:pt idx="212">
                  <c:v>210</c:v>
                </c:pt>
                <c:pt idx="213">
                  <c:v>211</c:v>
                </c:pt>
                <c:pt idx="214">
                  <c:v>212</c:v>
                </c:pt>
                <c:pt idx="215">
                  <c:v>213</c:v>
                </c:pt>
                <c:pt idx="216">
                  <c:v>214</c:v>
                </c:pt>
                <c:pt idx="217">
                  <c:v>215</c:v>
                </c:pt>
                <c:pt idx="218">
                  <c:v>216</c:v>
                </c:pt>
                <c:pt idx="219">
                  <c:v>217</c:v>
                </c:pt>
                <c:pt idx="220">
                  <c:v>218</c:v>
                </c:pt>
                <c:pt idx="221">
                  <c:v>219</c:v>
                </c:pt>
                <c:pt idx="222">
                  <c:v>220</c:v>
                </c:pt>
                <c:pt idx="223">
                  <c:v>221</c:v>
                </c:pt>
                <c:pt idx="224">
                  <c:v>222</c:v>
                </c:pt>
                <c:pt idx="225">
                  <c:v>223</c:v>
                </c:pt>
                <c:pt idx="226">
                  <c:v>224</c:v>
                </c:pt>
                <c:pt idx="227">
                  <c:v>225</c:v>
                </c:pt>
                <c:pt idx="228">
                  <c:v>226</c:v>
                </c:pt>
                <c:pt idx="229">
                  <c:v>227</c:v>
                </c:pt>
                <c:pt idx="230">
                  <c:v>228</c:v>
                </c:pt>
                <c:pt idx="231">
                  <c:v>229</c:v>
                </c:pt>
                <c:pt idx="232">
                  <c:v>230</c:v>
                </c:pt>
                <c:pt idx="233">
                  <c:v>231</c:v>
                </c:pt>
                <c:pt idx="234">
                  <c:v>232</c:v>
                </c:pt>
                <c:pt idx="235">
                  <c:v>233</c:v>
                </c:pt>
                <c:pt idx="236">
                  <c:v>234</c:v>
                </c:pt>
                <c:pt idx="237">
                  <c:v>235</c:v>
                </c:pt>
                <c:pt idx="238">
                  <c:v>236</c:v>
                </c:pt>
                <c:pt idx="239">
                  <c:v>237</c:v>
                </c:pt>
                <c:pt idx="240">
                  <c:v>238</c:v>
                </c:pt>
                <c:pt idx="241">
                  <c:v>239</c:v>
                </c:pt>
                <c:pt idx="242">
                  <c:v>240</c:v>
                </c:pt>
                <c:pt idx="243">
                  <c:v>241</c:v>
                </c:pt>
                <c:pt idx="244">
                  <c:v>242</c:v>
                </c:pt>
                <c:pt idx="245">
                  <c:v>243</c:v>
                </c:pt>
                <c:pt idx="246">
                  <c:v>244</c:v>
                </c:pt>
                <c:pt idx="247">
                  <c:v>245</c:v>
                </c:pt>
                <c:pt idx="248">
                  <c:v>246</c:v>
                </c:pt>
                <c:pt idx="249">
                  <c:v>247</c:v>
                </c:pt>
                <c:pt idx="250">
                  <c:v>248</c:v>
                </c:pt>
                <c:pt idx="251">
                  <c:v>249</c:v>
                </c:pt>
                <c:pt idx="252">
                  <c:v>250</c:v>
                </c:pt>
                <c:pt idx="253">
                  <c:v>251</c:v>
                </c:pt>
                <c:pt idx="254">
                  <c:v>252</c:v>
                </c:pt>
                <c:pt idx="255">
                  <c:v>253</c:v>
                </c:pt>
                <c:pt idx="256">
                  <c:v>254</c:v>
                </c:pt>
                <c:pt idx="257">
                  <c:v>255</c:v>
                </c:pt>
                <c:pt idx="258">
                  <c:v>256</c:v>
                </c:pt>
                <c:pt idx="259">
                  <c:v>257</c:v>
                </c:pt>
                <c:pt idx="260">
                  <c:v>258</c:v>
                </c:pt>
                <c:pt idx="261">
                  <c:v>259</c:v>
                </c:pt>
                <c:pt idx="262">
                  <c:v>260</c:v>
                </c:pt>
                <c:pt idx="263">
                  <c:v>261</c:v>
                </c:pt>
                <c:pt idx="264">
                  <c:v>262</c:v>
                </c:pt>
                <c:pt idx="265">
                  <c:v>263</c:v>
                </c:pt>
                <c:pt idx="266">
                  <c:v>264</c:v>
                </c:pt>
                <c:pt idx="267">
                  <c:v>265</c:v>
                </c:pt>
                <c:pt idx="268">
                  <c:v>266</c:v>
                </c:pt>
                <c:pt idx="269">
                  <c:v>267</c:v>
                </c:pt>
                <c:pt idx="270">
                  <c:v>268</c:v>
                </c:pt>
                <c:pt idx="271">
                  <c:v>269</c:v>
                </c:pt>
                <c:pt idx="272">
                  <c:v>270</c:v>
                </c:pt>
                <c:pt idx="273">
                  <c:v>271</c:v>
                </c:pt>
                <c:pt idx="274">
                  <c:v>272</c:v>
                </c:pt>
                <c:pt idx="275">
                  <c:v>273</c:v>
                </c:pt>
                <c:pt idx="276">
                  <c:v>274</c:v>
                </c:pt>
                <c:pt idx="277">
                  <c:v>275</c:v>
                </c:pt>
                <c:pt idx="278">
                  <c:v>276</c:v>
                </c:pt>
                <c:pt idx="279">
                  <c:v>277</c:v>
                </c:pt>
                <c:pt idx="280">
                  <c:v>278</c:v>
                </c:pt>
                <c:pt idx="281">
                  <c:v>279</c:v>
                </c:pt>
                <c:pt idx="282">
                  <c:v>280</c:v>
                </c:pt>
                <c:pt idx="283">
                  <c:v>281</c:v>
                </c:pt>
                <c:pt idx="284">
                  <c:v>282</c:v>
                </c:pt>
                <c:pt idx="285">
                  <c:v>283</c:v>
                </c:pt>
                <c:pt idx="286">
                  <c:v>284</c:v>
                </c:pt>
                <c:pt idx="287">
                  <c:v>285</c:v>
                </c:pt>
                <c:pt idx="288">
                  <c:v>286</c:v>
                </c:pt>
                <c:pt idx="289">
                  <c:v>287</c:v>
                </c:pt>
                <c:pt idx="290">
                  <c:v>288</c:v>
                </c:pt>
                <c:pt idx="291">
                  <c:v>289</c:v>
                </c:pt>
                <c:pt idx="292">
                  <c:v>290</c:v>
                </c:pt>
                <c:pt idx="293">
                  <c:v>291</c:v>
                </c:pt>
                <c:pt idx="294">
                  <c:v>292</c:v>
                </c:pt>
                <c:pt idx="295">
                  <c:v>293</c:v>
                </c:pt>
                <c:pt idx="296">
                  <c:v>294</c:v>
                </c:pt>
                <c:pt idx="297">
                  <c:v>295</c:v>
                </c:pt>
                <c:pt idx="298">
                  <c:v>296</c:v>
                </c:pt>
                <c:pt idx="299">
                  <c:v>297</c:v>
                </c:pt>
                <c:pt idx="300">
                  <c:v>298</c:v>
                </c:pt>
                <c:pt idx="301">
                  <c:v>299</c:v>
                </c:pt>
                <c:pt idx="302">
                  <c:v>300</c:v>
                </c:pt>
                <c:pt idx="303">
                  <c:v>301</c:v>
                </c:pt>
                <c:pt idx="304">
                  <c:v>302</c:v>
                </c:pt>
                <c:pt idx="305">
                  <c:v>303</c:v>
                </c:pt>
                <c:pt idx="306">
                  <c:v>304</c:v>
                </c:pt>
                <c:pt idx="307">
                  <c:v>305</c:v>
                </c:pt>
                <c:pt idx="308">
                  <c:v>306</c:v>
                </c:pt>
                <c:pt idx="309">
                  <c:v>307</c:v>
                </c:pt>
                <c:pt idx="310">
                  <c:v>308</c:v>
                </c:pt>
                <c:pt idx="311">
                  <c:v>309</c:v>
                </c:pt>
                <c:pt idx="312">
                  <c:v>310</c:v>
                </c:pt>
                <c:pt idx="313">
                  <c:v>311</c:v>
                </c:pt>
                <c:pt idx="314">
                  <c:v>312</c:v>
                </c:pt>
                <c:pt idx="315">
                  <c:v>313</c:v>
                </c:pt>
                <c:pt idx="316">
                  <c:v>314</c:v>
                </c:pt>
                <c:pt idx="317">
                  <c:v>315</c:v>
                </c:pt>
                <c:pt idx="318">
                  <c:v>316</c:v>
                </c:pt>
                <c:pt idx="319">
                  <c:v>317</c:v>
                </c:pt>
                <c:pt idx="320">
                  <c:v>318</c:v>
                </c:pt>
                <c:pt idx="321">
                  <c:v>319</c:v>
                </c:pt>
                <c:pt idx="322">
                  <c:v>320</c:v>
                </c:pt>
                <c:pt idx="323">
                  <c:v>321</c:v>
                </c:pt>
                <c:pt idx="324">
                  <c:v>322</c:v>
                </c:pt>
                <c:pt idx="325">
                  <c:v>323</c:v>
                </c:pt>
                <c:pt idx="326">
                  <c:v>324</c:v>
                </c:pt>
                <c:pt idx="327">
                  <c:v>325</c:v>
                </c:pt>
                <c:pt idx="328">
                  <c:v>326</c:v>
                </c:pt>
                <c:pt idx="329">
                  <c:v>327</c:v>
                </c:pt>
                <c:pt idx="330">
                  <c:v>328</c:v>
                </c:pt>
                <c:pt idx="331">
                  <c:v>329</c:v>
                </c:pt>
                <c:pt idx="332">
                  <c:v>330</c:v>
                </c:pt>
                <c:pt idx="333">
                  <c:v>331</c:v>
                </c:pt>
                <c:pt idx="334">
                  <c:v>332</c:v>
                </c:pt>
                <c:pt idx="335">
                  <c:v>333</c:v>
                </c:pt>
                <c:pt idx="336">
                  <c:v>334</c:v>
                </c:pt>
                <c:pt idx="337">
                  <c:v>335</c:v>
                </c:pt>
                <c:pt idx="338">
                  <c:v>336</c:v>
                </c:pt>
                <c:pt idx="339">
                  <c:v>337</c:v>
                </c:pt>
                <c:pt idx="340">
                  <c:v>338</c:v>
                </c:pt>
                <c:pt idx="341">
                  <c:v>339</c:v>
                </c:pt>
                <c:pt idx="342">
                  <c:v>340</c:v>
                </c:pt>
                <c:pt idx="343">
                  <c:v>341</c:v>
                </c:pt>
                <c:pt idx="344">
                  <c:v>342</c:v>
                </c:pt>
                <c:pt idx="345">
                  <c:v>343</c:v>
                </c:pt>
                <c:pt idx="346">
                  <c:v>344</c:v>
                </c:pt>
                <c:pt idx="347">
                  <c:v>345</c:v>
                </c:pt>
                <c:pt idx="348">
                  <c:v>346</c:v>
                </c:pt>
                <c:pt idx="349">
                  <c:v>347</c:v>
                </c:pt>
                <c:pt idx="350">
                  <c:v>348</c:v>
                </c:pt>
                <c:pt idx="351">
                  <c:v>349</c:v>
                </c:pt>
                <c:pt idx="352">
                  <c:v>350</c:v>
                </c:pt>
                <c:pt idx="353">
                  <c:v>351</c:v>
                </c:pt>
                <c:pt idx="354">
                  <c:v>352</c:v>
                </c:pt>
                <c:pt idx="355">
                  <c:v>353</c:v>
                </c:pt>
                <c:pt idx="356">
                  <c:v>354</c:v>
                </c:pt>
                <c:pt idx="357">
                  <c:v>355</c:v>
                </c:pt>
                <c:pt idx="358">
                  <c:v>356</c:v>
                </c:pt>
                <c:pt idx="359">
                  <c:v>357</c:v>
                </c:pt>
                <c:pt idx="360">
                  <c:v>358</c:v>
                </c:pt>
                <c:pt idx="361">
                  <c:v>359</c:v>
                </c:pt>
                <c:pt idx="362">
                  <c:v>360</c:v>
                </c:pt>
                <c:pt idx="363">
                  <c:v>361</c:v>
                </c:pt>
                <c:pt idx="364">
                  <c:v>362</c:v>
                </c:pt>
                <c:pt idx="365">
                  <c:v>363</c:v>
                </c:pt>
                <c:pt idx="366">
                  <c:v>364</c:v>
                </c:pt>
                <c:pt idx="367">
                  <c:v>365</c:v>
                </c:pt>
                <c:pt idx="368">
                  <c:v>366</c:v>
                </c:pt>
                <c:pt idx="369">
                  <c:v>367</c:v>
                </c:pt>
                <c:pt idx="370">
                  <c:v>368</c:v>
                </c:pt>
                <c:pt idx="371">
                  <c:v>369</c:v>
                </c:pt>
                <c:pt idx="372">
                  <c:v>370</c:v>
                </c:pt>
                <c:pt idx="373">
                  <c:v>371</c:v>
                </c:pt>
                <c:pt idx="374">
                  <c:v>372</c:v>
                </c:pt>
                <c:pt idx="375">
                  <c:v>373</c:v>
                </c:pt>
                <c:pt idx="376">
                  <c:v>374</c:v>
                </c:pt>
                <c:pt idx="377">
                  <c:v>375</c:v>
                </c:pt>
                <c:pt idx="378">
                  <c:v>376</c:v>
                </c:pt>
                <c:pt idx="379">
                  <c:v>377</c:v>
                </c:pt>
                <c:pt idx="380">
                  <c:v>378</c:v>
                </c:pt>
                <c:pt idx="381">
                  <c:v>379</c:v>
                </c:pt>
                <c:pt idx="382">
                  <c:v>380</c:v>
                </c:pt>
                <c:pt idx="383">
                  <c:v>381</c:v>
                </c:pt>
                <c:pt idx="384">
                  <c:v>382</c:v>
                </c:pt>
                <c:pt idx="385">
                  <c:v>383</c:v>
                </c:pt>
                <c:pt idx="386">
                  <c:v>384</c:v>
                </c:pt>
                <c:pt idx="387">
                  <c:v>385</c:v>
                </c:pt>
                <c:pt idx="388">
                  <c:v>386</c:v>
                </c:pt>
                <c:pt idx="389">
                  <c:v>387</c:v>
                </c:pt>
                <c:pt idx="390">
                  <c:v>388</c:v>
                </c:pt>
                <c:pt idx="391">
                  <c:v>389</c:v>
                </c:pt>
                <c:pt idx="392">
                  <c:v>390</c:v>
                </c:pt>
                <c:pt idx="393">
                  <c:v>391</c:v>
                </c:pt>
                <c:pt idx="394">
                  <c:v>392</c:v>
                </c:pt>
                <c:pt idx="395">
                  <c:v>393</c:v>
                </c:pt>
                <c:pt idx="396">
                  <c:v>394</c:v>
                </c:pt>
                <c:pt idx="397">
                  <c:v>395</c:v>
                </c:pt>
                <c:pt idx="398">
                  <c:v>396</c:v>
                </c:pt>
                <c:pt idx="399">
                  <c:v>397</c:v>
                </c:pt>
                <c:pt idx="400">
                  <c:v>398</c:v>
                </c:pt>
                <c:pt idx="401">
                  <c:v>399</c:v>
                </c:pt>
                <c:pt idx="402">
                  <c:v>400</c:v>
                </c:pt>
                <c:pt idx="403">
                  <c:v>401</c:v>
                </c:pt>
                <c:pt idx="404">
                  <c:v>402</c:v>
                </c:pt>
                <c:pt idx="405">
                  <c:v>403</c:v>
                </c:pt>
                <c:pt idx="406">
                  <c:v>404</c:v>
                </c:pt>
                <c:pt idx="407">
                  <c:v>405</c:v>
                </c:pt>
                <c:pt idx="408">
                  <c:v>406</c:v>
                </c:pt>
                <c:pt idx="409">
                  <c:v>407</c:v>
                </c:pt>
                <c:pt idx="410">
                  <c:v>408</c:v>
                </c:pt>
                <c:pt idx="411">
                  <c:v>409</c:v>
                </c:pt>
                <c:pt idx="412">
                  <c:v>410</c:v>
                </c:pt>
                <c:pt idx="413">
                  <c:v>411</c:v>
                </c:pt>
                <c:pt idx="414">
                  <c:v>412</c:v>
                </c:pt>
                <c:pt idx="415">
                  <c:v>413</c:v>
                </c:pt>
                <c:pt idx="416">
                  <c:v>414</c:v>
                </c:pt>
                <c:pt idx="417">
                  <c:v>415</c:v>
                </c:pt>
                <c:pt idx="418">
                  <c:v>416</c:v>
                </c:pt>
                <c:pt idx="419">
                  <c:v>417</c:v>
                </c:pt>
                <c:pt idx="420">
                  <c:v>418</c:v>
                </c:pt>
                <c:pt idx="421">
                  <c:v>419</c:v>
                </c:pt>
                <c:pt idx="422">
                  <c:v>420</c:v>
                </c:pt>
                <c:pt idx="423">
                  <c:v>421</c:v>
                </c:pt>
                <c:pt idx="424">
                  <c:v>422</c:v>
                </c:pt>
                <c:pt idx="425">
                  <c:v>423</c:v>
                </c:pt>
                <c:pt idx="426">
                  <c:v>424</c:v>
                </c:pt>
                <c:pt idx="427">
                  <c:v>425</c:v>
                </c:pt>
                <c:pt idx="428">
                  <c:v>426</c:v>
                </c:pt>
                <c:pt idx="429">
                  <c:v>427</c:v>
                </c:pt>
                <c:pt idx="430">
                  <c:v>428</c:v>
                </c:pt>
                <c:pt idx="431">
                  <c:v>429</c:v>
                </c:pt>
                <c:pt idx="432">
                  <c:v>430</c:v>
                </c:pt>
                <c:pt idx="433">
                  <c:v>431</c:v>
                </c:pt>
                <c:pt idx="434">
                  <c:v>432</c:v>
                </c:pt>
                <c:pt idx="435">
                  <c:v>433</c:v>
                </c:pt>
                <c:pt idx="436">
                  <c:v>434</c:v>
                </c:pt>
                <c:pt idx="437">
                  <c:v>435</c:v>
                </c:pt>
                <c:pt idx="438">
                  <c:v>436</c:v>
                </c:pt>
                <c:pt idx="439">
                  <c:v>437</c:v>
                </c:pt>
                <c:pt idx="440">
                  <c:v>438</c:v>
                </c:pt>
                <c:pt idx="441">
                  <c:v>439</c:v>
                </c:pt>
                <c:pt idx="442">
                  <c:v>440</c:v>
                </c:pt>
                <c:pt idx="443">
                  <c:v>441</c:v>
                </c:pt>
                <c:pt idx="444">
                  <c:v>442</c:v>
                </c:pt>
                <c:pt idx="445">
                  <c:v>443</c:v>
                </c:pt>
                <c:pt idx="446">
                  <c:v>444</c:v>
                </c:pt>
                <c:pt idx="447">
                  <c:v>445</c:v>
                </c:pt>
                <c:pt idx="448">
                  <c:v>446</c:v>
                </c:pt>
                <c:pt idx="449">
                  <c:v>447</c:v>
                </c:pt>
                <c:pt idx="450">
                  <c:v>448</c:v>
                </c:pt>
                <c:pt idx="451">
                  <c:v>449</c:v>
                </c:pt>
                <c:pt idx="452">
                  <c:v>450</c:v>
                </c:pt>
                <c:pt idx="453">
                  <c:v>451</c:v>
                </c:pt>
                <c:pt idx="454">
                  <c:v>452</c:v>
                </c:pt>
                <c:pt idx="455">
                  <c:v>453</c:v>
                </c:pt>
                <c:pt idx="456">
                  <c:v>454</c:v>
                </c:pt>
                <c:pt idx="457">
                  <c:v>455</c:v>
                </c:pt>
                <c:pt idx="458">
                  <c:v>456</c:v>
                </c:pt>
                <c:pt idx="459">
                  <c:v>457</c:v>
                </c:pt>
                <c:pt idx="460">
                  <c:v>458</c:v>
                </c:pt>
                <c:pt idx="461">
                  <c:v>459</c:v>
                </c:pt>
                <c:pt idx="462">
                  <c:v>460</c:v>
                </c:pt>
                <c:pt idx="463">
                  <c:v>461</c:v>
                </c:pt>
                <c:pt idx="464">
                  <c:v>462</c:v>
                </c:pt>
                <c:pt idx="465">
                  <c:v>463</c:v>
                </c:pt>
                <c:pt idx="466">
                  <c:v>464</c:v>
                </c:pt>
                <c:pt idx="467">
                  <c:v>465</c:v>
                </c:pt>
                <c:pt idx="468">
                  <c:v>466</c:v>
                </c:pt>
                <c:pt idx="469">
                  <c:v>467</c:v>
                </c:pt>
                <c:pt idx="470">
                  <c:v>468</c:v>
                </c:pt>
                <c:pt idx="471">
                  <c:v>469</c:v>
                </c:pt>
                <c:pt idx="472">
                  <c:v>470</c:v>
                </c:pt>
                <c:pt idx="473">
                  <c:v>471</c:v>
                </c:pt>
                <c:pt idx="474">
                  <c:v>472</c:v>
                </c:pt>
                <c:pt idx="475">
                  <c:v>473</c:v>
                </c:pt>
                <c:pt idx="476">
                  <c:v>474</c:v>
                </c:pt>
                <c:pt idx="477">
                  <c:v>475</c:v>
                </c:pt>
                <c:pt idx="478">
                  <c:v>476</c:v>
                </c:pt>
                <c:pt idx="479">
                  <c:v>477</c:v>
                </c:pt>
                <c:pt idx="480">
                  <c:v>478</c:v>
                </c:pt>
                <c:pt idx="481">
                  <c:v>479</c:v>
                </c:pt>
                <c:pt idx="482">
                  <c:v>480</c:v>
                </c:pt>
                <c:pt idx="483">
                  <c:v>481</c:v>
                </c:pt>
                <c:pt idx="484">
                  <c:v>482</c:v>
                </c:pt>
                <c:pt idx="485">
                  <c:v>483</c:v>
                </c:pt>
                <c:pt idx="486">
                  <c:v>484</c:v>
                </c:pt>
                <c:pt idx="487">
                  <c:v>485</c:v>
                </c:pt>
                <c:pt idx="488">
                  <c:v>486</c:v>
                </c:pt>
                <c:pt idx="489">
                  <c:v>487</c:v>
                </c:pt>
                <c:pt idx="490">
                  <c:v>488</c:v>
                </c:pt>
                <c:pt idx="491">
                  <c:v>489</c:v>
                </c:pt>
                <c:pt idx="492">
                  <c:v>490</c:v>
                </c:pt>
                <c:pt idx="493">
                  <c:v>491</c:v>
                </c:pt>
                <c:pt idx="494">
                  <c:v>492</c:v>
                </c:pt>
                <c:pt idx="495">
                  <c:v>493</c:v>
                </c:pt>
                <c:pt idx="496">
                  <c:v>494</c:v>
                </c:pt>
                <c:pt idx="497">
                  <c:v>495</c:v>
                </c:pt>
                <c:pt idx="498">
                  <c:v>496</c:v>
                </c:pt>
                <c:pt idx="499">
                  <c:v>497</c:v>
                </c:pt>
                <c:pt idx="500">
                  <c:v>498</c:v>
                </c:pt>
                <c:pt idx="501">
                  <c:v>499</c:v>
                </c:pt>
                <c:pt idx="502">
                  <c:v>500</c:v>
                </c:pt>
                <c:pt idx="503">
                  <c:v>501</c:v>
                </c:pt>
                <c:pt idx="504">
                  <c:v>502</c:v>
                </c:pt>
                <c:pt idx="505">
                  <c:v>503</c:v>
                </c:pt>
                <c:pt idx="506">
                  <c:v>504</c:v>
                </c:pt>
                <c:pt idx="507">
                  <c:v>505</c:v>
                </c:pt>
                <c:pt idx="508">
                  <c:v>506</c:v>
                </c:pt>
                <c:pt idx="509">
                  <c:v>507</c:v>
                </c:pt>
                <c:pt idx="510">
                  <c:v>508</c:v>
                </c:pt>
                <c:pt idx="511">
                  <c:v>509</c:v>
                </c:pt>
                <c:pt idx="512">
                  <c:v>510</c:v>
                </c:pt>
                <c:pt idx="513">
                  <c:v>511</c:v>
                </c:pt>
                <c:pt idx="514">
                  <c:v>512</c:v>
                </c:pt>
                <c:pt idx="515">
                  <c:v>513</c:v>
                </c:pt>
                <c:pt idx="516">
                  <c:v>514</c:v>
                </c:pt>
                <c:pt idx="517">
                  <c:v>515</c:v>
                </c:pt>
                <c:pt idx="518">
                  <c:v>516</c:v>
                </c:pt>
                <c:pt idx="519">
                  <c:v>517</c:v>
                </c:pt>
                <c:pt idx="520">
                  <c:v>518</c:v>
                </c:pt>
                <c:pt idx="521">
                  <c:v>519</c:v>
                </c:pt>
                <c:pt idx="522">
                  <c:v>520</c:v>
                </c:pt>
                <c:pt idx="523">
                  <c:v>521</c:v>
                </c:pt>
                <c:pt idx="524">
                  <c:v>522</c:v>
                </c:pt>
                <c:pt idx="525">
                  <c:v>523</c:v>
                </c:pt>
                <c:pt idx="526">
                  <c:v>524</c:v>
                </c:pt>
                <c:pt idx="527">
                  <c:v>525</c:v>
                </c:pt>
                <c:pt idx="528">
                  <c:v>526</c:v>
                </c:pt>
                <c:pt idx="529">
                  <c:v>527</c:v>
                </c:pt>
                <c:pt idx="530">
                  <c:v>528</c:v>
                </c:pt>
                <c:pt idx="531">
                  <c:v>529</c:v>
                </c:pt>
                <c:pt idx="532">
                  <c:v>530</c:v>
                </c:pt>
                <c:pt idx="533">
                  <c:v>531</c:v>
                </c:pt>
                <c:pt idx="534">
                  <c:v>532</c:v>
                </c:pt>
                <c:pt idx="535">
                  <c:v>533</c:v>
                </c:pt>
                <c:pt idx="536">
                  <c:v>534</c:v>
                </c:pt>
                <c:pt idx="537">
                  <c:v>535</c:v>
                </c:pt>
                <c:pt idx="538">
                  <c:v>536</c:v>
                </c:pt>
                <c:pt idx="539">
                  <c:v>537</c:v>
                </c:pt>
                <c:pt idx="540">
                  <c:v>538</c:v>
                </c:pt>
                <c:pt idx="541">
                  <c:v>539</c:v>
                </c:pt>
                <c:pt idx="542">
                  <c:v>540</c:v>
                </c:pt>
                <c:pt idx="543">
                  <c:v>541</c:v>
                </c:pt>
                <c:pt idx="544">
                  <c:v>542</c:v>
                </c:pt>
                <c:pt idx="545">
                  <c:v>543</c:v>
                </c:pt>
                <c:pt idx="546">
                  <c:v>544</c:v>
                </c:pt>
                <c:pt idx="547">
                  <c:v>545</c:v>
                </c:pt>
                <c:pt idx="548">
                  <c:v>546</c:v>
                </c:pt>
                <c:pt idx="549">
                  <c:v>547</c:v>
                </c:pt>
                <c:pt idx="550">
                  <c:v>548</c:v>
                </c:pt>
                <c:pt idx="551">
                  <c:v>549</c:v>
                </c:pt>
                <c:pt idx="552">
                  <c:v>550</c:v>
                </c:pt>
                <c:pt idx="553">
                  <c:v>551</c:v>
                </c:pt>
                <c:pt idx="554">
                  <c:v>552</c:v>
                </c:pt>
                <c:pt idx="555">
                  <c:v>553</c:v>
                </c:pt>
                <c:pt idx="556">
                  <c:v>554</c:v>
                </c:pt>
                <c:pt idx="557">
                  <c:v>555</c:v>
                </c:pt>
                <c:pt idx="558">
                  <c:v>556</c:v>
                </c:pt>
                <c:pt idx="559">
                  <c:v>557</c:v>
                </c:pt>
                <c:pt idx="560">
                  <c:v>558</c:v>
                </c:pt>
                <c:pt idx="561">
                  <c:v>559</c:v>
                </c:pt>
                <c:pt idx="562">
                  <c:v>560</c:v>
                </c:pt>
                <c:pt idx="563">
                  <c:v>561</c:v>
                </c:pt>
                <c:pt idx="564">
                  <c:v>562</c:v>
                </c:pt>
                <c:pt idx="565">
                  <c:v>563</c:v>
                </c:pt>
                <c:pt idx="566">
                  <c:v>564</c:v>
                </c:pt>
                <c:pt idx="567">
                  <c:v>565</c:v>
                </c:pt>
                <c:pt idx="568">
                  <c:v>566</c:v>
                </c:pt>
                <c:pt idx="569">
                  <c:v>567</c:v>
                </c:pt>
                <c:pt idx="570">
                  <c:v>568</c:v>
                </c:pt>
                <c:pt idx="571">
                  <c:v>569</c:v>
                </c:pt>
                <c:pt idx="572">
                  <c:v>570</c:v>
                </c:pt>
                <c:pt idx="573">
                  <c:v>571</c:v>
                </c:pt>
                <c:pt idx="574">
                  <c:v>572</c:v>
                </c:pt>
                <c:pt idx="575">
                  <c:v>573</c:v>
                </c:pt>
                <c:pt idx="576">
                  <c:v>574</c:v>
                </c:pt>
                <c:pt idx="577">
                  <c:v>575</c:v>
                </c:pt>
                <c:pt idx="578">
                  <c:v>576</c:v>
                </c:pt>
                <c:pt idx="579">
                  <c:v>577</c:v>
                </c:pt>
                <c:pt idx="580">
                  <c:v>578</c:v>
                </c:pt>
                <c:pt idx="581">
                  <c:v>579</c:v>
                </c:pt>
                <c:pt idx="582">
                  <c:v>580</c:v>
                </c:pt>
                <c:pt idx="583">
                  <c:v>581</c:v>
                </c:pt>
                <c:pt idx="584">
                  <c:v>582</c:v>
                </c:pt>
                <c:pt idx="585">
                  <c:v>583</c:v>
                </c:pt>
                <c:pt idx="586">
                  <c:v>584</c:v>
                </c:pt>
                <c:pt idx="587">
                  <c:v>585</c:v>
                </c:pt>
                <c:pt idx="588">
                  <c:v>586</c:v>
                </c:pt>
                <c:pt idx="589">
                  <c:v>587</c:v>
                </c:pt>
                <c:pt idx="590">
                  <c:v>588</c:v>
                </c:pt>
                <c:pt idx="591">
                  <c:v>589</c:v>
                </c:pt>
                <c:pt idx="592">
                  <c:v>590</c:v>
                </c:pt>
                <c:pt idx="593">
                  <c:v>591</c:v>
                </c:pt>
                <c:pt idx="594">
                  <c:v>592</c:v>
                </c:pt>
                <c:pt idx="595">
                  <c:v>593</c:v>
                </c:pt>
                <c:pt idx="596">
                  <c:v>594</c:v>
                </c:pt>
                <c:pt idx="597">
                  <c:v>595</c:v>
                </c:pt>
                <c:pt idx="598">
                  <c:v>596</c:v>
                </c:pt>
                <c:pt idx="599">
                  <c:v>597</c:v>
                </c:pt>
                <c:pt idx="600">
                  <c:v>598</c:v>
                </c:pt>
                <c:pt idx="601">
                  <c:v>599</c:v>
                </c:pt>
                <c:pt idx="602">
                  <c:v>600</c:v>
                </c:pt>
                <c:pt idx="603">
                  <c:v>601</c:v>
                </c:pt>
                <c:pt idx="604">
                  <c:v>602</c:v>
                </c:pt>
                <c:pt idx="605">
                  <c:v>603</c:v>
                </c:pt>
                <c:pt idx="606">
                  <c:v>604</c:v>
                </c:pt>
                <c:pt idx="607">
                  <c:v>605</c:v>
                </c:pt>
                <c:pt idx="608">
                  <c:v>606</c:v>
                </c:pt>
                <c:pt idx="609">
                  <c:v>607</c:v>
                </c:pt>
                <c:pt idx="610">
                  <c:v>608</c:v>
                </c:pt>
                <c:pt idx="611">
                  <c:v>609</c:v>
                </c:pt>
                <c:pt idx="612">
                  <c:v>610</c:v>
                </c:pt>
                <c:pt idx="613">
                  <c:v>611</c:v>
                </c:pt>
                <c:pt idx="614">
                  <c:v>612</c:v>
                </c:pt>
                <c:pt idx="615">
                  <c:v>613</c:v>
                </c:pt>
                <c:pt idx="616">
                  <c:v>614</c:v>
                </c:pt>
                <c:pt idx="617">
                  <c:v>615</c:v>
                </c:pt>
                <c:pt idx="618">
                  <c:v>616</c:v>
                </c:pt>
                <c:pt idx="619">
                  <c:v>617</c:v>
                </c:pt>
                <c:pt idx="620">
                  <c:v>618</c:v>
                </c:pt>
                <c:pt idx="621">
                  <c:v>619</c:v>
                </c:pt>
                <c:pt idx="622">
                  <c:v>620</c:v>
                </c:pt>
                <c:pt idx="623">
                  <c:v>621</c:v>
                </c:pt>
                <c:pt idx="624">
                  <c:v>622</c:v>
                </c:pt>
                <c:pt idx="625">
                  <c:v>623</c:v>
                </c:pt>
                <c:pt idx="626">
                  <c:v>624</c:v>
                </c:pt>
                <c:pt idx="627">
                  <c:v>625</c:v>
                </c:pt>
                <c:pt idx="628">
                  <c:v>626</c:v>
                </c:pt>
                <c:pt idx="629">
                  <c:v>627</c:v>
                </c:pt>
                <c:pt idx="630">
                  <c:v>628</c:v>
                </c:pt>
                <c:pt idx="631">
                  <c:v>629</c:v>
                </c:pt>
                <c:pt idx="632">
                  <c:v>630</c:v>
                </c:pt>
                <c:pt idx="633">
                  <c:v>631</c:v>
                </c:pt>
                <c:pt idx="634">
                  <c:v>632</c:v>
                </c:pt>
                <c:pt idx="635">
                  <c:v>633</c:v>
                </c:pt>
                <c:pt idx="636">
                  <c:v>634</c:v>
                </c:pt>
                <c:pt idx="637">
                  <c:v>635</c:v>
                </c:pt>
                <c:pt idx="638">
                  <c:v>636</c:v>
                </c:pt>
                <c:pt idx="639">
                  <c:v>637</c:v>
                </c:pt>
                <c:pt idx="640">
                  <c:v>638</c:v>
                </c:pt>
                <c:pt idx="641">
                  <c:v>639</c:v>
                </c:pt>
                <c:pt idx="642">
                  <c:v>640</c:v>
                </c:pt>
                <c:pt idx="643">
                  <c:v>641</c:v>
                </c:pt>
                <c:pt idx="644">
                  <c:v>642</c:v>
                </c:pt>
                <c:pt idx="645">
                  <c:v>643</c:v>
                </c:pt>
                <c:pt idx="646">
                  <c:v>644</c:v>
                </c:pt>
                <c:pt idx="647">
                  <c:v>645</c:v>
                </c:pt>
                <c:pt idx="648">
                  <c:v>646</c:v>
                </c:pt>
                <c:pt idx="649">
                  <c:v>647</c:v>
                </c:pt>
                <c:pt idx="650">
                  <c:v>648</c:v>
                </c:pt>
                <c:pt idx="651">
                  <c:v>649</c:v>
                </c:pt>
                <c:pt idx="652">
                  <c:v>650</c:v>
                </c:pt>
                <c:pt idx="653">
                  <c:v>651</c:v>
                </c:pt>
                <c:pt idx="654">
                  <c:v>652</c:v>
                </c:pt>
                <c:pt idx="655">
                  <c:v>653</c:v>
                </c:pt>
                <c:pt idx="656">
                  <c:v>654</c:v>
                </c:pt>
                <c:pt idx="657">
                  <c:v>655</c:v>
                </c:pt>
                <c:pt idx="658">
                  <c:v>656</c:v>
                </c:pt>
                <c:pt idx="659">
                  <c:v>657</c:v>
                </c:pt>
                <c:pt idx="660">
                  <c:v>658</c:v>
                </c:pt>
                <c:pt idx="661">
                  <c:v>659</c:v>
                </c:pt>
                <c:pt idx="662">
                  <c:v>660</c:v>
                </c:pt>
                <c:pt idx="663">
                  <c:v>661</c:v>
                </c:pt>
                <c:pt idx="664">
                  <c:v>662</c:v>
                </c:pt>
                <c:pt idx="665">
                  <c:v>663</c:v>
                </c:pt>
                <c:pt idx="666">
                  <c:v>664</c:v>
                </c:pt>
                <c:pt idx="667">
                  <c:v>665</c:v>
                </c:pt>
                <c:pt idx="668">
                  <c:v>666</c:v>
                </c:pt>
                <c:pt idx="669">
                  <c:v>667</c:v>
                </c:pt>
                <c:pt idx="670">
                  <c:v>668</c:v>
                </c:pt>
                <c:pt idx="671">
                  <c:v>669</c:v>
                </c:pt>
                <c:pt idx="672">
                  <c:v>670</c:v>
                </c:pt>
                <c:pt idx="673">
                  <c:v>671</c:v>
                </c:pt>
                <c:pt idx="674">
                  <c:v>672</c:v>
                </c:pt>
                <c:pt idx="675">
                  <c:v>673</c:v>
                </c:pt>
                <c:pt idx="676">
                  <c:v>674</c:v>
                </c:pt>
                <c:pt idx="677">
                  <c:v>675</c:v>
                </c:pt>
                <c:pt idx="678">
                  <c:v>676</c:v>
                </c:pt>
                <c:pt idx="679">
                  <c:v>677</c:v>
                </c:pt>
                <c:pt idx="680">
                  <c:v>678</c:v>
                </c:pt>
                <c:pt idx="681">
                  <c:v>679</c:v>
                </c:pt>
                <c:pt idx="682">
                  <c:v>680</c:v>
                </c:pt>
                <c:pt idx="683">
                  <c:v>681</c:v>
                </c:pt>
                <c:pt idx="684">
                  <c:v>682</c:v>
                </c:pt>
                <c:pt idx="685">
                  <c:v>683</c:v>
                </c:pt>
                <c:pt idx="686">
                  <c:v>684</c:v>
                </c:pt>
                <c:pt idx="687">
                  <c:v>685</c:v>
                </c:pt>
                <c:pt idx="688">
                  <c:v>686</c:v>
                </c:pt>
                <c:pt idx="689">
                  <c:v>687</c:v>
                </c:pt>
                <c:pt idx="690">
                  <c:v>688</c:v>
                </c:pt>
                <c:pt idx="691">
                  <c:v>689</c:v>
                </c:pt>
                <c:pt idx="692">
                  <c:v>690</c:v>
                </c:pt>
                <c:pt idx="693">
                  <c:v>691</c:v>
                </c:pt>
                <c:pt idx="694">
                  <c:v>692</c:v>
                </c:pt>
                <c:pt idx="695">
                  <c:v>693</c:v>
                </c:pt>
                <c:pt idx="696">
                  <c:v>694</c:v>
                </c:pt>
                <c:pt idx="697">
                  <c:v>695</c:v>
                </c:pt>
                <c:pt idx="698">
                  <c:v>696</c:v>
                </c:pt>
                <c:pt idx="699">
                  <c:v>697</c:v>
                </c:pt>
                <c:pt idx="700">
                  <c:v>698</c:v>
                </c:pt>
                <c:pt idx="701">
                  <c:v>699</c:v>
                </c:pt>
                <c:pt idx="702">
                  <c:v>700</c:v>
                </c:pt>
                <c:pt idx="703">
                  <c:v>701</c:v>
                </c:pt>
                <c:pt idx="704">
                  <c:v>702</c:v>
                </c:pt>
                <c:pt idx="705">
                  <c:v>703</c:v>
                </c:pt>
                <c:pt idx="706">
                  <c:v>704</c:v>
                </c:pt>
                <c:pt idx="707">
                  <c:v>705</c:v>
                </c:pt>
                <c:pt idx="708">
                  <c:v>706</c:v>
                </c:pt>
                <c:pt idx="709">
                  <c:v>707</c:v>
                </c:pt>
                <c:pt idx="710">
                  <c:v>708</c:v>
                </c:pt>
                <c:pt idx="711">
                  <c:v>709</c:v>
                </c:pt>
                <c:pt idx="712">
                  <c:v>710</c:v>
                </c:pt>
                <c:pt idx="713">
                  <c:v>711</c:v>
                </c:pt>
                <c:pt idx="714">
                  <c:v>712</c:v>
                </c:pt>
                <c:pt idx="715">
                  <c:v>713</c:v>
                </c:pt>
                <c:pt idx="716">
                  <c:v>714</c:v>
                </c:pt>
                <c:pt idx="717">
                  <c:v>715</c:v>
                </c:pt>
                <c:pt idx="718">
                  <c:v>716</c:v>
                </c:pt>
                <c:pt idx="719">
                  <c:v>717</c:v>
                </c:pt>
                <c:pt idx="720">
                  <c:v>718</c:v>
                </c:pt>
                <c:pt idx="721">
                  <c:v>719</c:v>
                </c:pt>
                <c:pt idx="722">
                  <c:v>720</c:v>
                </c:pt>
                <c:pt idx="723">
                  <c:v>721</c:v>
                </c:pt>
                <c:pt idx="724">
                  <c:v>722</c:v>
                </c:pt>
                <c:pt idx="725">
                  <c:v>723</c:v>
                </c:pt>
                <c:pt idx="726">
                  <c:v>724</c:v>
                </c:pt>
                <c:pt idx="727">
                  <c:v>725</c:v>
                </c:pt>
                <c:pt idx="728">
                  <c:v>726</c:v>
                </c:pt>
                <c:pt idx="729">
                  <c:v>727</c:v>
                </c:pt>
                <c:pt idx="730">
                  <c:v>728</c:v>
                </c:pt>
                <c:pt idx="731">
                  <c:v>729</c:v>
                </c:pt>
                <c:pt idx="732">
                  <c:v>730</c:v>
                </c:pt>
                <c:pt idx="733">
                  <c:v>731</c:v>
                </c:pt>
                <c:pt idx="734">
                  <c:v>732</c:v>
                </c:pt>
                <c:pt idx="735">
                  <c:v>733</c:v>
                </c:pt>
                <c:pt idx="736">
                  <c:v>734</c:v>
                </c:pt>
                <c:pt idx="737">
                  <c:v>735</c:v>
                </c:pt>
                <c:pt idx="738">
                  <c:v>736</c:v>
                </c:pt>
                <c:pt idx="739">
                  <c:v>737</c:v>
                </c:pt>
                <c:pt idx="740">
                  <c:v>738</c:v>
                </c:pt>
                <c:pt idx="741">
                  <c:v>739</c:v>
                </c:pt>
                <c:pt idx="742">
                  <c:v>740</c:v>
                </c:pt>
                <c:pt idx="743">
                  <c:v>741</c:v>
                </c:pt>
                <c:pt idx="744">
                  <c:v>742</c:v>
                </c:pt>
                <c:pt idx="745">
                  <c:v>743</c:v>
                </c:pt>
                <c:pt idx="746">
                  <c:v>744</c:v>
                </c:pt>
                <c:pt idx="747">
                  <c:v>745</c:v>
                </c:pt>
                <c:pt idx="748">
                  <c:v>746</c:v>
                </c:pt>
                <c:pt idx="749">
                  <c:v>747</c:v>
                </c:pt>
                <c:pt idx="750">
                  <c:v>748</c:v>
                </c:pt>
                <c:pt idx="751">
                  <c:v>749</c:v>
                </c:pt>
                <c:pt idx="752">
                  <c:v>750</c:v>
                </c:pt>
                <c:pt idx="753">
                  <c:v>751</c:v>
                </c:pt>
                <c:pt idx="754">
                  <c:v>752</c:v>
                </c:pt>
                <c:pt idx="755">
                  <c:v>753</c:v>
                </c:pt>
                <c:pt idx="756">
                  <c:v>754</c:v>
                </c:pt>
                <c:pt idx="757">
                  <c:v>755</c:v>
                </c:pt>
                <c:pt idx="758">
                  <c:v>756</c:v>
                </c:pt>
                <c:pt idx="759">
                  <c:v>757</c:v>
                </c:pt>
                <c:pt idx="760">
                  <c:v>758</c:v>
                </c:pt>
                <c:pt idx="761">
                  <c:v>759</c:v>
                </c:pt>
                <c:pt idx="762">
                  <c:v>760</c:v>
                </c:pt>
                <c:pt idx="763">
                  <c:v>761</c:v>
                </c:pt>
                <c:pt idx="764">
                  <c:v>762</c:v>
                </c:pt>
                <c:pt idx="765">
                  <c:v>763</c:v>
                </c:pt>
                <c:pt idx="766">
                  <c:v>764</c:v>
                </c:pt>
                <c:pt idx="767">
                  <c:v>765</c:v>
                </c:pt>
                <c:pt idx="768">
                  <c:v>766</c:v>
                </c:pt>
                <c:pt idx="769">
                  <c:v>767</c:v>
                </c:pt>
                <c:pt idx="770">
                  <c:v>768</c:v>
                </c:pt>
                <c:pt idx="771">
                  <c:v>769</c:v>
                </c:pt>
                <c:pt idx="772">
                  <c:v>770</c:v>
                </c:pt>
                <c:pt idx="773">
                  <c:v>771</c:v>
                </c:pt>
                <c:pt idx="774">
                  <c:v>772</c:v>
                </c:pt>
                <c:pt idx="775">
                  <c:v>773</c:v>
                </c:pt>
                <c:pt idx="776">
                  <c:v>774</c:v>
                </c:pt>
                <c:pt idx="777">
                  <c:v>775</c:v>
                </c:pt>
                <c:pt idx="778">
                  <c:v>776</c:v>
                </c:pt>
                <c:pt idx="779">
                  <c:v>777</c:v>
                </c:pt>
                <c:pt idx="780">
                  <c:v>778</c:v>
                </c:pt>
                <c:pt idx="781">
                  <c:v>779</c:v>
                </c:pt>
                <c:pt idx="782">
                  <c:v>780</c:v>
                </c:pt>
                <c:pt idx="783">
                  <c:v>781</c:v>
                </c:pt>
                <c:pt idx="784">
                  <c:v>782</c:v>
                </c:pt>
                <c:pt idx="785">
                  <c:v>783</c:v>
                </c:pt>
                <c:pt idx="786">
                  <c:v>784</c:v>
                </c:pt>
                <c:pt idx="787">
                  <c:v>785</c:v>
                </c:pt>
                <c:pt idx="788">
                  <c:v>786</c:v>
                </c:pt>
                <c:pt idx="789">
                  <c:v>787</c:v>
                </c:pt>
                <c:pt idx="790">
                  <c:v>788</c:v>
                </c:pt>
                <c:pt idx="791">
                  <c:v>789</c:v>
                </c:pt>
                <c:pt idx="792">
                  <c:v>790</c:v>
                </c:pt>
                <c:pt idx="793">
                  <c:v>791</c:v>
                </c:pt>
                <c:pt idx="794">
                  <c:v>792</c:v>
                </c:pt>
                <c:pt idx="795">
                  <c:v>793</c:v>
                </c:pt>
                <c:pt idx="796">
                  <c:v>794</c:v>
                </c:pt>
                <c:pt idx="797">
                  <c:v>795</c:v>
                </c:pt>
                <c:pt idx="798">
                  <c:v>796</c:v>
                </c:pt>
                <c:pt idx="799">
                  <c:v>797</c:v>
                </c:pt>
                <c:pt idx="800">
                  <c:v>798</c:v>
                </c:pt>
                <c:pt idx="801">
                  <c:v>799</c:v>
                </c:pt>
                <c:pt idx="802">
                  <c:v>800</c:v>
                </c:pt>
                <c:pt idx="803">
                  <c:v>801</c:v>
                </c:pt>
                <c:pt idx="804">
                  <c:v>802</c:v>
                </c:pt>
                <c:pt idx="805">
                  <c:v>803</c:v>
                </c:pt>
                <c:pt idx="806">
                  <c:v>804</c:v>
                </c:pt>
                <c:pt idx="807">
                  <c:v>805</c:v>
                </c:pt>
                <c:pt idx="808">
                  <c:v>806</c:v>
                </c:pt>
                <c:pt idx="809">
                  <c:v>807</c:v>
                </c:pt>
                <c:pt idx="810">
                  <c:v>808</c:v>
                </c:pt>
                <c:pt idx="811">
                  <c:v>809</c:v>
                </c:pt>
                <c:pt idx="812">
                  <c:v>810</c:v>
                </c:pt>
                <c:pt idx="813">
                  <c:v>811</c:v>
                </c:pt>
                <c:pt idx="814">
                  <c:v>812</c:v>
                </c:pt>
                <c:pt idx="815">
                  <c:v>813</c:v>
                </c:pt>
                <c:pt idx="816">
                  <c:v>814</c:v>
                </c:pt>
                <c:pt idx="817">
                  <c:v>815</c:v>
                </c:pt>
                <c:pt idx="818">
                  <c:v>816</c:v>
                </c:pt>
                <c:pt idx="819">
                  <c:v>817</c:v>
                </c:pt>
                <c:pt idx="820">
                  <c:v>818</c:v>
                </c:pt>
                <c:pt idx="821">
                  <c:v>819</c:v>
                </c:pt>
                <c:pt idx="822">
                  <c:v>820</c:v>
                </c:pt>
                <c:pt idx="823">
                  <c:v>821</c:v>
                </c:pt>
                <c:pt idx="824">
                  <c:v>822</c:v>
                </c:pt>
                <c:pt idx="825">
                  <c:v>823</c:v>
                </c:pt>
                <c:pt idx="826">
                  <c:v>824</c:v>
                </c:pt>
                <c:pt idx="827">
                  <c:v>825</c:v>
                </c:pt>
                <c:pt idx="828">
                  <c:v>826</c:v>
                </c:pt>
                <c:pt idx="829">
                  <c:v>827</c:v>
                </c:pt>
                <c:pt idx="830">
                  <c:v>828</c:v>
                </c:pt>
                <c:pt idx="831">
                  <c:v>829</c:v>
                </c:pt>
                <c:pt idx="832">
                  <c:v>830</c:v>
                </c:pt>
                <c:pt idx="833">
                  <c:v>831</c:v>
                </c:pt>
                <c:pt idx="834">
                  <c:v>832</c:v>
                </c:pt>
                <c:pt idx="835">
                  <c:v>833</c:v>
                </c:pt>
                <c:pt idx="836">
                  <c:v>834</c:v>
                </c:pt>
                <c:pt idx="837">
                  <c:v>835</c:v>
                </c:pt>
                <c:pt idx="838">
                  <c:v>836</c:v>
                </c:pt>
                <c:pt idx="839">
                  <c:v>837</c:v>
                </c:pt>
                <c:pt idx="840">
                  <c:v>838</c:v>
                </c:pt>
                <c:pt idx="841">
                  <c:v>839</c:v>
                </c:pt>
                <c:pt idx="842">
                  <c:v>840</c:v>
                </c:pt>
                <c:pt idx="843">
                  <c:v>841</c:v>
                </c:pt>
                <c:pt idx="844">
                  <c:v>842</c:v>
                </c:pt>
                <c:pt idx="845">
                  <c:v>843</c:v>
                </c:pt>
                <c:pt idx="846">
                  <c:v>844</c:v>
                </c:pt>
                <c:pt idx="847">
                  <c:v>845</c:v>
                </c:pt>
                <c:pt idx="848">
                  <c:v>846</c:v>
                </c:pt>
                <c:pt idx="849">
                  <c:v>847</c:v>
                </c:pt>
                <c:pt idx="850">
                  <c:v>848</c:v>
                </c:pt>
                <c:pt idx="851">
                  <c:v>849</c:v>
                </c:pt>
                <c:pt idx="852">
                  <c:v>850</c:v>
                </c:pt>
                <c:pt idx="853">
                  <c:v>851</c:v>
                </c:pt>
                <c:pt idx="854">
                  <c:v>852</c:v>
                </c:pt>
                <c:pt idx="855">
                  <c:v>853</c:v>
                </c:pt>
                <c:pt idx="856">
                  <c:v>854</c:v>
                </c:pt>
                <c:pt idx="857">
                  <c:v>855</c:v>
                </c:pt>
                <c:pt idx="858">
                  <c:v>856</c:v>
                </c:pt>
                <c:pt idx="859">
                  <c:v>857</c:v>
                </c:pt>
                <c:pt idx="860">
                  <c:v>858</c:v>
                </c:pt>
                <c:pt idx="861">
                  <c:v>859</c:v>
                </c:pt>
                <c:pt idx="862">
                  <c:v>860</c:v>
                </c:pt>
                <c:pt idx="863">
                  <c:v>861</c:v>
                </c:pt>
                <c:pt idx="864">
                  <c:v>862</c:v>
                </c:pt>
                <c:pt idx="865">
                  <c:v>863</c:v>
                </c:pt>
                <c:pt idx="866">
                  <c:v>864</c:v>
                </c:pt>
                <c:pt idx="867">
                  <c:v>865</c:v>
                </c:pt>
                <c:pt idx="868">
                  <c:v>866</c:v>
                </c:pt>
                <c:pt idx="869">
                  <c:v>867</c:v>
                </c:pt>
                <c:pt idx="870">
                  <c:v>868</c:v>
                </c:pt>
                <c:pt idx="871">
                  <c:v>869</c:v>
                </c:pt>
                <c:pt idx="872">
                  <c:v>870</c:v>
                </c:pt>
                <c:pt idx="873">
                  <c:v>871</c:v>
                </c:pt>
                <c:pt idx="874">
                  <c:v>872</c:v>
                </c:pt>
                <c:pt idx="875">
                  <c:v>873</c:v>
                </c:pt>
                <c:pt idx="876">
                  <c:v>874</c:v>
                </c:pt>
                <c:pt idx="877">
                  <c:v>875</c:v>
                </c:pt>
                <c:pt idx="878">
                  <c:v>876</c:v>
                </c:pt>
                <c:pt idx="879">
                  <c:v>877</c:v>
                </c:pt>
                <c:pt idx="880">
                  <c:v>878</c:v>
                </c:pt>
                <c:pt idx="881">
                  <c:v>879</c:v>
                </c:pt>
                <c:pt idx="882">
                  <c:v>880</c:v>
                </c:pt>
                <c:pt idx="883">
                  <c:v>881</c:v>
                </c:pt>
                <c:pt idx="884">
                  <c:v>882</c:v>
                </c:pt>
                <c:pt idx="885">
                  <c:v>883</c:v>
                </c:pt>
                <c:pt idx="886">
                  <c:v>884</c:v>
                </c:pt>
                <c:pt idx="887">
                  <c:v>885</c:v>
                </c:pt>
                <c:pt idx="888">
                  <c:v>886</c:v>
                </c:pt>
                <c:pt idx="889">
                  <c:v>887</c:v>
                </c:pt>
                <c:pt idx="890">
                  <c:v>888</c:v>
                </c:pt>
                <c:pt idx="891">
                  <c:v>889</c:v>
                </c:pt>
                <c:pt idx="892">
                  <c:v>890</c:v>
                </c:pt>
                <c:pt idx="893">
                  <c:v>891</c:v>
                </c:pt>
                <c:pt idx="894">
                  <c:v>892</c:v>
                </c:pt>
                <c:pt idx="895">
                  <c:v>893</c:v>
                </c:pt>
                <c:pt idx="896">
                  <c:v>894</c:v>
                </c:pt>
                <c:pt idx="897">
                  <c:v>895</c:v>
                </c:pt>
                <c:pt idx="898">
                  <c:v>896</c:v>
                </c:pt>
                <c:pt idx="899">
                  <c:v>897</c:v>
                </c:pt>
                <c:pt idx="900">
                  <c:v>898</c:v>
                </c:pt>
                <c:pt idx="901">
                  <c:v>899</c:v>
                </c:pt>
                <c:pt idx="902">
                  <c:v>900</c:v>
                </c:pt>
                <c:pt idx="903">
                  <c:v>901</c:v>
                </c:pt>
                <c:pt idx="904">
                  <c:v>902</c:v>
                </c:pt>
                <c:pt idx="905">
                  <c:v>903</c:v>
                </c:pt>
                <c:pt idx="906">
                  <c:v>904</c:v>
                </c:pt>
                <c:pt idx="907">
                  <c:v>905</c:v>
                </c:pt>
                <c:pt idx="908">
                  <c:v>906</c:v>
                </c:pt>
                <c:pt idx="909">
                  <c:v>907</c:v>
                </c:pt>
                <c:pt idx="910">
                  <c:v>908</c:v>
                </c:pt>
                <c:pt idx="911">
                  <c:v>909</c:v>
                </c:pt>
                <c:pt idx="912">
                  <c:v>910</c:v>
                </c:pt>
                <c:pt idx="913">
                  <c:v>911</c:v>
                </c:pt>
                <c:pt idx="914">
                  <c:v>912</c:v>
                </c:pt>
                <c:pt idx="915">
                  <c:v>913</c:v>
                </c:pt>
                <c:pt idx="916">
                  <c:v>914</c:v>
                </c:pt>
                <c:pt idx="917">
                  <c:v>915</c:v>
                </c:pt>
                <c:pt idx="918">
                  <c:v>916</c:v>
                </c:pt>
                <c:pt idx="919">
                  <c:v>917</c:v>
                </c:pt>
                <c:pt idx="920">
                  <c:v>918</c:v>
                </c:pt>
                <c:pt idx="921">
                  <c:v>919</c:v>
                </c:pt>
                <c:pt idx="922">
                  <c:v>920</c:v>
                </c:pt>
                <c:pt idx="923">
                  <c:v>921</c:v>
                </c:pt>
                <c:pt idx="924">
                  <c:v>922</c:v>
                </c:pt>
                <c:pt idx="925">
                  <c:v>923</c:v>
                </c:pt>
                <c:pt idx="926">
                  <c:v>924</c:v>
                </c:pt>
                <c:pt idx="927">
                  <c:v>925</c:v>
                </c:pt>
                <c:pt idx="928">
                  <c:v>926</c:v>
                </c:pt>
                <c:pt idx="929">
                  <c:v>927</c:v>
                </c:pt>
                <c:pt idx="930">
                  <c:v>928</c:v>
                </c:pt>
                <c:pt idx="931">
                  <c:v>929</c:v>
                </c:pt>
                <c:pt idx="932">
                  <c:v>930</c:v>
                </c:pt>
                <c:pt idx="933">
                  <c:v>931</c:v>
                </c:pt>
                <c:pt idx="934">
                  <c:v>932</c:v>
                </c:pt>
                <c:pt idx="935">
                  <c:v>933</c:v>
                </c:pt>
                <c:pt idx="936">
                  <c:v>934</c:v>
                </c:pt>
                <c:pt idx="937">
                  <c:v>935</c:v>
                </c:pt>
                <c:pt idx="938">
                  <c:v>936</c:v>
                </c:pt>
                <c:pt idx="939">
                  <c:v>937</c:v>
                </c:pt>
                <c:pt idx="940">
                  <c:v>938</c:v>
                </c:pt>
                <c:pt idx="941">
                  <c:v>939</c:v>
                </c:pt>
                <c:pt idx="942">
                  <c:v>940</c:v>
                </c:pt>
                <c:pt idx="943">
                  <c:v>941</c:v>
                </c:pt>
                <c:pt idx="944">
                  <c:v>942</c:v>
                </c:pt>
                <c:pt idx="945">
                  <c:v>943</c:v>
                </c:pt>
                <c:pt idx="946">
                  <c:v>944</c:v>
                </c:pt>
                <c:pt idx="947">
                  <c:v>945</c:v>
                </c:pt>
                <c:pt idx="948">
                  <c:v>946</c:v>
                </c:pt>
                <c:pt idx="949">
                  <c:v>947</c:v>
                </c:pt>
                <c:pt idx="950">
                  <c:v>948</c:v>
                </c:pt>
                <c:pt idx="951">
                  <c:v>949</c:v>
                </c:pt>
                <c:pt idx="952">
                  <c:v>950</c:v>
                </c:pt>
                <c:pt idx="953">
                  <c:v>951</c:v>
                </c:pt>
                <c:pt idx="954">
                  <c:v>952</c:v>
                </c:pt>
                <c:pt idx="955">
                  <c:v>953</c:v>
                </c:pt>
                <c:pt idx="956">
                  <c:v>954</c:v>
                </c:pt>
                <c:pt idx="957">
                  <c:v>955</c:v>
                </c:pt>
                <c:pt idx="958">
                  <c:v>956</c:v>
                </c:pt>
                <c:pt idx="959">
                  <c:v>957</c:v>
                </c:pt>
                <c:pt idx="960">
                  <c:v>958</c:v>
                </c:pt>
                <c:pt idx="961">
                  <c:v>959</c:v>
                </c:pt>
                <c:pt idx="962">
                  <c:v>960</c:v>
                </c:pt>
                <c:pt idx="963">
                  <c:v>961</c:v>
                </c:pt>
                <c:pt idx="964">
                  <c:v>962</c:v>
                </c:pt>
                <c:pt idx="965">
                  <c:v>963</c:v>
                </c:pt>
                <c:pt idx="966">
                  <c:v>964</c:v>
                </c:pt>
                <c:pt idx="967">
                  <c:v>965</c:v>
                </c:pt>
                <c:pt idx="968">
                  <c:v>966</c:v>
                </c:pt>
                <c:pt idx="969">
                  <c:v>967</c:v>
                </c:pt>
                <c:pt idx="970">
                  <c:v>968</c:v>
                </c:pt>
                <c:pt idx="971">
                  <c:v>969</c:v>
                </c:pt>
                <c:pt idx="972">
                  <c:v>970</c:v>
                </c:pt>
                <c:pt idx="973">
                  <c:v>971</c:v>
                </c:pt>
                <c:pt idx="974">
                  <c:v>972</c:v>
                </c:pt>
                <c:pt idx="975">
                  <c:v>973</c:v>
                </c:pt>
                <c:pt idx="976">
                  <c:v>974</c:v>
                </c:pt>
                <c:pt idx="977">
                  <c:v>975</c:v>
                </c:pt>
                <c:pt idx="978">
                  <c:v>976</c:v>
                </c:pt>
                <c:pt idx="979">
                  <c:v>977</c:v>
                </c:pt>
                <c:pt idx="980">
                  <c:v>978</c:v>
                </c:pt>
                <c:pt idx="981">
                  <c:v>979</c:v>
                </c:pt>
                <c:pt idx="982">
                  <c:v>980</c:v>
                </c:pt>
                <c:pt idx="983">
                  <c:v>981</c:v>
                </c:pt>
                <c:pt idx="984">
                  <c:v>982</c:v>
                </c:pt>
                <c:pt idx="985">
                  <c:v>983</c:v>
                </c:pt>
                <c:pt idx="986">
                  <c:v>984</c:v>
                </c:pt>
                <c:pt idx="987">
                  <c:v>985</c:v>
                </c:pt>
                <c:pt idx="988">
                  <c:v>986</c:v>
                </c:pt>
                <c:pt idx="989">
                  <c:v>987</c:v>
                </c:pt>
                <c:pt idx="990">
                  <c:v>988</c:v>
                </c:pt>
                <c:pt idx="991">
                  <c:v>989</c:v>
                </c:pt>
                <c:pt idx="992">
                  <c:v>990</c:v>
                </c:pt>
                <c:pt idx="993">
                  <c:v>991</c:v>
                </c:pt>
                <c:pt idx="994">
                  <c:v>992</c:v>
                </c:pt>
                <c:pt idx="995">
                  <c:v>993</c:v>
                </c:pt>
                <c:pt idx="996">
                  <c:v>994</c:v>
                </c:pt>
                <c:pt idx="997">
                  <c:v>995</c:v>
                </c:pt>
                <c:pt idx="998">
                  <c:v>996</c:v>
                </c:pt>
                <c:pt idx="999">
                  <c:v>997</c:v>
                </c:pt>
                <c:pt idx="1000">
                  <c:v>998</c:v>
                </c:pt>
                <c:pt idx="1001">
                  <c:v>999</c:v>
                </c:pt>
                <c:pt idx="1002">
                  <c:v>1000</c:v>
                </c:pt>
              </c:strCache>
            </c:strRef>
          </c:xVal>
          <c:yVal>
            <c:numRef>
              <c:f>'Kinetic Model'!$K$3:$K$1048576</c:f>
              <c:numCache>
                <c:formatCode>General</c:formatCode>
                <c:ptCount val="104857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D0-434A-AB1E-1F48B942A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1360"/>
        <c:axId val="1790177471"/>
      </c:scatterChart>
      <c:valAx>
        <c:axId val="20300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'Input and Output'!$F$14</c:f>
              <c:strCache>
                <c:ptCount val="1"/>
                <c:pt idx="0">
                  <c:v>Hours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790177471"/>
        <c:crossesAt val="0"/>
        <c:crossBetween val="midCat"/>
      </c:valAx>
      <c:valAx>
        <c:axId val="179017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Internal Concentration (ug/kg wet wt)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00136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110907</xdr:colOff>
      <xdr:row>0</xdr:row>
      <xdr:rowOff>0</xdr:rowOff>
    </xdr:from>
    <xdr:to>
      <xdr:col>13</xdr:col>
      <xdr:colOff>1224707</xdr:colOff>
      <xdr:row>19</xdr:row>
      <xdr:rowOff>183065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9897FA-33D6-4083-85B5-E4E02AFF6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56a2b608891fd93/!PostDoc1/(STUDY2)%20Secondary%20Poisoning%20Model/SP%20Excel%20Model%20v2-Validation%20Version.xlsm" TargetMode="External"/><Relationship Id="rId1" Type="http://schemas.openxmlformats.org/officeDocument/2006/relationships/externalLinkPath" Target="SP%20Excel%20Model%20v2-Validation%20Vers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Model"/>
      <sheetName val="Validation Model"/>
      <sheetName val="Validation Data (New)"/>
      <sheetName val="Results"/>
      <sheetName val="Validation Studies"/>
      <sheetName val="Chemical Data"/>
      <sheetName val="LSER Raw"/>
      <sheetName val="LSER Calc"/>
      <sheetName val="SI Review"/>
    </sheetNames>
    <sheetDataSet>
      <sheetData sheetId="0">
        <row r="3">
          <cell r="P3" t="str">
            <v>t</v>
          </cell>
          <cell r="W3" t="str">
            <v>Worms</v>
          </cell>
          <cell r="X3" t="str">
            <v>Mammals</v>
          </cell>
          <cell r="Y3" t="str">
            <v>Birds</v>
          </cell>
          <cell r="Z3" t="str">
            <v/>
          </cell>
        </row>
        <row r="4">
          <cell r="P4">
            <v>0</v>
          </cell>
          <cell r="W4">
            <v>0</v>
          </cell>
          <cell r="X4">
            <v>0</v>
          </cell>
          <cell r="Y4">
            <v>0</v>
          </cell>
          <cell r="Z4" t="e">
            <v>#N/A</v>
          </cell>
        </row>
        <row r="5">
          <cell r="P5">
            <v>1.0000000000000001E-5</v>
          </cell>
          <cell r="W5">
            <v>4.1410317030564897E-7</v>
          </cell>
          <cell r="X5">
            <v>2.9881268335537737E-5</v>
          </cell>
          <cell r="Y5">
            <v>2.7899890016723547E-5</v>
          </cell>
          <cell r="Z5" t="e">
            <v>#N/A</v>
          </cell>
        </row>
        <row r="6">
          <cell r="P6">
            <v>2.0000000000000002E-5</v>
          </cell>
          <cell r="W6">
            <v>1.2422124109959346E-6</v>
          </cell>
          <cell r="X6">
            <v>8.9636298485543364E-5</v>
          </cell>
          <cell r="Y6">
            <v>8.3693143437475168E-5</v>
          </cell>
          <cell r="Z6" t="e">
            <v>#N/A</v>
          </cell>
        </row>
        <row r="7">
          <cell r="P7">
            <v>3.0000000000000001E-5</v>
          </cell>
          <cell r="W7">
            <v>2.4840850064206659E-6</v>
          </cell>
          <cell r="X7">
            <v>1.792463265176406E-4</v>
          </cell>
          <cell r="Y7">
            <v>1.6736343293644924E-4</v>
          </cell>
          <cell r="Z7" t="e">
            <v>#N/A</v>
          </cell>
        </row>
        <row r="8">
          <cell r="P8">
            <v>4.0000000000000003E-5</v>
          </cell>
          <cell r="W8">
            <v>4.1393327390255878E-6</v>
          </cell>
          <cell r="X8">
            <v>2.9868134051577592E-4</v>
          </cell>
          <cell r="Y8">
            <v>2.7888463811651635E-4</v>
          </cell>
          <cell r="Z8" t="e">
            <v>#N/A</v>
          </cell>
        </row>
        <row r="9">
          <cell r="P9">
            <v>5.0000000000000002E-5</v>
          </cell>
          <cell r="W9">
            <v>6.2074220884715997E-6</v>
          </cell>
          <cell r="X9">
            <v>4.4790009707221452E-4</v>
          </cell>
          <cell r="Y9">
            <v>4.1822085888534443E-4</v>
          </cell>
          <cell r="Z9" t="e">
            <v>#N/A</v>
          </cell>
        </row>
        <row r="10">
          <cell r="P10">
            <v>6.0000000000000002E-5</v>
          </cell>
          <cell r="W10">
            <v>8.6876745159080056E-6</v>
          </cell>
          <cell r="X10">
            <v>6.2685014483147361E-4</v>
          </cell>
          <cell r="Y10">
            <v>5.8532643455646259E-4</v>
          </cell>
          <cell r="Z10" t="e">
            <v>#N/A</v>
          </cell>
        </row>
        <row r="11">
          <cell r="P11">
            <v>6.9999999999999994E-5</v>
          </cell>
          <cell r="W11">
            <v>1.1579266833189843E-5</v>
          </cell>
          <cell r="X11">
            <v>8.354678550675632E-4</v>
          </cell>
          <cell r="Y11">
            <v>7.801459686611837E-4</v>
          </cell>
          <cell r="Z11" t="e">
            <v>#N/A</v>
          </cell>
        </row>
        <row r="12">
          <cell r="P12">
            <v>8.0000000000000007E-5</v>
          </cell>
          <cell r="W12">
            <v>1.4881231656759651E-5</v>
          </cell>
          <cell r="X12">
            <v>1.0736784592697225E-3</v>
          </cell>
          <cell r="Y12">
            <v>1.0026143594526215E-3</v>
          </cell>
          <cell r="Z12" t="e">
            <v>#N/A</v>
          </cell>
        </row>
        <row r="13">
          <cell r="P13">
            <v>9.0000000000000006E-5</v>
          </cell>
          <cell r="W13">
            <v>1.8592457945844603E-5</v>
          </cell>
          <cell r="X13">
            <v>1.3413960937056837E-3</v>
          </cell>
          <cell r="Y13">
            <v>1.2526568360783775E-3</v>
          </cell>
          <cell r="Z13" t="e">
            <v>#N/A</v>
          </cell>
        </row>
        <row r="14">
          <cell r="P14">
            <v>1E-4</v>
          </cell>
          <cell r="W14">
            <v>2.2711691624550901E-5</v>
          </cell>
          <cell r="X14">
            <v>1.6385238509253714E-3</v>
          </cell>
          <cell r="Y14">
            <v>1.5301890003938338E-3</v>
          </cell>
          <cell r="Z14" t="e">
            <v>#N/A</v>
          </cell>
        </row>
        <row r="15">
          <cell r="P15">
            <v>1.1E-4</v>
          </cell>
          <cell r="W15">
            <v>2.7237536287368589E-5</v>
          </cell>
          <cell r="X15">
            <v>1.964953838161863E-3</v>
          </cell>
          <cell r="Y15">
            <v>1.8351168743833777E-3</v>
          </cell>
          <cell r="Z15" t="e">
            <v>#N/A</v>
          </cell>
        </row>
        <row r="16">
          <cell r="P16">
            <v>1.2E-4</v>
          </cell>
          <cell r="W16">
            <v>3.2168453987531888E-5</v>
          </cell>
          <cell r="X16">
            <v>2.3205672425803954E-3</v>
          </cell>
          <cell r="Y16">
            <v>2.1673369531523081E-3</v>
          </cell>
          <cell r="Z16" t="e">
            <v>#N/A</v>
          </cell>
        </row>
        <row r="17">
          <cell r="I17" t="str">
            <v>Ibuprofen</v>
          </cell>
          <cell r="P17">
            <v>1.2999999999999999E-4</v>
          </cell>
          <cell r="W17">
            <v>3.7502766107612415E-5</v>
          </cell>
          <cell r="X17">
            <v>2.7052344033202231E-3</v>
          </cell>
          <cell r="Y17">
            <v>2.5267362634476286E-3</v>
          </cell>
          <cell r="Z17" t="e">
            <v>#N/A</v>
          </cell>
        </row>
        <row r="18">
          <cell r="P18">
            <v>1.3999999999999999E-4</v>
          </cell>
          <cell r="W18">
            <v>4.3238654311655823E-5</v>
          </cell>
          <cell r="X18">
            <v>3.1188148902682022E-3</v>
          </cell>
          <cell r="Y18">
            <v>2.9131924276614421E-3</v>
          </cell>
          <cell r="Z18" t="e">
            <v>#N/A</v>
          </cell>
        </row>
        <row r="19">
          <cell r="P19">
            <v>1.4999999999999999E-4</v>
          </cell>
          <cell r="W19">
            <v>4.9374161578105949E-5</v>
          </cell>
          <cell r="X19">
            <v>3.5611575894971249E-3</v>
          </cell>
          <cell r="Y19">
            <v>3.3265737332662023E-3</v>
          </cell>
          <cell r="Z19" t="e">
            <v>#N/A</v>
          </cell>
        </row>
        <row r="20">
          <cell r="P20">
            <v>1.6000000000000001E-4</v>
          </cell>
          <cell r="W20">
            <v>5.590719331269523E-5</v>
          </cell>
          <cell r="X20">
            <v>4.0321007952960402E-3</v>
          </cell>
          <cell r="Y20">
            <v>3.7667392076266883E-3</v>
          </cell>
          <cell r="Z20" t="e">
            <v>#N/A</v>
          </cell>
        </row>
        <row r="21">
          <cell r="F21" t="str">
            <v>Days</v>
          </cell>
          <cell r="P21">
            <v>1.7000000000000001E-4</v>
          </cell>
          <cell r="W21">
            <v>6.2835518540415336E-5</v>
          </cell>
          <cell r="X21">
            <v>4.5314723087140872E-3</v>
          </cell>
          <cell r="Y21">
            <v>4.2335386981292127E-3</v>
          </cell>
          <cell r="Z21" t="e">
            <v>#N/A</v>
          </cell>
        </row>
        <row r="22">
          <cell r="P22">
            <v>1.8000000000000001E-4</v>
          </cell>
          <cell r="W22">
            <v>7.0156771175618302E-5</v>
          </cell>
          <cell r="X22">
            <v>5.059089542533762E-3</v>
          </cell>
          <cell r="Y22">
            <v>4.7268129575643069E-3</v>
          </cell>
          <cell r="Z22" t="e">
            <v>#N/A</v>
          </cell>
        </row>
        <row r="23">
          <cell r="P23">
            <v>1.9000000000000001E-4</v>
          </cell>
          <cell r="W23">
            <v>7.7868451369235642E-5</v>
          </cell>
          <cell r="X23">
            <v>5.6147596325839978E-3</v>
          </cell>
          <cell r="Y23">
            <v>5.2463937346948998E-3</v>
          </cell>
          <cell r="Z23" t="e">
            <v>#N/A</v>
          </cell>
        </row>
        <row r="24">
          <cell r="P24">
            <v>2.0000000000000001E-4</v>
          </cell>
          <cell r="W24">
            <v>8.5967926932041145E-5</v>
          </cell>
          <cell r="X24">
            <v>6.1982795552980186E-3</v>
          </cell>
          <cell r="Y24">
            <v>5.7921038699378577E-3</v>
          </cell>
          <cell r="Z24" t="e">
            <v>#N/A</v>
          </cell>
        </row>
        <row r="25">
          <cell r="P25">
            <v>2.1000000000000001E-4</v>
          </cell>
          <cell r="W25">
            <v>9.4452434832822442E-5</v>
          </cell>
          <cell r="X25">
            <v>6.8094362514155987E-3</v>
          </cell>
          <cell r="Y25">
            <v>6.3637573960826921E-3</v>
          </cell>
          <cell r="Z25" t="e">
            <v>#N/A</v>
          </cell>
        </row>
        <row r="26">
          <cell r="P26">
            <v>2.2000000000000001E-4</v>
          </cell>
          <cell r="W26">
            <v>1.033190827702669E-4</v>
          </cell>
          <cell r="X26">
            <v>7.4480067557241517E-3</v>
          </cell>
          <cell r="Y26">
            <v>6.9611596439672343E-3</v>
          </cell>
          <cell r="Z26" t="e">
            <v>#N/A</v>
          </cell>
        </row>
        <row r="27">
          <cell r="P27">
            <v>2.3000000000000001E-4</v>
          </cell>
          <cell r="W27">
            <v>1.1256485081730925E-4</v>
          </cell>
          <cell r="X27">
            <v>8.1137583327279741E-3</v>
          </cell>
          <cell r="Y27">
            <v>7.584107353026167E-3</v>
          </cell>
          <cell r="Z27" t="e">
            <v>#N/A</v>
          </cell>
        </row>
        <row r="28">
          <cell r="P28">
            <v>2.4000000000000001E-4</v>
          </cell>
          <cell r="W28">
            <v>1.2218659313663135E-4</v>
          </cell>
          <cell r="X28">
            <v>8.8064486181299775E-3</v>
          </cell>
          <cell r="Y28">
            <v>8.2323887866244793E-3</v>
          </cell>
          <cell r="Z28" t="e">
            <v>#N/A</v>
          </cell>
        </row>
        <row r="29">
          <cell r="P29">
            <v>2.5000000000000001E-4</v>
          </cell>
          <cell r="W29">
            <v>1.321810397659486E-4</v>
          </cell>
          <cell r="X29">
            <v>9.5258257660054257E-3</v>
          </cell>
          <cell r="Y29">
            <v>8.9057838520841693E-3</v>
          </cell>
          <cell r="Z29" t="e">
            <v>#N/A</v>
          </cell>
        </row>
        <row r="30">
          <cell r="P30">
            <v>2.5999999999999998E-4</v>
          </cell>
          <cell r="W30">
            <v>1.4254479847166382E-4</v>
          </cell>
          <cell r="X30">
            <v>1.0271628601542442E-2</v>
          </cell>
          <cell r="Y30">
            <v>9.6040642253088747E-3</v>
          </cell>
          <cell r="Z30" t="e">
            <v>#N/A</v>
          </cell>
        </row>
        <row r="31">
          <cell r="P31">
            <v>2.7E-4</v>
          </cell>
          <cell r="W31">
            <v>1.5327435666941618E-4</v>
          </cell>
          <cell r="X31">
            <v>1.1043586779219494E-2</v>
          </cell>
          <cell r="Y31">
            <v>1.0326993479907577E-2</v>
          </cell>
          <cell r="Z31" t="e">
            <v>#N/A</v>
          </cell>
        </row>
        <row r="32">
          <cell r="P32">
            <v>2.7999999999999998E-4</v>
          </cell>
          <cell r="W32">
            <v>1.6436608341000144E-4</v>
          </cell>
          <cell r="X32">
            <v>1.1841420946285612E-2</v>
          </cell>
          <cell r="Y32">
            <v>1.1074327220715066E-2</v>
          </cell>
          <cell r="Z32" t="e">
            <v>#N/A</v>
          </cell>
        </row>
        <row r="33">
          <cell r="P33">
            <v>2.9E-4</v>
          </cell>
          <cell r="W33">
            <v>1.7581623142909073E-4</v>
          </cell>
          <cell r="X33">
            <v>1.2664842911404826E-2</v>
          </cell>
          <cell r="Y33">
            <v>1.1845813221603515E-2</v>
          </cell>
          <cell r="Z33" t="e">
            <v>#N/A</v>
          </cell>
        </row>
        <row r="34">
          <cell r="P34">
            <v>2.9999999999999997E-4</v>
          </cell>
          <cell r="W34">
            <v>1.8762093925912582E-4</v>
          </cell>
          <cell r="X34">
            <v>1.351355581832212E-2</v>
          </cell>
          <cell r="Y34">
            <v>1.2641191567476286E-2</v>
          </cell>
          <cell r="Z34" t="e">
            <v>#N/A</v>
          </cell>
        </row>
        <row r="35">
          <cell r="P35">
            <v>3.1E-4</v>
          </cell>
          <cell r="W35">
            <v>1.9977623340172374E-4</v>
          </cell>
          <cell r="X35">
            <v>1.4387254324404292E-2</v>
          </cell>
          <cell r="Y35">
            <v>1.3460194800331967E-2</v>
          </cell>
          <cell r="Z35" t="e">
            <v>#N/A</v>
          </cell>
        </row>
        <row r="36">
          <cell r="P36">
            <v>3.2000000000000003E-4</v>
          </cell>
          <cell r="W36">
            <v>2.1227803055887749E-4</v>
          </cell>
          <cell r="X36">
            <v>1.5285624783905195E-2</v>
          </cell>
          <cell r="Y36">
            <v>1.4302548069283621E-2</v>
          </cell>
          <cell r="Z36" t="e">
            <v>#N/A</v>
          </cell>
        </row>
        <row r="37">
          <cell r="P37">
            <v>3.3E-4</v>
          </cell>
          <cell r="W37">
            <v>2.2512213992119769E-4</v>
          </cell>
          <cell r="X37">
            <v>1.6208345435801241E-2</v>
          </cell>
          <cell r="Y37">
            <v>1.5167969284415344E-2</v>
          </cell>
          <cell r="Z37" t="e">
            <v>#N/A</v>
          </cell>
        </row>
        <row r="38">
          <cell r="P38">
            <v>3.4000000000000002E-4</v>
          </cell>
          <cell r="W38">
            <v>2.3830426551139789E-4</v>
          </cell>
          <cell r="X38">
            <v>1.7155086596039527E-2</v>
          </cell>
          <cell r="Y38">
            <v>1.6056169274355457E-2</v>
          </cell>
          <cell r="Z38" t="e">
            <v>#N/A</v>
          </cell>
        </row>
        <row r="39">
          <cell r="P39">
            <v>3.5E-4</v>
          </cell>
          <cell r="W39">
            <v>2.5182000858118739E-4</v>
          </cell>
          <cell r="X39">
            <v>1.8125510854037592E-2</v>
          </cell>
          <cell r="Y39">
            <v>1.6966851947443004E-2</v>
          </cell>
          <cell r="Z39" t="e">
            <v>#N/A</v>
          </cell>
        </row>
        <row r="40">
          <cell r="P40">
            <v>3.6000000000000002E-4</v>
          </cell>
          <cell r="W40">
            <v>2.6566487005969772E-4</v>
          </cell>
          <cell r="X40">
            <v>1.9119273273270732E-2</v>
          </cell>
          <cell r="Y40">
            <v>1.7899714456361685E-2</v>
          </cell>
          <cell r="Z40" t="e">
            <v>#N/A</v>
          </cell>
        </row>
        <row r="41">
          <cell r="P41">
            <v>3.6999999999999999E-4</v>
          </cell>
          <cell r="W41">
            <v>2.7983425305153282E-4</v>
          </cell>
          <cell r="X41">
            <v>2.0136021595779745E-2</v>
          </cell>
          <cell r="Y41">
            <v>1.8854447366112994E-2</v>
          </cell>
          <cell r="Z41" t="e">
            <v>#N/A</v>
          </cell>
        </row>
        <row r="42">
          <cell r="P42">
            <v>3.8000000000000002E-4</v>
          </cell>
          <cell r="W42">
            <v>2.9432346538249982E-4</v>
          </cell>
          <cell r="X42">
            <v>2.1175396450429224E-2</v>
          </cell>
          <cell r="Y42">
            <v>1.983073482519801E-2</v>
          </cell>
          <cell r="Z42" t="e">
            <v>#N/A</v>
          </cell>
        </row>
        <row r="43">
          <cell r="P43">
            <v>3.8999999999999999E-4</v>
          </cell>
          <cell r="W43">
            <v>3.0912772219104505E-4</v>
          </cell>
          <cell r="X43">
            <v>2.2237031564743888E-2</v>
          </cell>
          <cell r="Y43">
            <v>2.0828254739875183E-2</v>
          </cell>
          <cell r="Z43" t="e">
            <v>#N/A</v>
          </cell>
        </row>
        <row r="44">
          <cell r="P44">
            <v>4.0000000000000002E-4</v>
          </cell>
          <cell r="W44">
            <v>3.2424214856339003E-4</v>
          </cell>
          <cell r="X44">
            <v>2.332055398014805E-2</v>
          </cell>
          <cell r="Y44">
            <v>2.1846678951359437E-2</v>
          </cell>
          <cell r="Z44" t="e">
            <v>#N/A</v>
          </cell>
        </row>
        <row r="45">
          <cell r="P45">
            <v>4.0999999999999999E-4</v>
          </cell>
          <cell r="W45">
            <v>3.396617822103347E-4</v>
          </cell>
          <cell r="X45">
            <v>2.442558427043099E-2</v>
          </cell>
          <cell r="Y45">
            <v>2.2885673415826022E-2</v>
          </cell>
          <cell r="Z45" t="e">
            <v>#N/A</v>
          </cell>
        </row>
        <row r="46">
          <cell r="P46">
            <v>4.2000000000000002E-4</v>
          </cell>
          <cell r="W46">
            <v>3.5538157618366864E-4</v>
          </cell>
          <cell r="X46">
            <v>2.5551736763259027E-2</v>
          </cell>
          <cell r="Y46">
            <v>2.3944898387080835E-2</v>
          </cell>
          <cell r="Z46" t="e">
            <v>#N/A</v>
          </cell>
        </row>
        <row r="47">
          <cell r="P47">
            <v>4.2999999999999999E-4</v>
          </cell>
          <cell r="W47">
            <v>3.7139640163010826E-4</v>
          </cell>
          <cell r="X47">
            <v>2.6698619764553191E-2</v>
          </cell>
          <cell r="Y47">
            <v>2.5024008601757328E-2</v>
          </cell>
          <cell r="Z47" t="e">
            <v>#N/A</v>
          </cell>
        </row>
        <row r="48">
          <cell r="P48">
            <v>4.4000000000000002E-4</v>
          </cell>
          <cell r="W48">
            <v>3.8770105058065463E-4</v>
          </cell>
          <cell r="X48">
            <v>2.7865835785549669E-2</v>
          </cell>
          <cell r="Y48">
            <v>2.6122653466898581E-2</v>
          </cell>
          <cell r="Z48" t="e">
            <v>#N/A</v>
          </cell>
        </row>
        <row r="49">
          <cell r="P49">
            <v>4.4999999999999999E-4</v>
          </cell>
          <cell r="W49">
            <v>4.042902387732487E-4</v>
          </cell>
          <cell r="X49">
            <v>2.90529817723588E-2</v>
          </cell>
          <cell r="Y49">
            <v>2.7240477249781934E-2</v>
          </cell>
          <cell r="Z49" t="e">
            <v>#N/A</v>
          </cell>
        </row>
        <row r="50">
          <cell r="P50">
            <v>4.6000000000000001E-4</v>
          </cell>
          <cell r="W50">
            <v>4.2115860850658153E-4</v>
          </cell>
          <cell r="X50">
            <v>3.0259649337837039E-2</v>
          </cell>
          <cell r="Y50">
            <v>2.8377119269842228E-2</v>
          </cell>
          <cell r="Z50" t="e">
            <v>#N/A</v>
          </cell>
        </row>
        <row r="51">
          <cell r="P51">
            <v>4.6999999999999999E-4</v>
          </cell>
          <cell r="W51">
            <v>4.3830073152290277E-4</v>
          </cell>
          <cell r="X51">
            <v>3.1485424995585196E-2</v>
          </cell>
          <cell r="Y51">
            <v>2.9532214092548779E-2</v>
          </cell>
          <cell r="Z51" t="e">
            <v>#N/A</v>
          </cell>
        </row>
        <row r="52">
          <cell r="P52">
            <v>4.8000000000000001E-4</v>
          </cell>
          <cell r="W52">
            <v>4.5571111191765616E-4</v>
          </cell>
          <cell r="X52">
            <v>3.2729890395885419E-2</v>
          </cell>
          <cell r="Y52">
            <v>3.0705391725090236E-2</v>
          </cell>
          <cell r="Z52" t="e">
            <v>#N/A</v>
          </cell>
        </row>
        <row r="53">
          <cell r="P53">
            <v>4.8999999999999998E-4</v>
          </cell>
          <cell r="W53">
            <v>4.7338418907376059E-4</v>
          </cell>
          <cell r="X53">
            <v>3.3992622563388614E-2</v>
          </cell>
          <cell r="Y53">
            <v>3.1896277813720737E-2</v>
          </cell>
          <cell r="Z53" t="e">
            <v>#N/A</v>
          </cell>
        </row>
        <row r="54">
          <cell r="P54">
            <v>5.0000000000000001E-4</v>
          </cell>
          <cell r="W54">
            <v>4.9131434061834502E-4</v>
          </cell>
          <cell r="X54">
            <v>3.5273194136363463E-2</v>
          </cell>
          <cell r="Y54">
            <v>3.3104493842620125E-2</v>
          </cell>
          <cell r="Z54" t="e">
            <v>#N/A</v>
          </cell>
        </row>
        <row r="55">
          <cell r="P55">
            <v>5.1000000000000004E-4</v>
          </cell>
          <cell r="W55">
            <v>5.0949588539973899E-4</v>
          </cell>
          <cell r="X55">
            <v>3.6571173607317937E-2</v>
          </cell>
          <cell r="Y55">
            <v>3.4329657334120557E-2</v>
          </cell>
          <cell r="Z55" t="e">
            <v>#N/A</v>
          </cell>
        </row>
        <row r="56">
          <cell r="P56">
            <v>5.1999999999999995E-4</v>
          </cell>
          <cell r="W56">
            <v>5.2792308648251572E-4</v>
          </cell>
          <cell r="X56">
            <v>3.7886125564804023E-2</v>
          </cell>
          <cell r="Y56">
            <v>3.5571382050151423E-2</v>
          </cell>
          <cell r="Z56" t="e">
            <v>#N/A</v>
          </cell>
        </row>
        <row r="57">
          <cell r="P57">
            <v>5.2999999999999998E-4</v>
          </cell>
          <cell r="W57">
            <v>5.4659015415838073E-4</v>
          </cell>
          <cell r="X57">
            <v>3.9217610936216389E-2</v>
          </cell>
          <cell r="Y57">
            <v>3.6829278194754379E-2</v>
          </cell>
          <cell r="Z57" t="e">
            <v>#N/A</v>
          </cell>
        </row>
        <row r="58">
          <cell r="P58">
            <v>5.4000000000000001E-4</v>
          </cell>
          <cell r="W58">
            <v>5.6549124897069974E-4</v>
          </cell>
          <cell r="X58">
            <v>4.0565187231396078E-2</v>
          </cell>
          <cell r="Y58">
            <v>3.81029526175201E-2</v>
          </cell>
          <cell r="Z58" t="e">
            <v>#N/A</v>
          </cell>
        </row>
        <row r="59">
          <cell r="P59">
            <v>5.5000000000000003E-4</v>
          </cell>
          <cell r="W59">
            <v>5.8462048475045885E-4</v>
          </cell>
          <cell r="X59">
            <v>4.1928408786850627E-2</v>
          </cell>
          <cell r="Y59">
            <v>3.9392009017798657E-2</v>
          </cell>
          <cell r="Z59" t="e">
            <v>#N/A</v>
          </cell>
        </row>
        <row r="60">
          <cell r="P60">
            <v>5.5999999999999995E-4</v>
          </cell>
          <cell r="W60">
            <v>6.0397193166145504E-4</v>
          </cell>
          <cell r="X60">
            <v>4.3306827010402699E-2</v>
          </cell>
          <cell r="Y60">
            <v>4.0696048149535348E-2</v>
          </cell>
          <cell r="Z60" t="e">
            <v>#N/A</v>
          </cell>
        </row>
        <row r="61">
          <cell r="P61">
            <v>5.6999999999999998E-4</v>
          </cell>
          <cell r="W61">
            <v>6.2353961925251992E-4</v>
          </cell>
          <cell r="X61">
            <v>4.4699990626080086E-2</v>
          </cell>
          <cell r="Y61">
            <v>4.2014668026584462E-2</v>
          </cell>
          <cell r="Z61" t="e">
            <v>#N/A</v>
          </cell>
        </row>
        <row r="62">
          <cell r="P62">
            <v>5.8E-4</v>
          </cell>
          <cell r="W62">
            <v>6.4331753951458559E-4</v>
          </cell>
          <cell r="X62">
            <v>4.6107445919060949E-2</v>
          </cell>
          <cell r="Y62">
            <v>4.3347464128353698E-2</v>
          </cell>
          <cell r="Z62" t="e">
            <v>#N/A</v>
          </cell>
        </row>
        <row r="63">
          <cell r="P63">
            <v>5.9000000000000003E-4</v>
          </cell>
          <cell r="W63">
            <v>6.6329964994041356E-4</v>
          </cell>
          <cell r="X63">
            <v>4.7528736980489338E-2</v>
          </cell>
          <cell r="Y63">
            <v>4.4694029605632769E-2</v>
          </cell>
          <cell r="Z63" t="e">
            <v>#N/A</v>
          </cell>
        </row>
        <row r="64">
          <cell r="P64">
            <v>5.9999999999999995E-4</v>
          </cell>
          <cell r="W64">
            <v>6.8347987658481631E-4</v>
          </cell>
          <cell r="X64">
            <v>4.8963405951977325E-2</v>
          </cell>
          <cell r="Y64">
            <v>4.6053955486460338E-2</v>
          </cell>
          <cell r="Z64" t="e">
            <v>#N/A</v>
          </cell>
        </row>
        <row r="65">
          <cell r="P65">
            <v>6.0999999999999997E-4</v>
          </cell>
          <cell r="W65">
            <v>7.0385211712321622E-4</v>
          </cell>
          <cell r="X65">
            <v>5.0410993269611667E-2</v>
          </cell>
          <cell r="Y65">
            <v>4.7426830881884464E-2</v>
          </cell>
          <cell r="Z65" t="e">
            <v>#N/A</v>
          </cell>
        </row>
        <row r="66">
          <cell r="P66">
            <v>6.2E-4</v>
          </cell>
          <cell r="W66">
            <v>7.2441024390640103E-4</v>
          </cell>
          <cell r="X66">
            <v>5.1871037907284569E-2</v>
          </cell>
          <cell r="Y66">
            <v>4.8812243191472579E-2</v>
          </cell>
          <cell r="Z66" t="e">
            <v>#N/A</v>
          </cell>
        </row>
        <row r="67">
          <cell r="P67">
            <v>6.3000000000000003E-4</v>
          </cell>
          <cell r="W67">
            <v>7.4514810700935239E-4</v>
          </cell>
          <cell r="X67">
            <v>5.334307761917003E-2</v>
          </cell>
          <cell r="Y67">
            <v>5.020977830842837E-2</v>
          </cell>
          <cell r="Z67" t="e">
            <v>#N/A</v>
          </cell>
        </row>
        <row r="68">
          <cell r="P68">
            <v>6.4000000000000005E-4</v>
          </cell>
          <cell r="W68">
            <v>7.660595372720434E-4</v>
          </cell>
          <cell r="X68">
            <v>5.4826649181169196E-2</v>
          </cell>
          <cell r="Y68">
            <v>5.1619020824174022E-2</v>
          </cell>
          <cell r="Z68" t="e">
            <v>#N/A</v>
          </cell>
        </row>
        <row r="69">
          <cell r="P69">
            <v>6.4999999999999997E-4</v>
          </cell>
          <cell r="W69">
            <v>7.8713834933012109E-4</v>
          </cell>
          <cell r="X69">
            <v>5.6321288631150421E-2</v>
          </cell>
          <cell r="Y69">
            <v>5.3039554232257827E-2</v>
          </cell>
          <cell r="Z69" t="e">
            <v>#N/A</v>
          </cell>
        </row>
        <row r="70">
          <cell r="P70">
            <v>6.6E-4</v>
          </cell>
          <cell r="W70">
            <v>8.0837834463341372E-4</v>
          </cell>
          <cell r="X70">
            <v>5.7826531507812091E-2</v>
          </cell>
          <cell r="Y70">
            <v>5.4470961131448579E-2</v>
          </cell>
          <cell r="Z70" t="e">
            <v>#N/A</v>
          </cell>
        </row>
        <row r="71">
          <cell r="P71">
            <v>6.7000000000000002E-4</v>
          </cell>
          <cell r="W71">
            <v>8.2977331445022607E-4</v>
          </cell>
          <cell r="X71">
            <v>5.9341913087998667E-2</v>
          </cell>
          <cell r="Y71">
            <v>5.5912823427879878E-2</v>
          </cell>
          <cell r="Z71" t="e">
            <v>#N/A</v>
          </cell>
        </row>
        <row r="72">
          <cell r="P72">
            <v>6.8000000000000005E-4</v>
          </cell>
          <cell r="W72">
            <v>8.5131704285541299E-4</v>
          </cell>
          <cell r="X72">
            <v>6.0866968622303196E-2</v>
          </cell>
          <cell r="Y72">
            <v>5.7364722536109206E-2</v>
          </cell>
          <cell r="Z72" t="e">
            <v>#N/A</v>
          </cell>
        </row>
        <row r="73">
          <cell r="P73">
            <v>6.8999999999999997E-4</v>
          </cell>
          <cell r="W73">
            <v>8.7300330970024908E-4</v>
          </cell>
          <cell r="X73">
            <v>6.2401233568792257E-2</v>
          </cell>
          <cell r="Y73">
            <v>5.882623957895846E-2</v>
          </cell>
          <cell r="Z73" t="e">
            <v>#N/A</v>
          </cell>
        </row>
        <row r="74">
          <cell r="P74">
            <v>6.9999999999999999E-4</v>
          </cell>
          <cell r="W74">
            <v>8.948258935621413E-4</v>
          </cell>
          <cell r="X74">
            <v>6.3944243824692298E-2</v>
          </cell>
          <cell r="Y74">
            <v>6.0296955586004723E-2</v>
          </cell>
          <cell r="Z74" t="e">
            <v>#N/A</v>
          </cell>
        </row>
        <row r="75">
          <cell r="P75">
            <v>7.1000000000000002E-4</v>
          </cell>
          <cell r="W75">
            <v>9.1677857467226446E-4</v>
          </cell>
          <cell r="X75">
            <v>6.5495535955879369E-2</v>
          </cell>
          <cell r="Y75">
            <v>6.1776451690591996E-2</v>
          </cell>
          <cell r="Z75" t="e">
            <v>#N/A</v>
          </cell>
        </row>
        <row r="76">
          <cell r="P76">
            <v>7.2000000000000005E-4</v>
          </cell>
          <cell r="W76">
            <v>9.3885513781922971E-4</v>
          </cell>
          <cell r="X76">
            <v>6.7054647424017566E-2</v>
          </cell>
          <cell r="Y76">
            <v>6.3264309325236939E-2</v>
          </cell>
          <cell r="Z76" t="e">
            <v>#N/A</v>
          </cell>
        </row>
        <row r="77">
          <cell r="P77">
            <v>7.2999999999999996E-4</v>
          </cell>
          <cell r="W77">
            <v>9.6104937522693238E-4</v>
          </cell>
          <cell r="X77">
            <v>6.8621116811194677E-2</v>
          </cell>
          <cell r="Y77">
            <v>6.4760110415303912E-2</v>
          </cell>
          <cell r="Z77" t="e">
            <v>#N/A</v>
          </cell>
        </row>
        <row r="78">
          <cell r="P78">
            <v>7.3999999999999999E-4</v>
          </cell>
          <cell r="W78">
            <v>9.8335508940476028E-4</v>
          </cell>
          <cell r="X78">
            <v>7.0194484041907215E-2</v>
          </cell>
          <cell r="Y78">
            <v>6.6263437570826908E-2</v>
          </cell>
          <cell r="Z78" t="e">
            <v>#N/A</v>
          </cell>
        </row>
        <row r="79">
          <cell r="P79">
            <v>7.5000000000000002E-4</v>
          </cell>
          <cell r="W79">
            <v>1.0057660959683814E-3</v>
          </cell>
          <cell r="X79">
            <v>7.1774290602250504E-2</v>
          </cell>
          <cell r="Y79">
            <v>6.7773874276358753E-2</v>
          </cell>
          <cell r="Z79" t="e">
            <v>#N/A</v>
          </cell>
        </row>
        <row r="80">
          <cell r="P80">
            <v>7.6000000000000004E-4</v>
          </cell>
          <cell r="W80">
            <v>1.0282762264293684E-3</v>
          </cell>
          <cell r="X80">
            <v>7.3360079756173049E-2</v>
          </cell>
          <cell r="Y80">
            <v>6.9291005078730136E-2</v>
          </cell>
          <cell r="Z80" t="e">
            <v>#N/A</v>
          </cell>
        </row>
        <row r="81">
          <cell r="P81">
            <v>7.6999999999999996E-4</v>
          </cell>
          <cell r="W81">
            <v>1.0508793309519555E-3</v>
          </cell>
          <cell r="X81">
            <v>7.4951396758658612E-2</v>
          </cell>
          <cell r="Y81">
            <v>7.0814415772604E-2</v>
          </cell>
          <cell r="Z81" t="e">
            <v>#N/A</v>
          </cell>
        </row>
        <row r="82">
          <cell r="P82">
            <v>7.7999999999999999E-4</v>
          </cell>
          <cell r="W82">
            <v>1.0735692810752682E-3</v>
          </cell>
          <cell r="X82">
            <v>7.654778906570292E-2</v>
          </cell>
          <cell r="Y82">
            <v>7.2343693583713523E-2</v>
          </cell>
          <cell r="Z82" t="e">
            <v>#N/A</v>
          </cell>
        </row>
        <row r="83">
          <cell r="P83">
            <v>7.9000000000000001E-4</v>
          </cell>
          <cell r="W83">
            <v>1.0963399723994049E-3</v>
          </cell>
          <cell r="X83">
            <v>7.8148806540956295E-2</v>
          </cell>
          <cell r="Y83">
            <v>7.3878427349674675E-2</v>
          </cell>
          <cell r="Z83" t="e">
            <v>#N/A</v>
          </cell>
        </row>
        <row r="84">
          <cell r="P84">
            <v>8.0000000000000004E-4</v>
          </cell>
          <cell r="W84">
            <v>1.1191853272337945E-3</v>
          </cell>
          <cell r="X84">
            <v>7.9754001658907295E-2</v>
          </cell>
          <cell r="Y84">
            <v>7.5418207698267306E-2</v>
          </cell>
          <cell r="Z84" t="e">
            <v>#N/A</v>
          </cell>
        </row>
        <row r="85">
          <cell r="P85">
            <v>8.0999999999999996E-4</v>
          </cell>
          <cell r="W85">
            <v>1.1420992972062992E-3</v>
          </cell>
          <cell r="X85">
            <v>8.1362929704486983E-2</v>
          </cell>
          <cell r="Y85">
            <v>7.6962627223081753E-2</v>
          </cell>
          <cell r="Z85" t="e">
            <v>#N/A</v>
          </cell>
        </row>
        <row r="86">
          <cell r="P86">
            <v>8.1999999999999998E-4</v>
          </cell>
          <cell r="W86">
            <v>1.1650758658315777E-3</v>
          </cell>
          <cell r="X86">
            <v>8.2975148968977452E-2</v>
          </cell>
          <cell r="Y86">
            <v>7.8511280656430968E-2</v>
          </cell>
          <cell r="Z86" t="e">
            <v>#N/A</v>
          </cell>
        </row>
        <row r="87">
          <cell r="P87">
            <v>8.3000000000000001E-4</v>
          </cell>
          <cell r="W87">
            <v>1.1881090510372672E-3</v>
          </cell>
          <cell r="X87">
            <v>8.459022094211277E-2</v>
          </cell>
          <cell r="Y87">
            <v>8.0063765039431301E-2</v>
          </cell>
          <cell r="Z87" t="e">
            <v>#N/A</v>
          </cell>
        </row>
        <row r="88">
          <cell r="P88">
            <v>8.4000000000000003E-4</v>
          </cell>
          <cell r="W88">
            <v>1.2111929076465964E-3</v>
          </cell>
          <cell r="X88">
            <v>8.6207710500264753E-2</v>
          </cell>
          <cell r="Y88">
            <v>8.1619679889158275E-2</v>
          </cell>
          <cell r="Z88" t="e">
            <v>#N/A</v>
          </cell>
        </row>
        <row r="89">
          <cell r="P89">
            <v>8.4999999999999995E-4</v>
          </cell>
          <cell r="W89">
            <v>1.2343215298160838E-3</v>
          </cell>
          <cell r="X89">
            <v>8.7827186090610784E-2</v>
          </cell>
          <cell r="Y89">
            <v>8.3178627362787014E-2</v>
          </cell>
          <cell r="Z89" t="e">
            <v>#N/A</v>
          </cell>
        </row>
        <row r="90">
          <cell r="P90">
            <v>8.5999999999999998E-4</v>
          </cell>
          <cell r="W90">
            <v>1.2574890534270294E-3</v>
          </cell>
          <cell r="X90">
            <v>8.9448219911185067E-2</v>
          </cell>
          <cell r="Y90">
            <v>8.474021241863007E-2</v>
          </cell>
          <cell r="Z90" t="e">
            <v>#N/A</v>
          </cell>
        </row>
        <row r="91">
          <cell r="P91">
            <v>8.7000000000000001E-4</v>
          </cell>
          <cell r="W91">
            <v>1.2806896584295559E-3</v>
          </cell>
          <cell r="X91">
            <v>9.1070388086719564E-2</v>
          </cell>
          <cell r="Y91">
            <v>8.6304042973989109E-2</v>
          </cell>
          <cell r="Z91" t="e">
            <v>#N/A</v>
          </cell>
        </row>
        <row r="92">
          <cell r="P92">
            <v>8.8000000000000003E-4</v>
          </cell>
          <cell r="W92">
            <v>1.3039175711380055E-3</v>
          </cell>
          <cell r="X92">
            <v>9.2693270840185527E-2</v>
          </cell>
          <cell r="Y92">
            <v>8.7869730059739956E-2</v>
          </cell>
          <cell r="Z92" t="e">
            <v>#N/A</v>
          </cell>
        </row>
        <row r="93">
          <cell r="P93">
            <v>8.8999999999999995E-4</v>
          </cell>
          <cell r="W93">
            <v>1.3271670664765543E-3</v>
          </cell>
          <cell r="X93">
            <v>9.4316452659951047E-2</v>
          </cell>
          <cell r="Y93">
            <v>8.943688797157423E-2</v>
          </cell>
          <cell r="Z93" t="e">
            <v>#N/A</v>
          </cell>
        </row>
        <row r="94">
          <cell r="P94">
            <v>8.9999999999999998E-4</v>
          </cell>
          <cell r="W94">
            <v>1.3504324701739496E-3</v>
          </cell>
          <cell r="X94">
            <v>9.5939522462474988E-2</v>
          </cell>
          <cell r="Y94">
            <v>9.1005134417824068E-2</v>
          </cell>
          <cell r="Z94" t="e">
            <v>#N/A</v>
          </cell>
        </row>
        <row r="95">
          <cell r="P95">
            <v>9.1E-4</v>
          </cell>
          <cell r="W95">
            <v>1.3737081609063392E-3</v>
          </cell>
          <cell r="X95">
            <v>9.7562073750462303E-2</v>
          </cell>
          <cell r="Y95">
            <v>9.257409066380011E-2</v>
          </cell>
          <cell r="Z95" t="e">
            <v>#N/A</v>
          </cell>
        </row>
        <row r="96">
          <cell r="P96">
            <v>9.2000000000000003E-4</v>
          </cell>
          <cell r="W96">
            <v>1.3969885723872039E-3</v>
          </cell>
          <cell r="X96">
            <v>9.9183704766410571E-2</v>
          </cell>
          <cell r="Y96">
            <v>9.4143381672576493E-2</v>
          </cell>
          <cell r="Z96" t="e">
            <v>#N/A</v>
          </cell>
        </row>
        <row r="97">
          <cell r="P97">
            <v>9.3000000000000005E-4</v>
          </cell>
          <cell r="W97">
            <v>1.4202681954034648E-3</v>
          </cell>
          <cell r="X97">
            <v>0.10080401864148238</v>
          </cell>
          <cell r="Y97">
            <v>9.5712636242159976E-2</v>
          </cell>
          <cell r="Z97" t="e">
            <v>#N/A</v>
          </cell>
        </row>
        <row r="98">
          <cell r="P98">
            <v>9.3999999999999997E-4</v>
          </cell>
          <cell r="W98">
            <v>1.4435415797968891E-3</v>
          </cell>
          <cell r="X98">
            <v>0.10242262353964307</v>
          </cell>
          <cell r="Y98">
            <v>9.7281487138984157E-2</v>
          </cell>
          <cell r="Z98" t="e">
            <v>#N/A</v>
          </cell>
        </row>
        <row r="99">
          <cell r="P99">
            <v>9.5E-4</v>
          </cell>
          <cell r="W99">
            <v>1.4668033363899691E-3</v>
          </cell>
          <cell r="X99">
            <v>0.10403913279700815</v>
          </cell>
          <cell r="Y99">
            <v>9.8849571227673239E-2</v>
          </cell>
          <cell r="Z99" t="e">
            <v>#N/A</v>
          </cell>
        </row>
        <row r="100">
          <cell r="P100">
            <v>9.6000000000000002E-4</v>
          </cell>
          <cell r="W100">
            <v>1.4900481388555073E-3</v>
          </cell>
          <cell r="X100">
            <v>0.10565316505634935</v>
          </cell>
          <cell r="Y100">
            <v>0.10041652959702342</v>
          </cell>
          <cell r="Z100" t="e">
            <v>#N/A</v>
          </cell>
        </row>
        <row r="101">
          <cell r="P101">
            <v>9.7000000000000005E-4</v>
          </cell>
          <cell r="W101">
            <v>1.5132707255291931E-3</v>
          </cell>
          <cell r="X101">
            <v>0.10726434439671355</v>
          </cell>
          <cell r="Y101">
            <v>0.10198200768215376</v>
          </cell>
          <cell r="Z101" t="e">
            <v>#N/A</v>
          </cell>
        </row>
        <row r="102">
          <cell r="P102">
            <v>9.7999999999999997E-4</v>
          </cell>
          <cell r="W102">
            <v>1.536465901164509E-3</v>
          </cell>
          <cell r="X102">
            <v>0.10887230045811314</v>
          </cell>
          <cell r="Y102">
            <v>0.10354565538278188</v>
          </cell>
          <cell r="Z102" t="e">
            <v>#N/A</v>
          </cell>
        </row>
        <row r="103">
          <cell r="P103">
            <v>9.8999999999999999E-4</v>
          </cell>
          <cell r="W103">
            <v>1.5596285386293642E-3</v>
          </cell>
          <cell r="X103">
            <v>0.11047666856125153</v>
          </cell>
          <cell r="Y103">
            <v>0.10510712717758354</v>
          </cell>
          <cell r="Z103" t="e">
            <v>#N/A</v>
          </cell>
        </row>
        <row r="104">
          <cell r="P104">
            <v>1E-3</v>
          </cell>
          <cell r="W104">
            <v>1.5827535805438995E-3</v>
          </cell>
          <cell r="X104">
            <v>0.1120770898222522</v>
          </cell>
          <cell r="Y104">
            <v>0.10666608223459896</v>
          </cell>
          <cell r="Z104" t="e">
            <v>#N/A</v>
          </cell>
        </row>
        <row r="105">
          <cell r="P105">
            <v>1.01E-3</v>
          </cell>
          <cell r="W105">
            <v>1.605836040858972E-3</v>
          </cell>
          <cell r="X105">
            <v>0.11367321126236435</v>
          </cell>
          <cell r="Y105">
            <v>0.10822218451765211</v>
          </cell>
          <cell r="Z105" t="e">
            <v>#N/A</v>
          </cell>
        </row>
        <row r="106">
          <cell r="P106">
            <v>1.0200000000000001E-3</v>
          </cell>
          <cell r="W106">
            <v>1.628871006374872E-3</v>
          </cell>
          <cell r="X106">
            <v>0.11526468591262314</v>
          </cell>
          <cell r="Y106">
            <v>0.10977510288875311</v>
          </cell>
          <cell r="Z106" t="e">
            <v>#N/A</v>
          </cell>
        </row>
        <row r="107">
          <cell r="P107">
            <v>1.0300000000000001E-3</v>
          </cell>
          <cell r="W107">
            <v>1.6518536381998866E-3</v>
          </cell>
          <cell r="X107">
            <v>0.11685117291344711</v>
          </cell>
          <cell r="Y107">
            <v>0.11132451120645728</v>
          </cell>
          <cell r="Z107" t="e">
            <v>#N/A</v>
          </cell>
        </row>
        <row r="108">
          <cell r="P108">
            <v>1.0399999999999999E-3</v>
          </cell>
          <cell r="W108">
            <v>1.674779173148374E-3</v>
          </cell>
          <cell r="X108">
            <v>0.11843233760916003</v>
          </cell>
          <cell r="Y108">
            <v>0.11287008842015828</v>
          </cell>
          <cell r="Z108" t="e">
            <v>#N/A</v>
          </cell>
        </row>
        <row r="109">
          <cell r="P109">
            <v>1.0499999999999999E-3</v>
          </cell>
          <cell r="W109">
            <v>1.697642925078067E-3</v>
          </cell>
          <cell r="X109">
            <v>0.12000785163742894</v>
          </cell>
          <cell r="Y109">
            <v>0.114411518660296</v>
          </cell>
          <cell r="Z109" t="e">
            <v>#N/A</v>
          </cell>
        </row>
        <row r="110">
          <cell r="P110">
            <v>1.06E-3</v>
          </cell>
          <cell r="W110">
            <v>1.7204402861663781E-3</v>
          </cell>
          <cell r="X110">
            <v>0.12157739301361507</v>
          </cell>
          <cell r="Y110">
            <v>0.11594849132446386</v>
          </cell>
          <cell r="Z110" t="e">
            <v>#N/A</v>
          </cell>
        </row>
        <row r="111">
          <cell r="P111">
            <v>1.07E-3</v>
          </cell>
          <cell r="W111">
            <v>1.7431667281255301E-3</v>
          </cell>
          <cell r="X111">
            <v>0.1231406462100384</v>
          </cell>
          <cell r="Y111">
            <v>0.11748070115940322</v>
          </cell>
          <cell r="Z111" t="e">
            <v>#N/A</v>
          </cell>
        </row>
        <row r="112">
          <cell r="P112">
            <v>1.08E-3</v>
          </cell>
          <cell r="W112">
            <v>1.765817803356389E-3</v>
          </cell>
          <cell r="X112">
            <v>0.12469730223016134</v>
          </cell>
          <cell r="Y112">
            <v>0.11900784833887662</v>
          </cell>
          <cell r="Z112" t="e">
            <v>#N/A</v>
          </cell>
        </row>
        <row r="113">
          <cell r="P113">
            <v>1.09E-3</v>
          </cell>
          <cell r="W113">
            <v>1.7883891460409283E-3</v>
          </cell>
          <cell r="X113">
            <v>0.12624705867770156</v>
          </cell>
          <cell r="Y113">
            <v>0.12052963853741479</v>
          </cell>
          <cell r="Z113" t="e">
            <v>#N/A</v>
          </cell>
        </row>
        <row r="114">
          <cell r="P114">
            <v>1.1000000000000001E-3</v>
          </cell>
          <cell r="W114">
            <v>1.8108764731733036E-3</v>
          </cell>
          <cell r="X114">
            <v>0.12778961982068762</v>
          </cell>
          <cell r="Y114">
            <v>0.12204578299993568</v>
          </cell>
          <cell r="Z114" t="e">
            <v>#N/A</v>
          </cell>
        </row>
        <row r="115">
          <cell r="P115">
            <v>1.1100000000000001E-3</v>
          </cell>
          <cell r="W115">
            <v>1.8332755855295696E-3</v>
          </cell>
          <cell r="X115">
            <v>0.12932469665047649</v>
          </cell>
          <cell r="Y115">
            <v>0.12355599860723755</v>
          </cell>
          <cell r="Z115" t="e">
            <v>#N/A</v>
          </cell>
        </row>
        <row r="116">
          <cell r="P116">
            <v>1.1199999999999999E-3</v>
          </cell>
          <cell r="W116">
            <v>1.8555823685761166E-3</v>
          </cell>
          <cell r="X116">
            <v>0.13085200693575505</v>
          </cell>
          <cell r="Y116">
            <v>0.12506000793737113</v>
          </cell>
          <cell r="Z116" t="e">
            <v>#N/A</v>
          </cell>
        </row>
        <row r="117">
          <cell r="P117">
            <v>1.1299999999999999E-3</v>
          </cell>
          <cell r="W117">
            <v>1.8777927933169608E-3</v>
          </cell>
          <cell r="X117">
            <v>0.13237127527155243</v>
          </cell>
          <cell r="Y117">
            <v>0.12655753932289937</v>
          </cell>
          <cell r="Z117" t="e">
            <v>#N/A</v>
          </cell>
        </row>
        <row r="118">
          <cell r="P118">
            <v>1.14E-3</v>
          </cell>
          <cell r="W118">
            <v>1.8999029170800627E-3</v>
          </cell>
          <cell r="X118">
            <v>0.13388223312329409</v>
          </cell>
          <cell r="Y118">
            <v>0.12804832690405674</v>
          </cell>
          <cell r="Z118" t="e">
            <v>#N/A</v>
          </cell>
        </row>
        <row r="119">
          <cell r="P119">
            <v>1.15E-3</v>
          </cell>
          <cell r="W119">
            <v>1.9219088842429009E-3</v>
          </cell>
          <cell r="X119">
            <v>0.13538461886593209</v>
          </cell>
          <cell r="Y119">
            <v>0.12953211067782261</v>
          </cell>
          <cell r="Z119" t="e">
            <v>#N/A</v>
          </cell>
        </row>
        <row r="120">
          <cell r="P120">
            <v>1.16E-3</v>
          </cell>
          <cell r="W120">
            <v>1.9438069268975754E-3</v>
          </cell>
          <cell r="X120">
            <v>0.13687817781819028</v>
          </cell>
          <cell r="Y120">
            <v>0.13100863654292733</v>
          </cell>
          <cell r="Z120" t="e">
            <v>#N/A</v>
          </cell>
        </row>
        <row r="121">
          <cell r="P121">
            <v>1.17E-3</v>
          </cell>
          <cell r="W121">
            <v>1.9655933654557584E-3</v>
          </cell>
          <cell r="X121">
            <v>0.13836266227196664</v>
          </cell>
          <cell r="Y121">
            <v>0.13247765634081188</v>
          </cell>
          <cell r="Z121" t="e">
            <v>#N/A</v>
          </cell>
        </row>
        <row r="122">
          <cell r="P122">
            <v>1.1800000000000001E-3</v>
          </cell>
          <cell r="W122">
            <v>1.9872646091938563E-3</v>
          </cell>
          <cell r="X122">
            <v>0.13983783151693865</v>
          </cell>
          <cell r="Y122">
            <v>0.13393892789256556</v>
          </cell>
          <cell r="Z122" t="e">
            <v>#N/A</v>
          </cell>
        </row>
        <row r="123">
          <cell r="P123">
            <v>1.1900000000000001E-3</v>
          </cell>
          <cell r="W123">
            <v>2.0088171567387925E-3</v>
          </cell>
          <cell r="X123">
            <v>0.14130345186042145</v>
          </cell>
          <cell r="Y123">
            <v>0.13539221503186888</v>
          </cell>
          <cell r="Z123" t="e">
            <v>#N/A</v>
          </cell>
        </row>
        <row r="124">
          <cell r="P124">
            <v>1.1999999999999999E-3</v>
          </cell>
          <cell r="W124">
            <v>2.0302475964948646E-3</v>
          </cell>
          <cell r="X124">
            <v>0.14275929664253154</v>
          </cell>
          <cell r="Y124">
            <v>0.13683728763397179</v>
          </cell>
          <cell r="Z124" t="e">
            <v>#N/A</v>
          </cell>
        </row>
        <row r="125">
          <cell r="P125">
            <v>1.2099999999999999E-3</v>
          </cell>
          <cell r="W125">
            <v>2.0515526070121652E-3</v>
          </cell>
          <cell r="X125">
            <v>0.14420514624671266</v>
          </cell>
          <cell r="Y125">
            <v>0.1382739216407404</v>
          </cell>
          <cell r="Z125" t="e">
            <v>#N/A</v>
          </cell>
        </row>
        <row r="126">
          <cell r="P126">
            <v>1.2199999999999999E-3</v>
          </cell>
          <cell r="W126">
            <v>2.0727289572971068E-3</v>
          </cell>
          <cell r="X126">
            <v>0.14564078810568334</v>
          </cell>
          <cell r="Y126">
            <v>0.13970189908180777</v>
          </cell>
          <cell r="Z126" t="e">
            <v>#N/A</v>
          </cell>
        </row>
        <row r="127">
          <cell r="P127">
            <v>1.23E-3</v>
          </cell>
          <cell r="W127">
            <v>2.0937735070656249E-3</v>
          </cell>
          <cell r="X127">
            <v>0.14706601670286895</v>
          </cell>
          <cell r="Y127">
            <v>0.14112100809186751</v>
          </cell>
          <cell r="Z127" t="e">
            <v>#N/A</v>
          </cell>
        </row>
        <row r="128">
          <cell r="P128">
            <v>1.24E-3</v>
          </cell>
          <cell r="W128">
            <v>2.1146832069396729E-3</v>
          </cell>
          <cell r="X128">
            <v>0.14848063356938407</v>
          </cell>
          <cell r="Y128">
            <v>0.142531042924151</v>
          </cell>
          <cell r="Z128" t="e">
            <v>#N/A</v>
          </cell>
        </row>
        <row r="129">
          <cell r="P129">
            <v>1.25E-3</v>
          </cell>
          <cell r="W129">
            <v>2.1354550985876642E-3</v>
          </cell>
          <cell r="X129">
            <v>0.14988444727663411</v>
          </cell>
          <cell r="Y129">
            <v>0.14393180396013242</v>
          </cell>
          <cell r="Z129" t="e">
            <v>#N/A</v>
          </cell>
        </row>
        <row r="130">
          <cell r="P130">
            <v>1.2600000000000001E-3</v>
          </cell>
          <cell r="W130">
            <v>2.1560863148095484E-3</v>
          </cell>
          <cell r="X130">
            <v>0.15127727342460759</v>
          </cell>
          <cell r="Y130">
            <v>0.14532309771550708</v>
          </cell>
          <cell r="Z130" t="e">
            <v>#N/A</v>
          </cell>
        </row>
        <row r="131">
          <cell r="P131">
            <v>1.2700000000000001E-3</v>
          </cell>
          <cell r="W131">
            <v>2.1765740795672505E-3</v>
          </cell>
          <cell r="X131">
            <v>0.15265893462593352</v>
          </cell>
          <cell r="Y131">
            <v>0.14670473684249238</v>
          </cell>
          <cell r="Z131" t="e">
            <v>#N/A</v>
          </cell>
        </row>
        <row r="132">
          <cell r="P132">
            <v>1.2800000000000001E-3</v>
          </cell>
          <cell r="W132">
            <v>2.1969157079612298E-3</v>
          </cell>
          <cell r="X132">
            <v>0.15402926048578089</v>
          </cell>
          <cell r="Y132">
            <v>0.14807654012850169</v>
          </cell>
          <cell r="Z132" t="e">
            <v>#N/A</v>
          </cell>
        </row>
        <row r="133">
          <cell r="P133">
            <v>1.2899999999999999E-3</v>
          </cell>
          <cell r="W133">
            <v>2.2171086061539549E-3</v>
          </cell>
          <cell r="X133">
            <v>0.15538808757767933</v>
          </cell>
          <cell r="Y133">
            <v>0.14943833249124461</v>
          </cell>
          <cell r="Z133" t="e">
            <v>#N/A</v>
          </cell>
        </row>
        <row r="134">
          <cell r="P134">
            <v>1.2999999999999999E-3</v>
          </cell>
          <cell r="W134">
            <v>2.2371502712411184E-3</v>
          </cell>
          <cell r="X134">
            <v>0.15673525941534308</v>
          </cell>
          <cell r="Y134">
            <v>0.15078994497030906</v>
          </cell>
          <cell r="Z134" t="e">
            <v>#N/A</v>
          </cell>
        </row>
        <row r="135">
          <cell r="P135">
            <v>1.31E-3</v>
          </cell>
          <cell r="W135">
            <v>2.2570382910714485E-3</v>
          </cell>
          <cell r="X135">
            <v>0.15807062642058198</v>
          </cell>
          <cell r="Y135">
            <v>0.15213121471528224</v>
          </cell>
          <cell r="Z135" t="e">
            <v>#N/A</v>
          </cell>
        </row>
        <row r="136">
          <cell r="P136">
            <v>1.32E-3</v>
          </cell>
          <cell r="W136">
            <v>2.2767703440160032E-3</v>
          </cell>
          <cell r="X136">
            <v>0.15939404588738582</v>
          </cell>
          <cell r="Y136">
            <v>0.15346198497046995</v>
          </cell>
          <cell r="Z136" t="e">
            <v>#N/A</v>
          </cell>
        </row>
        <row r="137">
          <cell r="P137">
            <v>1.33E-3</v>
          </cell>
          <cell r="W137">
            <v>2.296344198687864E-3</v>
          </cell>
          <cell r="X137">
            <v>0.16070538194226994</v>
          </cell>
          <cell r="Y137">
            <v>0.15478210505627601</v>
          </cell>
          <cell r="Z137" t="e">
            <v>#N/A</v>
          </cell>
        </row>
        <row r="138">
          <cell r="P138">
            <v>1.34E-3</v>
          </cell>
          <cell r="W138">
            <v>2.315757713613165E-3</v>
          </cell>
          <cell r="X138">
            <v>0.16200450550097217</v>
          </cell>
          <cell r="Y138">
            <v>0.1560914303473043</v>
          </cell>
          <cell r="Z138" t="e">
            <v>#N/A</v>
          </cell>
        </row>
        <row r="139">
          <cell r="P139">
            <v>1.3500000000000001E-3</v>
          </cell>
          <cell r="W139">
            <v>2.3350088368544316E-3</v>
          </cell>
          <cell r="X139">
            <v>0.16329129422159305</v>
          </cell>
          <cell r="Y139">
            <v>0.15738982224724865</v>
          </cell>
          <cell r="Z139" t="e">
            <v>#N/A</v>
          </cell>
        </row>
        <row r="140">
          <cell r="P140">
            <v>1.3600000000000001E-3</v>
          </cell>
          <cell r="W140">
            <v>2.3540956055872158E-3</v>
          </cell>
          <cell r="X140">
            <v>0.16456563245427233</v>
          </cell>
          <cell r="Y140">
            <v>0.15867714816063713</v>
          </cell>
          <cell r="Z140" t="e">
            <v>#N/A</v>
          </cell>
        </row>
        <row r="141">
          <cell r="P141">
            <v>1.3699999999999999E-3</v>
          </cell>
          <cell r="W141">
            <v>2.3730161456310449E-3</v>
          </cell>
          <cell r="X141">
            <v>0.16582741118749708</v>
          </cell>
          <cell r="Y141">
            <v>0.15995328146149865</v>
          </cell>
          <cell r="Z141" t="e">
            <v>#N/A</v>
          </cell>
        </row>
        <row r="142">
          <cell r="P142">
            <v>1.3799999999999999E-3</v>
          </cell>
          <cell r="W142">
            <v>2.3917686709357213E-3</v>
          </cell>
          <cell r="X142">
            <v>0.16707652799113748</v>
          </cell>
          <cell r="Y142">
            <v>0.1612181014590216</v>
          </cell>
          <cell r="Z142" t="e">
            <v>#N/A</v>
          </cell>
        </row>
        <row r="143">
          <cell r="P143">
            <v>1.39E-3</v>
          </cell>
          <cell r="W143">
            <v>2.4103514830240294E-3</v>
          </cell>
          <cell r="X143">
            <v>0.16831288695630797</v>
          </cell>
          <cell r="Y143">
            <v>0.16247149336027544</v>
          </cell>
          <cell r="Z143" t="e">
            <v>#N/A</v>
          </cell>
        </row>
        <row r="144">
          <cell r="P144">
            <v>1.4E-3</v>
          </cell>
          <cell r="W144">
            <v>2.4287629703919279E-3</v>
          </cell>
          <cell r="X144">
            <v>0.1695363986321525</v>
          </cell>
          <cell r="Y144">
            <v>0.16371334823006756</v>
          </cell>
          <cell r="Z144" t="e">
            <v>#N/A</v>
          </cell>
        </row>
        <row r="145">
          <cell r="P145">
            <v>1.41E-3</v>
          </cell>
          <cell r="W145">
            <v>2.4470016078673206E-3</v>
          </cell>
          <cell r="X145">
            <v>0.17074697995965371</v>
          </cell>
          <cell r="Y145">
            <v>0.1649435629480088</v>
          </cell>
          <cell r="Z145" t="e">
            <v>#N/A</v>
          </cell>
        </row>
        <row r="146">
          <cell r="P146">
            <v>1.42E-3</v>
          </cell>
          <cell r="W146">
            <v>2.4650659559285197E-3</v>
          </cell>
          <cell r="X146">
            <v>0.17194455420256677</v>
          </cell>
          <cell r="Y146">
            <v>0.16616204016286235</v>
          </cell>
          <cell r="Z146" t="e">
            <v>#N/A</v>
          </cell>
        </row>
        <row r="147">
          <cell r="P147">
            <v>1.4300000000000001E-3</v>
          </cell>
          <cell r="W147">
            <v>2.4829546599835269E-3</v>
          </cell>
          <cell r="X147">
            <v>0.17312905087557934</v>
          </cell>
          <cell r="Y147">
            <v>0.16736868824425166</v>
          </cell>
          <cell r="Z147" t="e">
            <v>#N/A</v>
          </cell>
        </row>
        <row r="148">
          <cell r="P148">
            <v>1.4400000000000001E-3</v>
          </cell>
          <cell r="W148">
            <v>2.5006664496112717E-3</v>
          </cell>
          <cell r="X148">
            <v>0.17430040566979996</v>
          </cell>
          <cell r="Y148">
            <v>0.1685634212318039</v>
          </cell>
          <cell r="Z148" t="e">
            <v>#N/A</v>
          </cell>
        </row>
        <row r="149">
          <cell r="P149">
            <v>1.4499999999999999E-3</v>
          </cell>
          <cell r="W149">
            <v>2.5182001377659657E-3</v>
          </cell>
          <cell r="X149">
            <v>0.1754585603756777</v>
          </cell>
          <cell r="Y149">
            <v>0.16974615878180643</v>
          </cell>
          <cell r="Z149" t="e">
            <v>#N/A</v>
          </cell>
        </row>
        <row r="150">
          <cell r="P150">
            <v>1.4599999999999999E-3</v>
          </cell>
          <cell r="W150">
            <v>2.5355546199457304E-3</v>
          </cell>
          <cell r="X150">
            <v>0.17660346280345615</v>
          </cell>
          <cell r="Y150">
            <v>0.17091682611145473</v>
          </cell>
          <cell r="Z150" t="e">
            <v>#N/A</v>
          </cell>
        </row>
        <row r="151">
          <cell r="P151">
            <v>1.47E-3</v>
          </cell>
          <cell r="W151">
            <v>2.5527288733266816E-3</v>
          </cell>
          <cell r="X151">
            <v>0.17773506670126565</v>
          </cell>
          <cell r="Y151">
            <v>0.17207535394077045</v>
          </cell>
          <cell r="Z151" t="e">
            <v>#N/A</v>
          </cell>
        </row>
        <row r="152">
          <cell r="P152">
            <v>1.48E-3</v>
          </cell>
          <cell r="W152">
            <v>2.5697219558636496E-3</v>
          </cell>
          <cell r="X152">
            <v>0.17885333167095738</v>
          </cell>
          <cell r="Y152">
            <v>0.17322167843226935</v>
          </cell>
          <cell r="Z152" t="e">
            <v>#N/A</v>
          </cell>
        </row>
        <row r="153">
          <cell r="P153">
            <v>1.49E-3</v>
          </cell>
          <cell r="W153">
            <v>2.5865330053587289E-3</v>
          </cell>
          <cell r="X153">
            <v>0.17995822308178339</v>
          </cell>
          <cell r="Y153">
            <v>0.17435574112845906</v>
          </cell>
          <cell r="Z153" t="e">
            <v>#N/A</v>
          </cell>
        </row>
        <row r="154">
          <cell r="P154">
            <v>1.5E-3</v>
          </cell>
          <cell r="W154">
            <v>2.6031612384988566E-3</v>
          </cell>
          <cell r="X154">
            <v>0.18104971198202666</v>
          </cell>
          <cell r="Y154">
            <v>0.17547748888724721</v>
          </cell>
          <cell r="Z154" t="e">
            <v>#N/A</v>
          </cell>
        </row>
        <row r="155">
          <cell r="P155">
            <v>1.5100000000000001E-3</v>
          </cell>
          <cell r="W155">
            <v>2.6196059498636193E-3</v>
          </cell>
          <cell r="X155">
            <v>0.18212777500868496</v>
          </cell>
          <cell r="Y155">
            <v>0.17658687381534088</v>
          </cell>
          <cell r="Z155" t="e">
            <v>#N/A</v>
          </cell>
        </row>
        <row r="156">
          <cell r="P156">
            <v>1.5200000000000001E-3</v>
          </cell>
          <cell r="W156">
            <v>2.6358665109045025E-3</v>
          </cell>
          <cell r="X156">
            <v>0.18319239429531253</v>
          </cell>
          <cell r="Y156">
            <v>0.17768385319971838</v>
          </cell>
          <cell r="Z156" t="e">
            <v>#N/A</v>
          </cell>
        </row>
        <row r="157">
          <cell r="P157">
            <v>1.5299999999999999E-3</v>
          </cell>
          <cell r="W157">
            <v>2.6519423688967855E-3</v>
          </cell>
          <cell r="X157">
            <v>0.18424355737812276</v>
          </cell>
          <cell r="Y157">
            <v>0.1787683894372547</v>
          </cell>
          <cell r="Z157" t="e">
            <v>#N/A</v>
          </cell>
        </row>
        <row r="158">
          <cell r="P158">
            <v>1.5399999999999999E-3</v>
          </cell>
          <cell r="W158">
            <v>2.6678330458653004E-3</v>
          </cell>
          <cell r="X158">
            <v>0.18528125710045509</v>
          </cell>
          <cell r="Y158">
            <v>0.17984044996258222</v>
          </cell>
          <cell r="Z158" t="e">
            <v>#N/A</v>
          </cell>
        </row>
        <row r="159">
          <cell r="P159">
            <v>1.5499999999999999E-3</v>
          </cell>
          <cell r="W159">
            <v>2.6835381374852607E-3</v>
          </cell>
          <cell r="X159">
            <v>0.18630549151570888</v>
          </cell>
          <cell r="Y159">
            <v>0.18090000717426805</v>
          </cell>
          <cell r="Z159" t="e">
            <v>#N/A</v>
          </cell>
        </row>
        <row r="160">
          <cell r="P160">
            <v>1.56E-3</v>
          </cell>
          <cell r="W160">
            <v>2.699057311959378E-3</v>
          </cell>
          <cell r="X160">
            <v>0.18731626378884608</v>
          </cell>
          <cell r="Y160">
            <v>0.18194703835938941</v>
          </cell>
          <cell r="Z160" t="e">
            <v>#N/A</v>
          </cell>
        </row>
        <row r="161">
          <cell r="P161">
            <v>1.57E-3</v>
          </cell>
          <cell r="W161">
            <v>2.7143903088724716E-3</v>
          </cell>
          <cell r="X161">
            <v>0.18831358209656421</v>
          </cell>
          <cell r="Y161">
            <v>0.18298152561658845</v>
          </cell>
          <cell r="Z161" t="e">
            <v>#N/A</v>
          </cell>
        </row>
        <row r="162">
          <cell r="P162">
            <v>1.58E-3</v>
          </cell>
          <cell r="W162">
            <v>2.7295369380247797E-3</v>
          </cell>
          <cell r="X162">
            <v>0.18929745952624016</v>
          </cell>
          <cell r="Y162">
            <v>0.18400345577768765</v>
          </cell>
          <cell r="Z162" t="e">
            <v>#N/A</v>
          </cell>
        </row>
        <row r="163">
          <cell r="P163">
            <v>1.5900000000000001E-3</v>
          </cell>
          <cell r="W163">
            <v>2.7444970782451736E-3</v>
          </cell>
          <cell r="X163">
            <v>0.19026791397374479</v>
          </cell>
          <cell r="Y163">
            <v>0.18501282032794655</v>
          </cell>
          <cell r="Z163" t="e">
            <v>#N/A</v>
          </cell>
        </row>
        <row r="164">
          <cell r="P164">
            <v>1.6000000000000001E-3</v>
          </cell>
          <cell r="W164">
            <v>2.7592706761854751E-3</v>
          </cell>
          <cell r="X164">
            <v>0.19122496804022693</v>
          </cell>
          <cell r="Y164">
            <v>0.18600961532504059</v>
          </cell>
          <cell r="Z164" t="e">
            <v>#N/A</v>
          </cell>
        </row>
        <row r="165">
          <cell r="P165">
            <v>1.6100000000000001E-3</v>
          </cell>
          <cell r="W165">
            <v>2.7738577450970672E-3</v>
          </cell>
          <cell r="X165">
            <v>0.1921686489279649</v>
          </cell>
          <cell r="Y165">
            <v>0.18699384131684191</v>
          </cell>
          <cell r="Z165" t="e">
            <v>#N/A</v>
          </cell>
        </row>
        <row r="166">
          <cell r="P166">
            <v>1.6199999999999999E-3</v>
          </cell>
          <cell r="W166">
            <v>2.7882583635909812E-3</v>
          </cell>
          <cell r="X166">
            <v>0.19309898833538208</v>
          </cell>
          <cell r="Y166">
            <v>0.18796550325808187</v>
          </cell>
          <cell r="Z166" t="e">
            <v>#N/A</v>
          </cell>
        </row>
        <row r="167">
          <cell r="P167">
            <v>1.6299999999999999E-3</v>
          </cell>
          <cell r="W167">
            <v>2.8024726743826381E-3</v>
          </cell>
          <cell r="X167">
            <v>0.19401602235132231</v>
          </cell>
          <cell r="Y167">
            <v>0.18892461042597455</v>
          </cell>
          <cell r="Z167" t="e">
            <v>#N/A</v>
          </cell>
        </row>
        <row r="168">
          <cell r="P168">
            <v>1.64E-3</v>
          </cell>
          <cell r="W168">
            <v>2.816500883022413E-3</v>
          </cell>
          <cell r="X168">
            <v>0.19491979134867946</v>
          </cell>
          <cell r="Y168">
            <v>0.18987117633487965</v>
          </cell>
          <cell r="Z168" t="e">
            <v>#N/A</v>
          </cell>
        </row>
        <row r="169">
          <cell r="P169">
            <v>1.65E-3</v>
          </cell>
          <cell r="W169">
            <v>2.8303432566131764E-3</v>
          </cell>
          <cell r="X169">
            <v>0.19581033987747404</v>
          </cell>
          <cell r="Y169">
            <v>0.19080521865008246</v>
          </cell>
          <cell r="Z169" t="e">
            <v>#N/A</v>
          </cell>
        </row>
        <row r="170">
          <cell r="P170">
            <v>1.66E-3</v>
          </cell>
          <cell r="W170">
            <v>2.8440001225159602E-3</v>
          </cell>
          <cell r="X170">
            <v>0.19668771655746892</v>
          </cell>
          <cell r="Y170">
            <v>0.19172675910076836</v>
          </cell>
          <cell r="Z170" t="e">
            <v>#N/A</v>
          </cell>
        </row>
        <row r="171">
          <cell r="P171">
            <v>1.67E-3</v>
          </cell>
          <cell r="W171">
            <v>2.8574718670448854E-3</v>
          </cell>
          <cell r="X171">
            <v>0.1975519739704141</v>
          </cell>
          <cell r="Y171">
            <v>0.19263582339226801</v>
          </cell>
          <cell r="Z171" t="e">
            <v>#N/A</v>
          </cell>
        </row>
        <row r="172">
          <cell r="P172">
            <v>1.6800000000000001E-3</v>
          </cell>
          <cell r="W172">
            <v>2.8707589341524695E-3</v>
          </cell>
          <cell r="X172">
            <v>0.1984031685520094</v>
          </cell>
          <cell r="Y172">
            <v>0.19353244111764878</v>
          </cell>
          <cell r="Z172" t="e">
            <v>#N/A</v>
          </cell>
        </row>
        <row r="173">
          <cell r="P173">
            <v>1.6900000000000001E-3</v>
          </cell>
          <cell r="W173">
            <v>2.8838618241064256E-3</v>
          </cell>
          <cell r="X173">
            <v>0.19924136048367225</v>
          </cell>
          <cell r="Y173">
            <v>0.19441664566872688</v>
          </cell>
          <cell r="Z173" t="e">
            <v>#N/A</v>
          </cell>
        </row>
        <row r="174">
          <cell r="P174">
            <v>1.6999999999999999E-3</v>
          </cell>
          <cell r="W174">
            <v>2.8967810921590453E-3</v>
          </cell>
          <cell r="X174">
            <v>0.20006661358419622</v>
          </cell>
          <cell r="Y174">
            <v>0.19528847414657413</v>
          </cell>
          <cell r="Z174" t="e">
            <v>#N/A</v>
          </cell>
        </row>
        <row r="175">
          <cell r="P175">
            <v>1.7099999999999999E-3</v>
          </cell>
          <cell r="W175">
            <v>2.9095173472102466E-3</v>
          </cell>
          <cell r="X175">
            <v>0.20087899520138414</v>
          </cell>
          <cell r="Y175">
            <v>0.19614796727159189</v>
          </cell>
          <cell r="Z175" t="e">
            <v>#N/A</v>
          </cell>
        </row>
        <row r="176">
          <cell r="P176">
            <v>1.72E-3</v>
          </cell>
          <cell r="W176">
            <v>2.9220712504653486E-3</v>
          </cell>
          <cell r="X176">
            <v>0.20167857610373804</v>
          </cell>
          <cell r="Y176">
            <v>0.19699516929322355</v>
          </cell>
          <cell r="Z176" t="e">
            <v>#N/A</v>
          </cell>
        </row>
        <row r="177">
          <cell r="P177">
            <v>1.73E-3</v>
          </cell>
          <cell r="W177">
            <v>2.9344435140886238E-3</v>
          </cell>
          <cell r="X177">
            <v>0.20246543037228637</v>
          </cell>
          <cell r="Y177">
            <v>0.1978301278993766</v>
          </cell>
          <cell r="Z177" t="e">
            <v>#N/A</v>
          </cell>
        </row>
        <row r="178">
          <cell r="P178">
            <v>1.74E-3</v>
          </cell>
          <cell r="W178">
            <v>2.946634899853653E-3</v>
          </cell>
          <cell r="X178">
            <v>0.20323963529262712</v>
          </cell>
          <cell r="Y178">
            <v>0.19865289412562301</v>
          </cell>
          <cell r="Z178" t="e">
            <v>#N/A</v>
          </cell>
        </row>
        <row r="179">
          <cell r="P179">
            <v>1.75E-3</v>
          </cell>
          <cell r="W179">
            <v>2.9586462177915024E-3</v>
          </cell>
          <cell r="X179">
            <v>0.20400127124726353</v>
          </cell>
          <cell r="Y179">
            <v>0.19946352226424677</v>
          </cell>
          <cell r="Z179" t="e">
            <v>#N/A</v>
          </cell>
        </row>
        <row r="180">
          <cell r="P180">
            <v>1.7600000000000001E-3</v>
          </cell>
          <cell r="W180">
            <v>2.9704783248377105E-3</v>
          </cell>
          <cell r="X180">
            <v>0.20475042160830742</v>
          </cell>
          <cell r="Y180">
            <v>0.20026206977320507</v>
          </cell>
          <cell r="Z180" t="e">
            <v>#N/A</v>
          </cell>
        </row>
        <row r="181">
          <cell r="P181">
            <v>1.7700000000000001E-3</v>
          </cell>
          <cell r="W181">
            <v>2.9821321234790648E-3</v>
          </cell>
          <cell r="X181">
            <v>0.20548717263062311</v>
          </cell>
          <cell r="Y181">
            <v>0.20104859718506901</v>
          </cell>
          <cell r="Z181" t="e">
            <v>#N/A</v>
          </cell>
        </row>
        <row r="182">
          <cell r="P182">
            <v>1.7799999999999999E-3</v>
          </cell>
          <cell r="W182">
            <v>2.9936085604011235E-3</v>
          </cell>
          <cell r="X182">
            <v>0.20621161334548271</v>
          </cell>
          <cell r="Y182">
            <v>0.2018231680160083</v>
          </cell>
          <cell r="Z182" t="e">
            <v>#N/A</v>
          </cell>
        </row>
        <row r="183">
          <cell r="P183">
            <v>1.7899999999999999E-3</v>
          </cell>
          <cell r="W183">
            <v>3.0049086251374168E-3</v>
          </cell>
          <cell r="X183">
            <v>0.20692383545480225</v>
          </cell>
          <cell r="Y183">
            <v>0.20258584867488286</v>
          </cell>
          <cell r="Z183" t="e">
            <v>#N/A</v>
          </cell>
        </row>
        <row r="184">
          <cell r="P184">
            <v>1.8E-3</v>
          </cell>
          <cell r="W184">
            <v>3.0160333487212463E-3</v>
          </cell>
          <cell r="X184">
            <v>0.20762393322602507</v>
          </cell>
          <cell r="Y184">
            <v>0.20333670837250326</v>
          </cell>
          <cell r="Z184" t="e">
            <v>#N/A</v>
          </cell>
        </row>
        <row r="185">
          <cell r="P185">
            <v>1.81E-3</v>
          </cell>
          <cell r="W185">
            <v>3.0269838023409767E-3</v>
          </cell>
          <cell r="X185">
            <v>0.20831200338771819</v>
          </cell>
          <cell r="Y185">
            <v>0.20407581903112013</v>
          </cell>
          <cell r="Z185" t="e">
            <v>#N/A</v>
          </cell>
        </row>
        <row r="186">
          <cell r="P186">
            <v>1.82E-3</v>
          </cell>
          <cell r="W186">
            <v>3.0377610959996908E-3</v>
          </cell>
          <cell r="X186">
            <v>0.20898814502594382</v>
          </cell>
          <cell r="Y186">
            <v>0.20480325519420148</v>
          </cell>
          <cell r="Z186" t="e">
            <v>#N/A</v>
          </cell>
        </row>
        <row r="187">
          <cell r="P187">
            <v>1.83E-3</v>
          </cell>
          <cell r="W187">
            <v>3.0483663771800661E-3</v>
          </cell>
          <cell r="X187">
            <v>0.20965245948146757</v>
          </cell>
          <cell r="Y187">
            <v>0.20551909393655532</v>
          </cell>
          <cell r="Z187" t="e">
            <v>#N/A</v>
          </cell>
        </row>
        <row r="188">
          <cell r="P188">
            <v>1.8400000000000001E-3</v>
          </cell>
          <cell r="W188">
            <v>3.058800829515298E-3</v>
          </cell>
          <cell r="X188">
            <v>0.21030505024786164</v>
          </cell>
          <cell r="Y188">
            <v>0.20622341477485373</v>
          </cell>
          <cell r="Z188" t="e">
            <v>#N/A</v>
          </cell>
        </row>
        <row r="189">
          <cell r="P189">
            <v>1.8500000000000001E-3</v>
          </cell>
          <cell r="W189">
            <v>3.0690656714668784E-3</v>
          </cell>
          <cell r="X189">
            <v>0.21094602287055975</v>
          </cell>
          <cell r="Y189">
            <v>0.20691629957861271</v>
          </cell>
          <cell r="Z189" t="e">
            <v>#N/A</v>
          </cell>
        </row>
        <row r="190">
          <cell r="P190">
            <v>1.8600000000000001E-3</v>
          </cell>
          <cell r="W190">
            <v>3.0791621550100181E-3</v>
          </cell>
          <cell r="X190">
            <v>0.21157548484691865</v>
          </cell>
          <cell r="Y190">
            <v>0.20759783248168065</v>
          </cell>
          <cell r="Z190" t="e">
            <v>#N/A</v>
          </cell>
        </row>
        <row r="191">
          <cell r="P191">
            <v>1.8699999999999999E-3</v>
          </cell>
          <cell r="W191">
            <v>3.0890915643274732E-3</v>
          </cell>
          <cell r="X191">
            <v>0.21219354552733841</v>
          </cell>
          <cell r="Y191">
            <v>0.20826809979428718</v>
          </cell>
          <cell r="Z191" t="e">
            <v>#N/A</v>
          </cell>
        </row>
        <row r="192">
          <cell r="P192">
            <v>1.8799999999999999E-3</v>
          </cell>
          <cell r="W192">
            <v>3.0988552145125134E-3</v>
          </cell>
          <cell r="X192">
            <v>0.21280031601749155</v>
          </cell>
          <cell r="Y192">
            <v>0.20892718991570189</v>
          </cell>
          <cell r="Z192" t="e">
            <v>#N/A</v>
          </cell>
        </row>
        <row r="193">
          <cell r="P193">
            <v>1.89E-3</v>
          </cell>
          <cell r="W193">
            <v>3.1084544502817538E-3</v>
          </cell>
          <cell r="X193">
            <v>0.21339590908170997</v>
          </cell>
          <cell r="Y193">
            <v>0.20957519324755158</v>
          </cell>
          <cell r="Z193" t="e">
            <v>#N/A</v>
          </cell>
        </row>
        <row r="194">
          <cell r="P194">
            <v>1.9E-3</v>
          </cell>
          <cell r="W194">
            <v>3.1178906446985371E-3</v>
          </cell>
          <cell r="X194">
            <v>0.21398043904757486</v>
          </cell>
          <cell r="Y194">
            <v>0.2102122021078425</v>
          </cell>
          <cell r="Z194" t="e">
            <v>#N/A</v>
          </cell>
        </row>
        <row r="195">
          <cell r="P195">
            <v>1.91E-3</v>
          </cell>
          <cell r="W195">
            <v>3.127165197907537E-3</v>
          </cell>
          <cell r="X195">
            <v>0.21455402171175417</v>
          </cell>
          <cell r="Y195">
            <v>0.21083831064573291</v>
          </cell>
          <cell r="Z195" t="e">
            <v>#N/A</v>
          </cell>
        </row>
        <row r="196">
          <cell r="P196">
            <v>1.92E-3</v>
          </cell>
          <cell r="W196">
            <v>3.1362795358812327E-3</v>
          </cell>
          <cell r="X196">
            <v>0.21511677424712913</v>
          </cell>
          <cell r="Y196">
            <v>0.21145361475709948</v>
          </cell>
          <cell r="Z196" t="e">
            <v>#N/A</v>
          </cell>
        </row>
        <row r="197">
          <cell r="P197">
            <v>1.9300000000000001E-3</v>
          </cell>
          <cell r="W197">
            <v>3.1452351091788688E-3</v>
          </cell>
          <cell r="X197">
            <v>0.21566881511124972</v>
          </cell>
          <cell r="Y197">
            <v>0.21205821200093933</v>
          </cell>
          <cell r="Z197" t="e">
            <v>#N/A</v>
          </cell>
        </row>
        <row r="198">
          <cell r="P198">
            <v>1.9400000000000001E-3</v>
          </cell>
          <cell r="W198">
            <v>3.1540333917185032E-3</v>
          </cell>
          <cell r="X198">
            <v>0.21621026395615645</v>
          </cell>
          <cell r="Y198">
            <v>0.21265220151664843</v>
          </cell>
          <cell r="Z198" t="e">
            <v>#N/A</v>
          </cell>
        </row>
        <row r="199">
          <cell r="P199">
            <v>1.9499999999999999E-3</v>
          </cell>
          <cell r="W199">
            <v>3.1626758795627163E-3</v>
          </cell>
          <cell r="X199">
            <v>0.21674124153960442</v>
          </cell>
          <cell r="Y199">
            <v>0.21323568394221465</v>
          </cell>
          <cell r="Z199" t="e">
            <v>#N/A</v>
          </cell>
        </row>
        <row r="200">
          <cell r="P200">
            <v>1.9599999999999999E-3</v>
          </cell>
          <cell r="W200">
            <v>3.1711640897185301E-3</v>
          </cell>
          <cell r="X200">
            <v>0.21726186963772262</v>
          </cell>
          <cell r="Y200">
            <v>0.21380876133336302</v>
          </cell>
          <cell r="Z200" t="e">
            <v>#N/A</v>
          </cell>
        </row>
        <row r="201">
          <cell r="P201">
            <v>1.97E-3</v>
          </cell>
          <cell r="W201">
            <v>3.1794995589520627E-3</v>
          </cell>
          <cell r="X201">
            <v>0.21777227095914009</v>
          </cell>
          <cell r="Y201">
            <v>0.21437153708368845</v>
          </cell>
          <cell r="Z201" t="e">
            <v>#N/A</v>
          </cell>
        </row>
        <row r="202">
          <cell r="P202">
            <v>1.98E-3</v>
          </cell>
          <cell r="W202">
            <v>3.1876838426184236E-3</v>
          </cell>
          <cell r="X202">
            <v>0.21827256906060835</v>
          </cell>
          <cell r="Y202">
            <v>0.21492411584580995</v>
          </cell>
          <cell r="Z202" t="e">
            <v>#N/A</v>
          </cell>
        </row>
        <row r="203">
          <cell r="P203">
            <v>1.99E-3</v>
          </cell>
          <cell r="W203">
            <v>3.1957185135073241E-3</v>
          </cell>
          <cell r="X203">
            <v>0.21876288826414722</v>
          </cell>
          <cell r="Y203">
            <v>0.21546660345357871</v>
          </cell>
          <cell r="Z203" t="e">
            <v>#N/A</v>
          </cell>
        </row>
        <row r="204">
          <cell r="P204">
            <v>2E-3</v>
          </cell>
          <cell r="W204">
            <v>3.2036051607048591E-3</v>
          </cell>
          <cell r="X204">
            <v>0.21924335357573962</v>
          </cell>
          <cell r="Y204">
            <v>0.21599910684537071</v>
          </cell>
          <cell r="Z204" t="e">
            <v>#N/A</v>
          </cell>
        </row>
        <row r="205">
          <cell r="P205">
            <v>2.0100000000000001E-3</v>
          </cell>
          <cell r="W205">
            <v>3.2113453884718922E-3</v>
          </cell>
          <cell r="X205">
            <v>0.21971409060559835</v>
          </cell>
          <cell r="Y205">
            <v>0.21652173398849306</v>
          </cell>
          <cell r="Z205" t="e">
            <v>#N/A</v>
          </cell>
        </row>
        <row r="206">
          <cell r="P206">
            <v>2.0200000000000001E-3</v>
          </cell>
          <cell r="W206">
            <v>3.2189408151394503E-3</v>
          </cell>
          <cell r="X206">
            <v>0.22017522549002649</v>
          </cell>
          <cell r="Y206">
            <v>0.21703459380473153</v>
          </cell>
          <cell r="Z206" t="e">
            <v>#N/A</v>
          </cell>
        </row>
        <row r="207">
          <cell r="P207">
            <v>2.0300000000000001E-3</v>
          </cell>
          <cell r="W207">
            <v>3.2263930720215122E-3</v>
          </cell>
          <cell r="X207">
            <v>0.2206268848148909</v>
          </cell>
          <cell r="Y207">
            <v>0.21753779609706553</v>
          </cell>
          <cell r="Z207" t="e">
            <v>#N/A</v>
          </cell>
        </row>
        <row r="208">
          <cell r="P208">
            <v>2.0400000000000001E-3</v>
          </cell>
          <cell r="W208">
            <v>3.2337038023455516E-3</v>
          </cell>
          <cell r="X208">
            <v>0.22106919554072607</v>
          </cell>
          <cell r="Y208">
            <v>0.21803145147757461</v>
          </cell>
          <cell r="Z208" t="e">
            <v>#N/A</v>
          </cell>
        </row>
        <row r="209">
          <cell r="P209">
            <v>2.0500000000000002E-3</v>
          </cell>
          <cell r="W209">
            <v>3.2408746602011753E-3</v>
          </cell>
          <cell r="X209">
            <v>0.2215022849294844</v>
          </cell>
          <cell r="Y209">
            <v>0.21851567129655972</v>
          </cell>
          <cell r="Z209" t="e">
            <v>#N/A</v>
          </cell>
        </row>
        <row r="210">
          <cell r="P210">
            <v>2.0600000000000002E-3</v>
          </cell>
          <cell r="W210">
            <v>3.2479073095071664E-3</v>
          </cell>
          <cell r="X210">
            <v>0.22192628047294657</v>
          </cell>
          <cell r="Y210">
            <v>0.21899056757290042</v>
          </cell>
          <cell r="Z210" t="e">
            <v>#N/A</v>
          </cell>
        </row>
        <row r="211">
          <cell r="P211">
            <v>2.0699999999999998E-3</v>
          </cell>
          <cell r="W211">
            <v>3.2548034229972324E-3</v>
          </cell>
          <cell r="X211">
            <v>0.2223413098228039</v>
          </cell>
          <cell r="Y211">
            <v>0.21945625292566795</v>
          </cell>
          <cell r="Z211" t="e">
            <v>#N/A</v>
          </cell>
        </row>
        <row r="212">
          <cell r="P212">
            <v>2.0799999999999998E-3</v>
          </cell>
          <cell r="W212">
            <v>3.2615646812247227E-3</v>
          </cell>
          <cell r="X212">
            <v>0.22274750072242325</v>
          </cell>
          <cell r="Y212">
            <v>0.21991284050701243</v>
          </cell>
          <cell r="Z212" t="e">
            <v>#N/A</v>
          </cell>
        </row>
        <row r="213">
          <cell r="P213">
            <v>2.0899999999999998E-3</v>
          </cell>
          <cell r="W213">
            <v>3.2681927715865668E-3</v>
          </cell>
          <cell r="X213">
            <v>0.22314498094030286</v>
          </cell>
          <cell r="Y213">
            <v>0.2203604439363413</v>
          </cell>
          <cell r="Z213" t="e">
            <v>#N/A</v>
          </cell>
        </row>
        <row r="214">
          <cell r="P214">
            <v>2.0999999999999999E-3</v>
          </cell>
          <cell r="W214">
            <v>3.2746893873666621E-3</v>
          </cell>
          <cell r="X214">
            <v>0.2235338782052258</v>
          </cell>
          <cell r="Y214">
            <v>0.22079917723580414</v>
          </cell>
          <cell r="Z214" t="e">
            <v>#N/A</v>
          </cell>
        </row>
        <row r="215">
          <cell r="P215">
            <v>2.1099999999999999E-3</v>
          </cell>
          <cell r="W215">
            <v>3.2810562267989109E-3</v>
          </cell>
          <cell r="X215">
            <v>0.22391432014311652</v>
          </cell>
          <cell r="Y215">
            <v>0.22122915476709809</v>
          </cell>
          <cell r="Z215" t="e">
            <v>#N/A</v>
          </cell>
        </row>
        <row r="216">
          <cell r="P216">
            <v>2.1199999999999999E-3</v>
          </cell>
          <cell r="W216">
            <v>3.2872949921500978E-3</v>
          </cell>
          <cell r="X216">
            <v>0.22428643421560365</v>
          </cell>
          <cell r="Y216">
            <v>0.22165049116960625</v>
          </cell>
          <cell r="Z216" t="e">
            <v>#N/A</v>
          </cell>
        </row>
        <row r="217">
          <cell r="P217">
            <v>2.1299999999999999E-3</v>
          </cell>
          <cell r="W217">
            <v>3.2934073888227665E-3</v>
          </cell>
          <cell r="X217">
            <v>0.22465034766029129</v>
          </cell>
          <cell r="Y217">
            <v>0.22206330129988031</v>
          </cell>
          <cell r="Z217" t="e">
            <v>#N/A</v>
          </cell>
        </row>
        <row r="218">
          <cell r="P218">
            <v>2.14E-3</v>
          </cell>
          <cell r="W218">
            <v>3.2993951244782416E-3</v>
          </cell>
          <cell r="X218">
            <v>0.22500618743273898</v>
          </cell>
          <cell r="Y218">
            <v>0.22246770017247719</v>
          </cell>
          <cell r="Z218" t="e">
            <v>#N/A</v>
          </cell>
        </row>
        <row r="219">
          <cell r="P219">
            <v>2.15E-3</v>
          </cell>
          <cell r="W219">
            <v>3.3052599081799185E-3</v>
          </cell>
          <cell r="X219">
            <v>0.22535408015014935</v>
          </cell>
          <cell r="Y219">
            <v>0.22286380290215829</v>
          </cell>
          <cell r="Z219" t="e">
            <v>#N/A</v>
          </cell>
        </row>
        <row r="220">
          <cell r="P220">
            <v>2.16E-3</v>
          </cell>
          <cell r="W220">
            <v>3.3110034495569224E-3</v>
          </cell>
          <cell r="X220">
            <v>0.22569415203676069</v>
          </cell>
          <cell r="Y220">
            <v>0.22325172464745813</v>
          </cell>
          <cell r="Z220" t="e">
            <v>#N/A</v>
          </cell>
        </row>
        <row r="221">
          <cell r="P221">
            <v>2.1700000000000001E-3</v>
          </cell>
          <cell r="W221">
            <v>3.3166274579882267E-3</v>
          </cell>
          <cell r="X221">
            <v>0.2260265288709406</v>
          </cell>
          <cell r="Y221">
            <v>0.2236315805556284</v>
          </cell>
          <cell r="Z221" t="e">
            <v>#N/A</v>
          </cell>
        </row>
        <row r="222">
          <cell r="P222">
            <v>2.1800000000000001E-3</v>
          </cell>
          <cell r="W222">
            <v>3.3221336418072889E-3</v>
          </cell>
          <cell r="X222">
            <v>0.22635133593397505</v>
          </cell>
          <cell r="Y222">
            <v>0.22400348570896225</v>
          </cell>
          <cell r="Z222" t="e">
            <v>#N/A</v>
          </cell>
        </row>
        <row r="223">
          <cell r="P223">
            <v>2.1900000000000001E-3</v>
          </cell>
          <cell r="W223">
            <v>3.3275237075272575E-3</v>
          </cell>
          <cell r="X223">
            <v>0.22666869796054639</v>
          </cell>
          <cell r="Y223">
            <v>0.22436755507250147</v>
          </cell>
          <cell r="Z223" t="e">
            <v>#N/A</v>
          </cell>
        </row>
        <row r="224">
          <cell r="P224">
            <v>2.2000000000000001E-3</v>
          </cell>
          <cell r="W224">
            <v>3.3327993590867742E-3</v>
          </cell>
          <cell r="X224">
            <v>0.22697873909089197</v>
          </cell>
          <cell r="Y224">
            <v>0.22472390344312929</v>
          </cell>
          <cell r="Z224" t="e">
            <v>#N/A</v>
          </cell>
        </row>
        <row r="225">
          <cell r="P225">
            <v>2.2100000000000002E-3</v>
          </cell>
          <cell r="W225">
            <v>3.3379622971163861E-3</v>
          </cell>
          <cell r="X225">
            <v>0.22728158282463415</v>
          </cell>
          <cell r="Y225">
            <v>0.22507264540004937</v>
          </cell>
          <cell r="Z225" t="e">
            <v>#N/A</v>
          </cell>
        </row>
        <row r="226">
          <cell r="P226">
            <v>2.2200000000000002E-3</v>
          </cell>
          <cell r="W226">
            <v>3.3430142182255592E-3</v>
          </cell>
          <cell r="X226">
            <v>0.22757735197627113</v>
          </cell>
          <cell r="Y226">
            <v>0.22541389525665076</v>
          </cell>
          <cell r="Z226" t="e">
            <v>#N/A</v>
          </cell>
        </row>
        <row r="227">
          <cell r="P227">
            <v>2.2300000000000002E-3</v>
          </cell>
          <cell r="W227">
            <v>3.3479568143102737E-3</v>
          </cell>
          <cell r="X227">
            <v>0.22786616863231693</v>
          </cell>
          <cell r="Y227">
            <v>0.22574776701375754</v>
          </cell>
          <cell r="Z227" t="e">
            <v>#N/A</v>
          </cell>
        </row>
        <row r="228">
          <cell r="P228">
            <v>2.2399999999999998E-3</v>
          </cell>
          <cell r="W228">
            <v>3.3527917718811583E-3</v>
          </cell>
          <cell r="X228">
            <v>0.22814815411007752</v>
          </cell>
          <cell r="Y228">
            <v>0.22607437431426047</v>
          </cell>
          <cell r="Z228" t="e">
            <v>#N/A</v>
          </cell>
        </row>
        <row r="229">
          <cell r="P229">
            <v>2.2499999999999998E-3</v>
          </cell>
          <cell r="W229">
            <v>3.3575207714121127E-3</v>
          </cell>
          <cell r="X229">
            <v>0.22842342891804937</v>
          </cell>
          <cell r="Y229">
            <v>0.22639383039912747</v>
          </cell>
          <cell r="Z229" t="e">
            <v>#N/A</v>
          </cell>
        </row>
        <row r="230">
          <cell r="P230">
            <v>2.2599999999999999E-3</v>
          </cell>
          <cell r="W230">
            <v>3.3621454867093455E-3</v>
          </cell>
          <cell r="X230">
            <v>0.22869211271792525</v>
          </cell>
          <cell r="Y230">
            <v>0.2267062480647877</v>
          </cell>
          <cell r="Z230" t="e">
            <v>#N/A</v>
          </cell>
        </row>
        <row r="231">
          <cell r="P231">
            <v>2.2699999999999999E-3</v>
          </cell>
          <cell r="W231">
            <v>3.3666675843007439E-3</v>
          </cell>
          <cell r="X231">
            <v>0.22895432428819135</v>
          </cell>
          <cell r="Y231">
            <v>0.22701173962188442</v>
          </cell>
          <cell r="Z231" t="e">
            <v>#N/A</v>
          </cell>
        </row>
        <row r="232">
          <cell r="P232">
            <v>2.2799999999999999E-3</v>
          </cell>
          <cell r="W232">
            <v>3.3710887228454735E-3</v>
          </cell>
          <cell r="X232">
            <v>0.22921018148929881</v>
          </cell>
          <cell r="Y232">
            <v>0.22731041685538927</v>
          </cell>
          <cell r="Z232" t="e">
            <v>#N/A</v>
          </cell>
        </row>
        <row r="233">
          <cell r="P233">
            <v>2.2899999999999999E-3</v>
          </cell>
          <cell r="W233">
            <v>3.3754105525636963E-3</v>
          </cell>
          <cell r="X233">
            <v>0.22945980123039178</v>
          </cell>
          <cell r="Y233">
            <v>0.22760239098607113</v>
          </cell>
          <cell r="Z233" t="e">
            <v>#N/A</v>
          </cell>
        </row>
        <row r="234">
          <cell r="P234">
            <v>2.3E-3</v>
          </cell>
          <cell r="W234">
            <v>3.3796347146862805E-3</v>
          </cell>
          <cell r="X234">
            <v>0.22970329943757337</v>
          </cell>
          <cell r="Y234">
            <v>0.22788777263331053</v>
          </cell>
          <cell r="Z234" t="e">
            <v>#N/A</v>
          </cell>
        </row>
        <row r="235">
          <cell r="P235">
            <v>2.31E-3</v>
          </cell>
          <cell r="W235">
            <v>3.3837628409243586E-3</v>
          </cell>
          <cell r="X235">
            <v>0.22994079102368972</v>
          </cell>
          <cell r="Y235">
            <v>0.22816667177925079</v>
          </cell>
          <cell r="Z235" t="e">
            <v>#N/A</v>
          </cell>
        </row>
        <row r="236">
          <cell r="P236">
            <v>2.32E-3</v>
          </cell>
          <cell r="W236">
            <v>3.3877965529585858E-3</v>
          </cell>
          <cell r="X236">
            <v>0.23017238985961219</v>
          </cell>
          <cell r="Y236">
            <v>0.22843919773427537</v>
          </cell>
          <cell r="Z236" t="e">
            <v>#N/A</v>
          </cell>
        </row>
        <row r="237">
          <cell r="P237">
            <v>2.33E-3</v>
          </cell>
          <cell r="W237">
            <v>3.3917374619479275E-3</v>
          </cell>
          <cell r="X237">
            <v>0.23039820874699629</v>
          </cell>
          <cell r="Y237">
            <v>0.2287054591038005</v>
          </cell>
          <cell r="Z237" t="e">
            <v>#N/A</v>
          </cell>
        </row>
        <row r="238">
          <cell r="P238">
            <v>2.3400000000000001E-3</v>
          </cell>
          <cell r="W238">
            <v>3.3955871680578066E-3</v>
          </cell>
          <cell r="X238">
            <v>0.23061835939249581</v>
          </cell>
          <cell r="Y238">
            <v>0.2289655637563715</v>
          </cell>
          <cell r="Z238" t="e">
            <v>#N/A</v>
          </cell>
        </row>
        <row r="239">
          <cell r="P239">
            <v>2.3500000000000001E-3</v>
          </cell>
          <cell r="W239">
            <v>3.3993472600074158E-3</v>
          </cell>
          <cell r="X239">
            <v>0.23083295238340959</v>
          </cell>
          <cell r="Y239">
            <v>0.22921961879305006</v>
          </cell>
          <cell r="Z239" t="e">
            <v>#N/A</v>
          </cell>
        </row>
        <row r="240">
          <cell r="P240">
            <v>2.3600000000000001E-3</v>
          </cell>
          <cell r="W240">
            <v>3.4030193146360019E-3</v>
          </cell>
          <cell r="X240">
            <v>0.23104209716473795</v>
          </cell>
          <cell r="Y240">
            <v>0.22946773051807923</v>
          </cell>
          <cell r="Z240" t="e">
            <v>#N/A</v>
          </cell>
        </row>
        <row r="241">
          <cell r="P241">
            <v>2.3700000000000001E-3</v>
          </cell>
          <cell r="W241">
            <v>3.4066048964879097E-3</v>
          </cell>
          <cell r="X241">
            <v>0.23124590201762518</v>
          </cell>
          <cell r="Y241">
            <v>0.22971000441081235</v>
          </cell>
          <cell r="Z241" t="e">
            <v>#N/A</v>
          </cell>
        </row>
        <row r="242">
          <cell r="P242">
            <v>2.3800000000000002E-3</v>
          </cell>
          <cell r="W242">
            <v>3.4101055574161706E-3</v>
          </cell>
          <cell r="X242">
            <v>0.23144447403916388</v>
          </cell>
          <cell r="Y242">
            <v>0.22994654509889106</v>
          </cell>
          <cell r="Z242" t="e">
            <v>#N/A</v>
          </cell>
        </row>
        <row r="243">
          <cell r="P243">
            <v>2.3900000000000002E-3</v>
          </cell>
          <cell r="W243">
            <v>3.4135228362044039E-3</v>
          </cell>
          <cell r="X243">
            <v>0.23163791912353657</v>
          </cell>
          <cell r="Y243">
            <v>0.23017745633265746</v>
          </cell>
          <cell r="Z243" t="e">
            <v>#N/A</v>
          </cell>
        </row>
        <row r="244">
          <cell r="P244">
            <v>2.3999999999999998E-3</v>
          </cell>
          <cell r="W244">
            <v>3.4168582582067993E-3</v>
          </cell>
          <cell r="X244">
            <v>0.23182634194446952</v>
          </cell>
          <cell r="Y244">
            <v>0.2304028409607842</v>
          </cell>
          <cell r="Z244" t="e">
            <v>#N/A</v>
          </cell>
        </row>
        <row r="245">
          <cell r="P245">
            <v>2.4099999999999998E-3</v>
          </cell>
          <cell r="W245">
            <v>3.4201133350059308E-3</v>
          </cell>
          <cell r="X245">
            <v>0.2320098459389732</v>
          </cell>
          <cell r="Y245">
            <v>0.23062280090710657</v>
          </cell>
          <cell r="Z245" t="e">
            <v>#N/A</v>
          </cell>
        </row>
        <row r="246">
          <cell r="P246">
            <v>2.4199999999999998E-3</v>
          </cell>
          <cell r="W246">
            <v>3.4232895640881524E-3</v>
          </cell>
          <cell r="X246">
            <v>0.23218853329234337</v>
          </cell>
          <cell r="Y246">
            <v>0.23083743714863927</v>
          </cell>
          <cell r="Z246" t="e">
            <v>#N/A</v>
          </cell>
        </row>
        <row r="247">
          <cell r="P247">
            <v>2.4299999999999999E-3</v>
          </cell>
          <cell r="W247">
            <v>3.4263884285363156E-3</v>
          </cell>
          <cell r="X247">
            <v>0.23236250492439697</v>
          </cell>
          <cell r="Y247">
            <v>0.23104684969476058</v>
          </cell>
          <cell r="Z247" t="e">
            <v>#N/A</v>
          </cell>
        </row>
        <row r="248">
          <cell r="P248">
            <v>2.4399999999999999E-3</v>
          </cell>
          <cell r="W248">
            <v>3.4294113967395395E-3</v>
          </cell>
          <cell r="X248">
            <v>0.23253186047691579</v>
          </cell>
          <cell r="Y248">
            <v>0.23125113756754606</v>
          </cell>
          <cell r="Z248" t="e">
            <v>#N/A</v>
          </cell>
        </row>
        <row r="249">
          <cell r="P249">
            <v>2.4499999999999999E-3</v>
          </cell>
          <cell r="W249">
            <v>3.432359922119761E-3</v>
          </cell>
          <cell r="X249">
            <v>0.23269669830227138</v>
          </cell>
          <cell r="Y249">
            <v>0.23145039878323345</v>
          </cell>
          <cell r="Z249" t="e">
            <v>#N/A</v>
          </cell>
        </row>
        <row r="250">
          <cell r="P250">
            <v>2.4599999999999999E-3</v>
          </cell>
          <cell r="W250">
            <v>3.4352354428747863E-3</v>
          </cell>
          <cell r="X250">
            <v>0.23285711545320423</v>
          </cell>
          <cell r="Y250">
            <v>0.23164473033479982</v>
          </cell>
          <cell r="Z250" t="e">
            <v>#N/A</v>
          </cell>
        </row>
        <row r="251">
          <cell r="P251">
            <v>2.47E-3</v>
          </cell>
          <cell r="W251">
            <v>3.4380393817375556E-3</v>
          </cell>
          <cell r="X251">
            <v>0.23301320767372974</v>
          </cell>
          <cell r="Y251">
            <v>0.23183422817563198</v>
          </cell>
          <cell r="Z251" t="e">
            <v>#N/A</v>
          </cell>
        </row>
        <row r="252">
          <cell r="P252">
            <v>2.48E-3</v>
          </cell>
          <cell r="W252">
            <v>3.4407731457513318E-3</v>
          </cell>
          <cell r="X252">
            <v>0.23316506939114387</v>
          </cell>
          <cell r="Y252">
            <v>0.23201898720427078</v>
          </cell>
          <cell r="Z252" t="e">
            <v>#N/A</v>
          </cell>
        </row>
        <row r="253">
          <cell r="P253">
            <v>2.49E-3</v>
          </cell>
          <cell r="W253">
            <v>3.443438126060521E-3</v>
          </cell>
          <cell r="X253">
            <v>0.23331279370910063</v>
          </cell>
          <cell r="Y253">
            <v>0.23219910125020898</v>
          </cell>
          <cell r="Z253" t="e">
            <v>#N/A</v>
          </cell>
        </row>
        <row r="254">
          <cell r="P254">
            <v>2.5000000000000001E-3</v>
          </cell>
          <cell r="W254">
            <v>3.4460356977168158E-3</v>
          </cell>
          <cell r="X254">
            <v>0.23345647240173395</v>
          </cell>
          <cell r="Y254">
            <v>0.23237466306072327</v>
          </cell>
          <cell r="Z254" t="e">
            <v>#N/A</v>
          </cell>
        </row>
        <row r="255">
          <cell r="P255">
            <v>2.5100000000000001E-3</v>
          </cell>
          <cell r="W255">
            <v>3.4485672195003689E-3</v>
          </cell>
          <cell r="X255">
            <v>0.23359619590879632</v>
          </cell>
          <cell r="Y255">
            <v>0.23254576428871926</v>
          </cell>
          <cell r="Z255" t="e">
            <v>#N/A</v>
          </cell>
        </row>
        <row r="256">
          <cell r="P256">
            <v>2.5200000000000001E-3</v>
          </cell>
          <cell r="W256">
            <v>3.4510340337556801E-3</v>
          </cell>
          <cell r="X256">
            <v>0.23373205333178612</v>
          </cell>
          <cell r="Y256">
            <v>0.23271249548156947</v>
          </cell>
          <cell r="Z256" t="e">
            <v>#N/A</v>
          </cell>
        </row>
        <row r="257">
          <cell r="P257">
            <v>2.5300000000000001E-3</v>
          </cell>
          <cell r="W257">
            <v>3.4534374662418912E-3</v>
          </cell>
          <cell r="X257">
            <v>0.23386413243103629</v>
          </cell>
          <cell r="Y257">
            <v>0.23287494607092302</v>
          </cell>
          <cell r="Z257" t="e">
            <v>#N/A</v>
          </cell>
        </row>
        <row r="258">
          <cell r="P258">
            <v>2.5400000000000002E-3</v>
          </cell>
          <cell r="W258">
            <v>3.4557788259971739E-3</v>
          </cell>
          <cell r="X258">
            <v>0.23399251962373616</v>
          </cell>
          <cell r="Y258">
            <v>0.23303320436346606</v>
          </cell>
          <cell r="Z258" t="e">
            <v>#N/A</v>
          </cell>
        </row>
        <row r="259">
          <cell r="P259">
            <v>2.5500000000000002E-3</v>
          </cell>
          <cell r="W259">
            <v>3.4580594052168933E-3</v>
          </cell>
          <cell r="X259">
            <v>0.23411729998285913</v>
          </cell>
          <cell r="Y259">
            <v>0.23318735753261188</v>
          </cell>
          <cell r="Z259" t="e">
            <v>#N/A</v>
          </cell>
        </row>
        <row r="260">
          <cell r="P260">
            <v>2.5600000000000002E-3</v>
          </cell>
          <cell r="W260">
            <v>3.4602804791452313E-3</v>
          </cell>
          <cell r="X260">
            <v>0.23423855723696835</v>
          </cell>
          <cell r="Y260">
            <v>0.23333749161109904</v>
          </cell>
          <cell r="Z260" t="e">
            <v>#N/A</v>
          </cell>
        </row>
        <row r="261">
          <cell r="P261">
            <v>2.5699999999999998E-3</v>
          </cell>
          <cell r="W261">
            <v>3.4624433059799479E-3</v>
          </cell>
          <cell r="X261">
            <v>0.23435637377087287</v>
          </cell>
          <cell r="Y261">
            <v>0.23348369148447623</v>
          </cell>
          <cell r="Z261" t="e">
            <v>#N/A</v>
          </cell>
        </row>
        <row r="262">
          <cell r="P262">
            <v>2.5799999999999998E-3</v>
          </cell>
          <cell r="W262">
            <v>3.4645491267899613E-3</v>
          </cell>
          <cell r="X262">
            <v>0.23447083062710691</v>
          </cell>
          <cell r="Y262">
            <v>0.23362604088545222</v>
          </cell>
          <cell r="Z262" t="e">
            <v>#N/A</v>
          </cell>
        </row>
        <row r="263">
          <cell r="P263">
            <v>2.5899999999999999E-3</v>
          </cell>
          <cell r="W263">
            <v>3.4665991654454216E-3</v>
          </cell>
          <cell r="X263">
            <v>0.23458200750820496</v>
          </cell>
          <cell r="Y263">
            <v>0.23376462238908927</v>
          </cell>
          <cell r="Z263" t="e">
            <v>#N/A</v>
          </cell>
        </row>
        <row r="264">
          <cell r="P264">
            <v>2.5999999999999999E-3</v>
          </cell>
          <cell r="W264">
            <v>3.4685946285599599E-3</v>
          </cell>
          <cell r="X264">
            <v>0.23468998277974557</v>
          </cell>
          <cell r="Y264">
            <v>0.23389951740881812</v>
          </cell>
          <cell r="Z264" t="e">
            <v>#N/A</v>
          </cell>
        </row>
        <row r="265">
          <cell r="P265">
            <v>2.6099999999999999E-3</v>
          </cell>
          <cell r="W265">
            <v>3.4705367054447835E-3</v>
          </cell>
          <cell r="X265">
            <v>0.23479483347413693</v>
          </cell>
          <cell r="Y265">
            <v>0.23403080619325317</v>
          </cell>
          <cell r="Z265" t="e">
            <v>#N/A</v>
          </cell>
        </row>
        <row r="266">
          <cell r="P266">
            <v>2.6199999999999999E-3</v>
          </cell>
          <cell r="W266">
            <v>3.4724265680742992E-3</v>
          </cell>
          <cell r="X266">
            <v>0.23489663529511762</v>
          </cell>
          <cell r="Y266">
            <v>0.23415856782378569</v>
          </cell>
          <cell r="Z266" t="e">
            <v>#N/A</v>
          </cell>
        </row>
        <row r="267">
          <cell r="P267">
            <v>2.63E-3</v>
          </cell>
          <cell r="W267">
            <v>3.4742653710629389E-3</v>
          </cell>
          <cell r="X267">
            <v>0.23499546262294585</v>
          </cell>
          <cell r="Y267">
            <v>0.23428288021293356</v>
          </cell>
          <cell r="Z267" t="e">
            <v>#N/A</v>
          </cell>
        </row>
        <row r="268">
          <cell r="P268">
            <v>2.64E-3</v>
          </cell>
          <cell r="W268">
            <v>3.476054251652864E-3</v>
          </cell>
          <cell r="X268">
            <v>0.23509138852025116</v>
          </cell>
          <cell r="Y268">
            <v>0.23440382010342592</v>
          </cell>
          <cell r="Z268" t="e">
            <v>#N/A</v>
          </cell>
        </row>
        <row r="269">
          <cell r="P269">
            <v>2.65E-3</v>
          </cell>
          <cell r="W269">
            <v>3.4777943297122308E-3</v>
          </cell>
          <cell r="X269">
            <v>0.2351844847385226</v>
          </cell>
          <cell r="Y269">
            <v>0.23452146306800084</v>
          </cell>
          <cell r="Z269" t="e">
            <v>#N/A</v>
          </cell>
        </row>
        <row r="270">
          <cell r="P270">
            <v>2.66E-3</v>
          </cell>
          <cell r="W270">
            <v>3.4794867077436922E-3</v>
          </cell>
          <cell r="X270">
            <v>0.2352748217252075</v>
          </cell>
          <cell r="Y270">
            <v>0.2346358835098947</v>
          </cell>
          <cell r="Z270" t="e">
            <v>#N/A</v>
          </cell>
        </row>
        <row r="271">
          <cell r="P271">
            <v>2.6700000000000001E-3</v>
          </cell>
          <cell r="W271">
            <v>3.4811324709028172E-3</v>
          </cell>
          <cell r="X271">
            <v>0.23536246863139582</v>
          </cell>
          <cell r="Y271">
            <v>0.23474715466400153</v>
          </cell>
          <cell r="Z271" t="e">
            <v>#N/A</v>
          </cell>
        </row>
        <row r="272">
          <cell r="P272">
            <v>2.6800000000000001E-3</v>
          </cell>
          <cell r="W272">
            <v>3.4827326870261145E-3</v>
          </cell>
          <cell r="X272">
            <v>0.23544749332006462</v>
          </cell>
          <cell r="Y272">
            <v>0.23485534859868112</v>
          </cell>
          <cell r="Z272" t="e">
            <v>#N/A</v>
          </cell>
        </row>
        <row r="273">
          <cell r="P273">
            <v>2.6900000000000001E-3</v>
          </cell>
          <cell r="W273">
            <v>3.4842884066683369E-3</v>
          </cell>
          <cell r="X273">
            <v>0.23552996237485829</v>
          </cell>
          <cell r="Y273">
            <v>0.2349605362181946</v>
          </cell>
          <cell r="Z273" t="e">
            <v>#N/A</v>
          </cell>
        </row>
        <row r="274">
          <cell r="P274">
            <v>2.7000000000000001E-3</v>
          </cell>
          <cell r="W274">
            <v>3.4858006631487614E-3</v>
          </cell>
          <cell r="X274">
            <v>0.23560994110937997</v>
          </cell>
          <cell r="Y274">
            <v>0.23506278726574642</v>
          </cell>
          <cell r="Z274" t="e">
            <v>#N/A</v>
          </cell>
        </row>
        <row r="275">
          <cell r="P275">
            <v>2.7100000000000002E-3</v>
          </cell>
          <cell r="W275">
            <v>3.4872704726061272E-3</v>
          </cell>
          <cell r="X275">
            <v>0.23568749357697008</v>
          </cell>
          <cell r="Y275">
            <v>0.23516217032711165</v>
          </cell>
          <cell r="Z275" t="e">
            <v>#N/A</v>
          </cell>
        </row>
        <row r="276">
          <cell r="P276">
            <v>2.7200000000000002E-3</v>
          </cell>
          <cell r="W276">
            <v>3.488698834061926E-3</v>
          </cell>
          <cell r="X276">
            <v>0.23576268258094846</v>
          </cell>
          <cell r="Y276">
            <v>0.23525875283482786</v>
          </cell>
          <cell r="Z276" t="e">
            <v>#N/A</v>
          </cell>
        </row>
        <row r="277">
          <cell r="P277">
            <v>2.7299999999999998E-3</v>
          </cell>
          <cell r="W277">
            <v>3.4900867294917382E-3</v>
          </cell>
          <cell r="X277">
            <v>0.23583556968529679</v>
          </cell>
          <cell r="Y277">
            <v>0.23535260107293116</v>
          </cell>
          <cell r="Z277" t="e">
            <v>#N/A</v>
          </cell>
        </row>
        <row r="278">
          <cell r="P278">
            <v>2.7399999999999998E-3</v>
          </cell>
          <cell r="W278">
            <v>3.4914351239043106E-3</v>
          </cell>
          <cell r="X278">
            <v>0.23590621522575853</v>
          </cell>
          <cell r="Y278">
            <v>0.23544378018221557</v>
          </cell>
          <cell r="Z278" t="e">
            <v>#N/A</v>
          </cell>
        </row>
        <row r="279">
          <cell r="P279">
            <v>2.7499999999999998E-3</v>
          </cell>
          <cell r="W279">
            <v>3.4927449654280781E-3</v>
          </cell>
          <cell r="X279">
            <v>0.23597467832133356</v>
          </cell>
          <cell r="Y279">
            <v>0.23553235416599611</v>
          </cell>
          <cell r="Z279" t="e">
            <v>#N/A</v>
          </cell>
        </row>
        <row r="280">
          <cell r="P280">
            <v>2.7599999999999999E-3</v>
          </cell>
          <cell r="W280">
            <v>3.4940171854048315E-3</v>
          </cell>
          <cell r="X280">
            <v>0.23604101688614598</v>
          </cell>
          <cell r="Y280">
            <v>0.23561838589635511</v>
          </cell>
          <cell r="Z280" t="e">
            <v>#N/A</v>
          </cell>
        </row>
        <row r="281">
          <cell r="P281">
            <v>2.7699999999999999E-3</v>
          </cell>
          <cell r="W281">
            <v>3.4952526984902382E-3</v>
          </cell>
          <cell r="X281">
            <v>0.23610528764166289</v>
          </cell>
          <cell r="Y281">
            <v>0.23570193712085227</v>
          </cell>
          <cell r="Z281" t="e">
            <v>#N/A</v>
          </cell>
        </row>
        <row r="282">
          <cell r="P282">
            <v>2.7799999999999999E-3</v>
          </cell>
          <cell r="W282">
            <v>3.4964524027609285E-3</v>
          </cell>
          <cell r="X282">
            <v>0.23616754612924348</v>
          </cell>
          <cell r="Y282">
            <v>0.23578306846967895</v>
          </cell>
          <cell r="Z282" t="e">
            <v>#N/A</v>
          </cell>
        </row>
        <row r="283">
          <cell r="P283">
            <v>2.7899999999999999E-3</v>
          </cell>
          <cell r="W283">
            <v>3.4976171798278576E-3</v>
          </cell>
          <cell r="X283">
            <v>0.23622784672299721</v>
          </cell>
          <cell r="Y283">
            <v>0.23586183946323741</v>
          </cell>
          <cell r="Z283" t="e">
            <v>#N/A</v>
          </cell>
        </row>
        <row r="284">
          <cell r="P284">
            <v>2.8E-3</v>
          </cell>
          <cell r="W284">
            <v>3.4987478949556686E-3</v>
          </cell>
          <cell r="X284">
            <v>0.23628624264293088</v>
          </cell>
          <cell r="Y284">
            <v>0.23593830852012609</v>
          </cell>
          <cell r="Z284" t="e">
            <v>#N/A</v>
          </cell>
        </row>
        <row r="285">
          <cell r="P285">
            <v>2.81E-3</v>
          </cell>
          <cell r="W285">
            <v>3.4998453971877728E-3</v>
          </cell>
          <cell r="X285">
            <v>0.23634278596836494</v>
          </cell>
          <cell r="Y285">
            <v>0.23601253296551225</v>
          </cell>
          <cell r="Z285" t="e">
            <v>#N/A</v>
          </cell>
        </row>
        <row r="286">
          <cell r="P286">
            <v>2.82E-3</v>
          </cell>
          <cell r="W286">
            <v>3.5009105194768776E-3</v>
          </cell>
          <cell r="X286">
            <v>0.23639752765159922</v>
          </cell>
          <cell r="Y286">
            <v>0.23608456903987338</v>
          </cell>
          <cell r="Z286" t="e">
            <v>#N/A</v>
          </cell>
        </row>
        <row r="287">
          <cell r="P287">
            <v>2.8300000000000001E-3</v>
          </cell>
          <cell r="W287">
            <v>3.5019440788206934E-3</v>
          </cell>
          <cell r="X287">
            <v>0.23645051753180929</v>
          </cell>
          <cell r="Y287">
            <v>0.23615447190808952</v>
          </cell>
          <cell r="Z287" t="e">
            <v>#N/A</v>
          </cell>
        </row>
        <row r="288">
          <cell r="P288">
            <v>2.8400000000000001E-3</v>
          </cell>
          <cell r="W288">
            <v>3.5029468764025524E-3</v>
          </cell>
          <cell r="X288">
            <v>0.23650180434915505</v>
          </cell>
          <cell r="Y288">
            <v>0.23622229566886863</v>
          </cell>
          <cell r="Z288" t="e">
            <v>#N/A</v>
          </cell>
        </row>
        <row r="289">
          <cell r="P289">
            <v>2.8500000000000001E-3</v>
          </cell>
          <cell r="W289">
            <v>3.5039196977366847E-3</v>
          </cell>
          <cell r="X289">
            <v>0.23655143575908322</v>
          </cell>
          <cell r="Y289">
            <v>0.23628809336448722</v>
          </cell>
          <cell r="Z289" t="e">
            <v>#N/A</v>
          </cell>
        </row>
        <row r="290">
          <cell r="P290">
            <v>2.8600000000000001E-3</v>
          </cell>
          <cell r="W290">
            <v>3.5048633128178905E-3</v>
          </cell>
          <cell r="X290">
            <v>0.23659945834680624</v>
          </cell>
          <cell r="Y290">
            <v>0.23635191699082952</v>
          </cell>
          <cell r="Z290" t="e">
            <v>#N/A</v>
          </cell>
        </row>
        <row r="291">
          <cell r="P291">
            <v>2.8700000000000002E-3</v>
          </cell>
          <cell r="W291">
            <v>3.505778476275364E-3</v>
          </cell>
          <cell r="X291">
            <v>0.2366459176419406</v>
          </cell>
          <cell r="Y291">
            <v>0.23641381750770782</v>
          </cell>
          <cell r="Z291" t="e">
            <v>#N/A</v>
          </cell>
        </row>
        <row r="292">
          <cell r="P292">
            <v>2.8800000000000002E-3</v>
          </cell>
          <cell r="W292">
            <v>3.5066659275304187E-3</v>
          </cell>
          <cell r="X292">
            <v>0.23669085813328752</v>
          </cell>
          <cell r="Y292">
            <v>0.23647384484944792</v>
          </cell>
          <cell r="Z292" t="e">
            <v>#N/A</v>
          </cell>
        </row>
        <row r="293">
          <cell r="P293">
            <v>2.8900000000000002E-3</v>
          </cell>
          <cell r="W293">
            <v>3.507526390957878E-3</v>
          </cell>
          <cell r="X293">
            <v>0.23673432328374039</v>
          </cell>
          <cell r="Y293">
            <v>0.23653204793572294</v>
          </cell>
          <cell r="Z293" t="e">
            <v>#N/A</v>
          </cell>
        </row>
        <row r="294">
          <cell r="P294">
            <v>2.8999999999999998E-3</v>
          </cell>
          <cell r="W294">
            <v>3.5083605760508917E-3</v>
          </cell>
          <cell r="X294">
            <v>0.23677635554530246</v>
          </cell>
          <cell r="Y294">
            <v>0.23658847468262015</v>
          </cell>
          <cell r="Z294" t="e">
            <v>#N/A</v>
          </cell>
        </row>
        <row r="295">
          <cell r="P295">
            <v>2.9099999999999998E-3</v>
          </cell>
          <cell r="W295">
            <v>3.5091691775889517E-3</v>
          </cell>
          <cell r="X295">
            <v>0.2368169963742002</v>
          </cell>
          <cell r="Y295">
            <v>0.23664317201392479</v>
          </cell>
          <cell r="Z295" t="e">
            <v>#N/A</v>
          </cell>
        </row>
        <row r="296">
          <cell r="P296">
            <v>2.9199999999999999E-3</v>
          </cell>
          <cell r="W296">
            <v>3.509952875808877E-3</v>
          </cell>
          <cell r="X296">
            <v>0.23685628624607716</v>
          </cell>
          <cell r="Y296">
            <v>0.23669618587260602</v>
          </cell>
          <cell r="Z296" t="e">
            <v>#N/A</v>
          </cell>
        </row>
        <row r="297">
          <cell r="P297">
            <v>2.9299999999999999E-3</v>
          </cell>
          <cell r="W297">
            <v>3.5107123365785533E-3</v>
          </cell>
          <cell r="X297">
            <v>0.23689426467125388</v>
          </cell>
          <cell r="Y297">
            <v>0.23674756123248994</v>
          </cell>
          <cell r="Z297" t="e">
            <v>#N/A</v>
          </cell>
        </row>
        <row r="298">
          <cell r="P298">
            <v>2.9399999999999999E-3</v>
          </cell>
          <cell r="W298">
            <v>3.5114482115732059E-3</v>
          </cell>
          <cell r="X298">
            <v>0.23693097021004036</v>
          </cell>
          <cell r="Y298">
            <v>0.2367973421101052</v>
          </cell>
          <cell r="Z298" t="e">
            <v>#N/A</v>
          </cell>
        </row>
        <row r="299">
          <cell r="P299">
            <v>2.9499999999999999E-3</v>
          </cell>
          <cell r="W299">
            <v>3.5121611384540019E-3</v>
          </cell>
          <cell r="X299">
            <v>0.23696644048808718</v>
          </cell>
          <cell r="Y299">
            <v>0.23684557157668715</v>
          </cell>
          <cell r="Z299" t="e">
            <v>#N/A</v>
          </cell>
        </row>
        <row r="300">
          <cell r="P300">
            <v>2.96E-3</v>
          </cell>
          <cell r="W300">
            <v>3.5128517410487723E-3</v>
          </cell>
          <cell r="X300">
            <v>0.23700071221176255</v>
          </cell>
          <cell r="Y300">
            <v>0.23689229177032642</v>
          </cell>
          <cell r="Z300" t="e">
            <v>#N/A</v>
          </cell>
        </row>
        <row r="301">
          <cell r="P301">
            <v>2.97E-3</v>
          </cell>
          <cell r="W301">
            <v>3.5135206295346566E-3</v>
          </cell>
          <cell r="X301">
            <v>0.23703382118354285</v>
          </cell>
          <cell r="Y301">
            <v>0.23693754390824887</v>
          </cell>
          <cell r="Z301" t="e">
            <v>#N/A</v>
          </cell>
        </row>
        <row r="302">
          <cell r="P302">
            <v>2.98E-3</v>
          </cell>
          <cell r="W302">
            <v>3.5141684006224768E-3</v>
          </cell>
          <cell r="X302">
            <v>0.23706580231740426</v>
          </cell>
          <cell r="Y302">
            <v>0.2369813682992134</v>
          </cell>
          <cell r="Z302" t="e">
            <v>#N/A</v>
          </cell>
        </row>
        <row r="303">
          <cell r="P303">
            <v>2.99E-3</v>
          </cell>
          <cell r="W303">
            <v>3.514795637742648E-3</v>
          </cell>
          <cell r="X303">
            <v>0.23709668965420405</v>
          </cell>
          <cell r="Y303">
            <v>0.23702380435601514</v>
          </cell>
          <cell r="Z303" t="e">
            <v>#N/A</v>
          </cell>
        </row>
        <row r="304">
          <cell r="P304">
            <v>3.0000000000000001E-3</v>
          </cell>
          <cell r="W304">
            <v>3.5154029112324458E-3</v>
          </cell>
          <cell r="X304">
            <v>0.23712651637704033</v>
          </cell>
          <cell r="Y304">
            <v>0.23706489060808136</v>
          </cell>
          <cell r="Z304" t="e">
            <v>#N/A</v>
          </cell>
        </row>
        <row r="305">
          <cell r="P305">
            <v>3.0100000000000001E-3</v>
          </cell>
          <cell r="W305">
            <v>3.5159907785244503E-3</v>
          </cell>
          <cell r="X305">
            <v>0.23715531482657934</v>
          </cell>
          <cell r="Y305">
            <v>0.23710466471414834</v>
          </cell>
          <cell r="Z305" t="e">
            <v>#N/A</v>
          </cell>
        </row>
        <row r="306">
          <cell r="P306">
            <v>3.0200000000000001E-3</v>
          </cell>
          <cell r="W306">
            <v>3.5165597843359914E-3</v>
          </cell>
          <cell r="X306">
            <v>0.23718311651634011</v>
          </cell>
          <cell r="Y306">
            <v>0.23714316347500708</v>
          </cell>
          <cell r="Z306" t="e">
            <v>#N/A</v>
          </cell>
        </row>
        <row r="307">
          <cell r="P307">
            <v>3.0300000000000001E-3</v>
          </cell>
          <cell r="W307">
            <v>3.5171104608594309E-3</v>
          </cell>
          <cell r="X307">
            <v>0.23720995214792645</v>
          </cell>
          <cell r="Y307">
            <v>0.23718042284630697</v>
          </cell>
          <cell r="Z307" t="e">
            <v>#N/A</v>
          </cell>
        </row>
        <row r="308">
          <cell r="P308">
            <v>3.0400000000000002E-3</v>
          </cell>
          <cell r="W308">
            <v>3.5176433279531156E-3</v>
          </cell>
          <cell r="X308">
            <v>0.23723585162619668</v>
          </cell>
          <cell r="Y308">
            <v>0.23721647795140596</v>
          </cell>
          <cell r="Z308" t="e">
            <v>#N/A</v>
          </cell>
        </row>
        <row r="309">
          <cell r="P309">
            <v>3.0500000000000002E-3</v>
          </cell>
          <cell r="W309">
            <v>3.5181588933328447E-3</v>
          </cell>
          <cell r="X309">
            <v>0.23726084407436229</v>
          </cell>
          <cell r="Y309">
            <v>0.23725136309425685</v>
          </cell>
          <cell r="Z309" t="e">
            <v>#N/A</v>
          </cell>
        </row>
        <row r="310">
          <cell r="P310">
            <v>3.0599999999999998E-3</v>
          </cell>
          <cell r="W310">
            <v>3.5186576527636978E-3</v>
          </cell>
          <cell r="X310">
            <v>0.23728495784900652</v>
          </cell>
          <cell r="Y310">
            <v>0.23728511177231923</v>
          </cell>
          <cell r="Z310" t="e">
            <v>#N/A</v>
          </cell>
        </row>
        <row r="311">
          <cell r="P311">
            <v>3.0699999999999998E-3</v>
          </cell>
          <cell r="W311">
            <v>3.5191400902520771E-3</v>
          </cell>
          <cell r="X311">
            <v>0.23730822055501469</v>
          </cell>
          <cell r="Y311">
            <v>0.23731775668948715</v>
          </cell>
          <cell r="Z311" t="e">
            <v>#N/A</v>
          </cell>
        </row>
        <row r="312">
          <cell r="P312">
            <v>3.0799999999999998E-3</v>
          </cell>
          <cell r="W312">
            <v>3.5196066782378207E-3</v>
          </cell>
          <cell r="X312">
            <v>0.23733065906040851</v>
          </cell>
          <cell r="Y312">
            <v>0.23734932976902293</v>
          </cell>
          <cell r="Z312" t="e">
            <v>#N/A</v>
          </cell>
        </row>
        <row r="313">
          <cell r="P313">
            <v>3.0899999999999999E-3</v>
          </cell>
          <cell r="W313">
            <v>3.5200578777862487E-3</v>
          </cell>
          <cell r="X313">
            <v>0.23735229951107656</v>
          </cell>
          <cell r="Y313">
            <v>0.23737986216648757</v>
          </cell>
          <cell r="Z313" t="e">
            <v>#N/A</v>
          </cell>
        </row>
        <row r="314">
          <cell r="P314">
            <v>3.0999999999999999E-3</v>
          </cell>
          <cell r="W314">
            <v>3.5204941387800091E-3</v>
          </cell>
          <cell r="X314">
            <v>0.23737316734539413</v>
          </cell>
          <cell r="Y314">
            <v>0.23740938428265909</v>
          </cell>
          <cell r="Z314" t="e">
            <v>#N/A</v>
          </cell>
        </row>
        <row r="315">
          <cell r="P315">
            <v>3.1099999999999999E-3</v>
          </cell>
          <cell r="W315">
            <v>3.5209159001105975E-3</v>
          </cell>
          <cell r="X315">
            <v>0.23739328730872528</v>
          </cell>
          <cell r="Y315">
            <v>0.23743792577642997</v>
          </cell>
          <cell r="Z315" t="e">
            <v>#N/A</v>
          </cell>
        </row>
        <row r="316">
          <cell r="P316">
            <v>3.1199999999999999E-3</v>
          </cell>
          <cell r="W316">
            <v>3.521323589869427E-3</v>
          </cell>
          <cell r="X316">
            <v>0.23741268346780103</v>
          </cell>
          <cell r="Y316">
            <v>0.23746551557767534</v>
          </cell>
          <cell r="Z316" t="e">
            <v>#N/A</v>
          </cell>
        </row>
        <row r="317">
          <cell r="P317">
            <v>3.13E-3</v>
          </cell>
          <cell r="W317">
            <v>3.521717625538327E-3</v>
          </cell>
          <cell r="X317">
            <v>0.2374313792249676</v>
          </cell>
          <cell r="Y317">
            <v>0.23749218190008411</v>
          </cell>
          <cell r="Z317" t="e">
            <v>#N/A</v>
          </cell>
        </row>
        <row r="318">
          <cell r="P318">
            <v>3.14E-3</v>
          </cell>
          <cell r="W318">
            <v>3.522098414179364E-3</v>
          </cell>
          <cell r="X318">
            <v>0.23744939733229856</v>
          </cell>
          <cell r="Y318">
            <v>0.2375179522539452</v>
          </cell>
          <cell r="Z318" t="e">
            <v>#N/A</v>
          </cell>
        </row>
        <row r="319">
          <cell r="P319">
            <v>3.15E-3</v>
          </cell>
          <cell r="W319">
            <v>3.5224663526238677E-3</v>
          </cell>
          <cell r="X319">
            <v>0.2374667599055662</v>
          </cell>
          <cell r="Y319">
            <v>0.23754285345888143</v>
          </cell>
          <cell r="Z319" t="e">
            <v>#N/A</v>
          </cell>
        </row>
        <row r="320">
          <cell r="P320">
            <v>3.16E-3</v>
          </cell>
          <cell r="W320">
            <v>3.5228218276605644E-3</v>
          </cell>
          <cell r="X320">
            <v>0.23748348843806663</v>
          </cell>
          <cell r="Y320">
            <v>0.23756691165652435</v>
          </cell>
          <cell r="Z320" t="e">
            <v>#N/A</v>
          </cell>
        </row>
        <row r="321">
          <cell r="P321">
            <v>3.1700000000000001E-3</v>
          </cell>
          <cell r="W321">
            <v>3.5231652162227151E-3</v>
          </cell>
          <cell r="X321">
            <v>0.23749960381429391</v>
          </cell>
          <cell r="Y321">
            <v>0.23759015232312283</v>
          </cell>
          <cell r="Z321" t="e">
            <v>#N/A</v>
          </cell>
        </row>
        <row r="322">
          <cell r="P322">
            <v>3.1800000000000001E-3</v>
          </cell>
          <cell r="W322">
            <v>3.523496885574164E-3</v>
          </cell>
          <cell r="X322">
            <v>0.23751512632345909</v>
          </cell>
          <cell r="Y322">
            <v>0.23761260028207934</v>
          </cell>
          <cell r="Z322" t="e">
            <v>#N/A</v>
          </cell>
        </row>
        <row r="323">
          <cell r="P323">
            <v>3.1900000000000001E-3</v>
          </cell>
          <cell r="W323">
            <v>3.5238171934942049E-3</v>
          </cell>
          <cell r="X323">
            <v>0.2375300756728497</v>
          </cell>
          <cell r="Y323">
            <v>0.23763427971640741</v>
          </cell>
          <cell r="Z323" t="e">
            <v>#N/A</v>
          </cell>
        </row>
        <row r="324">
          <cell r="P324">
            <v>3.2000000000000002E-3</v>
          </cell>
          <cell r="W324">
            <v>3.5241264884611815E-3</v>
          </cell>
          <cell r="X324">
            <v>0.23754447100102638</v>
          </cell>
          <cell r="Y324">
            <v>0.23765521418110477</v>
          </cell>
          <cell r="Z324" t="e">
            <v>#N/A</v>
          </cell>
        </row>
        <row r="325">
          <cell r="P325">
            <v>3.2100000000000002E-3</v>
          </cell>
          <cell r="W325">
            <v>3.5244251098347371E-3</v>
          </cell>
          <cell r="X325">
            <v>0.23755833089085263</v>
          </cell>
          <cell r="Y325">
            <v>0.23767542661543628</v>
          </cell>
          <cell r="Z325" t="e">
            <v>#N/A</v>
          </cell>
        </row>
        <row r="326">
          <cell r="P326">
            <v>3.2200000000000002E-3</v>
          </cell>
          <cell r="W326">
            <v>3.524713388036638E-3</v>
          </cell>
          <cell r="X326">
            <v>0.23757167338235488</v>
          </cell>
          <cell r="Y326">
            <v>0.23769493935512151</v>
          </cell>
          <cell r="Z326" t="e">
            <v>#N/A</v>
          </cell>
        </row>
        <row r="327">
          <cell r="P327">
            <v>3.2299999999999998E-3</v>
          </cell>
          <cell r="W327">
            <v>3.5249916447300917E-3</v>
          </cell>
          <cell r="X327">
            <v>0.23758451598540978</v>
          </cell>
          <cell r="Y327">
            <v>0.23771377414442196</v>
          </cell>
          <cell r="Z327" t="e">
            <v>#N/A</v>
          </cell>
        </row>
        <row r="328">
          <cell r="P328">
            <v>3.2399999999999998E-3</v>
          </cell>
          <cell r="W328">
            <v>3.5252601929974953E-3</v>
          </cell>
          <cell r="X328">
            <v>0.23759687569225604</v>
          </cell>
          <cell r="Y328">
            <v>0.23773195214812298</v>
          </cell>
          <cell r="Z328" t="e">
            <v>#N/A</v>
          </cell>
        </row>
        <row r="329">
          <cell r="P329">
            <v>3.2499999999999999E-3</v>
          </cell>
          <cell r="W329">
            <v>3.5255193375165451E-3</v>
          </cell>
          <cell r="X329">
            <v>0.23760876898982849</v>
          </cell>
          <cell r="Y329">
            <v>0.23774949396340614</v>
          </cell>
          <cell r="Z329" t="e">
            <v>#N/A</v>
          </cell>
        </row>
        <row r="330">
          <cell r="P330">
            <v>3.2599999999999999E-3</v>
          </cell>
          <cell r="W330">
            <v>3.525769374734645E-3</v>
          </cell>
          <cell r="X330">
            <v>0.23762021187191218</v>
          </cell>
          <cell r="Y330">
            <v>0.23776641963160769</v>
          </cell>
          <cell r="Z330" t="e">
            <v>#N/A</v>
          </cell>
        </row>
        <row r="331">
          <cell r="P331">
            <v>3.2699999999999999E-3</v>
          </cell>
          <cell r="W331">
            <v>3.5260105930415547E-3</v>
          </cell>
          <cell r="X331">
            <v>0.23763121985111454</v>
          </cell>
          <cell r="Y331">
            <v>0.23778274864985907</v>
          </cell>
          <cell r="Z331" t="e">
            <v>#N/A</v>
          </cell>
        </row>
        <row r="332">
          <cell r="P332">
            <v>3.2799999999999999E-3</v>
          </cell>
          <cell r="W332">
            <v>3.5262432729402248E-3</v>
          </cell>
          <cell r="X332">
            <v>0.23764180797065412</v>
          </cell>
          <cell r="Y332">
            <v>0.23779849998260585</v>
          </cell>
          <cell r="Z332" t="e">
            <v>#N/A</v>
          </cell>
        </row>
        <row r="333">
          <cell r="P333">
            <v>3.29E-3</v>
          </cell>
          <cell r="W333">
            <v>3.5264676872157636E-3</v>
          </cell>
          <cell r="X333">
            <v>0.23765199081596425</v>
          </cell>
          <cell r="Y333">
            <v>0.23781369207300154</v>
          </cell>
          <cell r="Z333" t="e">
            <v>#N/A</v>
          </cell>
        </row>
        <row r="334">
          <cell r="P334">
            <v>3.3E-3</v>
          </cell>
          <cell r="W334">
            <v>3.5266841011024935E-3</v>
          </cell>
          <cell r="X334">
            <v>0.23766178252611048</v>
          </cell>
          <cell r="Y334">
            <v>0.23782834285417298</v>
          </cell>
          <cell r="Z334" t="e">
            <v>#N/A</v>
          </cell>
        </row>
        <row r="335">
          <cell r="P335">
            <v>3.31E-3</v>
          </cell>
          <cell r="W335">
            <v>3.5268927724490442E-3</v>
          </cell>
          <cell r="X335">
            <v>0.23767119680502105</v>
          </cell>
          <cell r="Y335">
            <v>0.23784246976035436</v>
          </cell>
          <cell r="Z335" t="e">
            <v>#N/A</v>
          </cell>
        </row>
        <row r="336">
          <cell r="P336">
            <v>3.32E-3</v>
          </cell>
          <cell r="W336">
            <v>3.5270939518814498E-3</v>
          </cell>
          <cell r="X336">
            <v>0.23768024693252909</v>
          </cell>
          <cell r="Y336">
            <v>0.23785608973788702</v>
          </cell>
          <cell r="Z336" t="e">
            <v>#N/A</v>
          </cell>
        </row>
        <row r="337">
          <cell r="P337">
            <v>3.3300000000000001E-3</v>
          </cell>
          <cell r="W337">
            <v>3.5272878829642061E-3</v>
          </cell>
          <cell r="X337">
            <v>0.2376889457752264</v>
          </cell>
          <cell r="Y337">
            <v>0.2378692192560824</v>
          </cell>
          <cell r="Z337" t="e">
            <v>#N/A</v>
          </cell>
        </row>
        <row r="338">
          <cell r="P338">
            <v>3.3400000000000001E-3</v>
          </cell>
          <cell r="W338">
            <v>3.5274748023592564E-3</v>
          </cell>
          <cell r="X338">
            <v>0.23769730579712811</v>
          </cell>
          <cell r="Y338">
            <v>0.23788187431794583</v>
          </cell>
          <cell r="Z338" t="e">
            <v>#N/A</v>
          </cell>
        </row>
        <row r="339">
          <cell r="P339">
            <v>3.3500000000000001E-3</v>
          </cell>
          <cell r="W339">
            <v>3.52765493998287E-3</v>
          </cell>
          <cell r="X339">
            <v>0.23770533907014824</v>
          </cell>
          <cell r="Y339">
            <v>0.23789407047075889</v>
          </cell>
          <cell r="Z339" t="e">
            <v>#N/A</v>
          </cell>
        </row>
        <row r="340">
          <cell r="P340">
            <v>3.3600000000000001E-3</v>
          </cell>
          <cell r="W340">
            <v>3.5278285191603902E-3</v>
          </cell>
          <cell r="X340">
            <v>0.23771305728438585</v>
          </cell>
          <cell r="Y340">
            <v>0.23790582281651848</v>
          </cell>
          <cell r="Z340" t="e">
            <v>#N/A</v>
          </cell>
        </row>
        <row r="341">
          <cell r="P341">
            <v>3.3700000000000002E-3</v>
          </cell>
          <cell r="W341">
            <v>3.5279957567788205E-3</v>
          </cell>
          <cell r="X341">
            <v>0.23772047175822214</v>
          </cell>
          <cell r="Y341">
            <v>0.2379171460222308</v>
          </cell>
          <cell r="Z341" t="e">
            <v>#N/A</v>
          </cell>
        </row>
        <row r="342">
          <cell r="P342">
            <v>3.3800000000000002E-3</v>
          </cell>
          <cell r="W342">
            <v>3.5281568634372281E-3</v>
          </cell>
          <cell r="X342">
            <v>0.23772759344822855</v>
          </cell>
          <cell r="Y342">
            <v>0.2379280543300584</v>
          </cell>
          <cell r="Z342" t="e">
            <v>#N/A</v>
          </cell>
        </row>
        <row r="343">
          <cell r="P343">
            <v>3.3899999999999998E-3</v>
          </cell>
          <cell r="W343">
            <v>3.5283120435949441E-3</v>
          </cell>
          <cell r="X343">
            <v>0.23773443295888655</v>
          </cell>
          <cell r="Y343">
            <v>0.23793856156731941</v>
          </cell>
          <cell r="Z343" t="e">
            <v>#N/A</v>
          </cell>
        </row>
        <row r="344">
          <cell r="P344">
            <v>3.3999999999999998E-3</v>
          </cell>
          <cell r="W344">
            <v>3.5284614957175431E-3</v>
          </cell>
          <cell r="X344">
            <v>0.23774100055211939</v>
          </cell>
          <cell r="Y344">
            <v>0.23794868115633711</v>
          </cell>
          <cell r="Z344" t="e">
            <v>#N/A</v>
          </cell>
        </row>
        <row r="345">
          <cell r="P345">
            <v>3.4099999999999998E-3</v>
          </cell>
          <cell r="W345">
            <v>3.528605412420584E-3</v>
          </cell>
          <cell r="X345">
            <v>0.23774730615663681</v>
          </cell>
          <cell r="Y345">
            <v>0.23795842612413928</v>
          </cell>
          <cell r="Z345" t="e">
            <v>#N/A</v>
          </cell>
        </row>
        <row r="346">
          <cell r="P346">
            <v>3.4199999999999999E-3</v>
          </cell>
          <cell r="W346">
            <v>3.5287439806111023E-3</v>
          </cell>
          <cell r="X346">
            <v>0.23775335937709347</v>
          </cell>
          <cell r="Y346">
            <v>0.23796780911200613</v>
          </cell>
          <cell r="Z346" t="e">
            <v>#N/A</v>
          </cell>
        </row>
        <row r="347">
          <cell r="P347">
            <v>3.4299999999999999E-3</v>
          </cell>
          <cell r="W347">
            <v>3.5288773816268401E-3</v>
          </cell>
          <cell r="X347">
            <v>0.237759169503062</v>
          </cell>
          <cell r="Y347">
            <v>0.23797684238486613</v>
          </cell>
          <cell r="Z347" t="e">
            <v>#N/A</v>
          </cell>
        </row>
        <row r="348">
          <cell r="P348">
            <v>3.4399999999999999E-3</v>
          </cell>
          <cell r="W348">
            <v>3.52900579137321E-3</v>
          </cell>
          <cell r="X348">
            <v>0.23776474551782192</v>
          </cell>
          <cell r="Y348">
            <v>0.23798553784053925</v>
          </cell>
          <cell r="Z348" t="e">
            <v>#N/A</v>
          </cell>
        </row>
        <row r="349">
          <cell r="P349">
            <v>3.4499999999999999E-3</v>
          </cell>
          <cell r="W349">
            <v>3.5291293804579804E-3</v>
          </cell>
          <cell r="X349">
            <v>0.23777009610696545</v>
          </cell>
          <cell r="Y349">
            <v>0.23799390701882711</v>
          </cell>
          <cell r="Z349" t="e">
            <v>#N/A</v>
          </cell>
        </row>
        <row r="350">
          <cell r="P350">
            <v>3.46E-3</v>
          </cell>
          <cell r="W350">
            <v>3.5292483143236856E-3</v>
          </cell>
          <cell r="X350">
            <v>0.23777522966682188</v>
          </cell>
          <cell r="Y350">
            <v>0.23800196111044969</v>
          </cell>
          <cell r="Z350" t="e">
            <v>#N/A</v>
          </cell>
        </row>
        <row r="351">
          <cell r="P351">
            <v>3.47E-3</v>
          </cell>
          <cell r="W351">
            <v>3.5293627533777498E-3</v>
          </cell>
          <cell r="X351">
            <v>0.23778015431270144</v>
          </cell>
          <cell r="Y351">
            <v>0.23800971096582854</v>
          </cell>
          <cell r="Z351" t="e">
            <v>#N/A</v>
          </cell>
        </row>
        <row r="352">
          <cell r="P352">
            <v>3.48E-3</v>
          </cell>
          <cell r="W352">
            <v>3.5294728531203349E-3</v>
          </cell>
          <cell r="X352">
            <v>0.23778487788696076</v>
          </cell>
          <cell r="Y352">
            <v>0.23801716710371645</v>
          </cell>
          <cell r="Z352" t="e">
            <v>#N/A</v>
          </cell>
        </row>
        <row r="353">
          <cell r="P353">
            <v>3.49E-3</v>
          </cell>
          <cell r="W353">
            <v>3.5295787642699045E-3</v>
          </cell>
          <cell r="X353">
            <v>0.23778940796689102</v>
          </cell>
          <cell r="Y353">
            <v>0.23802433971967363</v>
          </cell>
          <cell r="Z353" t="e">
            <v>#N/A</v>
          </cell>
        </row>
        <row r="354">
          <cell r="P354">
            <v>3.5000000000000001E-3</v>
          </cell>
          <cell r="W354">
            <v>3.5296806328865161E-3</v>
          </cell>
          <cell r="X354">
            <v>0.23779375187243085</v>
          </cell>
          <cell r="Y354">
            <v>0.23803123869439061</v>
          </cell>
          <cell r="Z354" t="e">
            <v>#N/A</v>
          </cell>
        </row>
        <row r="355">
          <cell r="P355">
            <v>3.5100000000000001E-3</v>
          </cell>
          <cell r="W355">
            <v>3.5297786004928385E-3</v>
          </cell>
          <cell r="X355">
            <v>0.2377979166737057</v>
          </cell>
          <cell r="Y355">
            <v>0.23803787360185835</v>
          </cell>
          <cell r="Z355" t="e">
            <v>#N/A</v>
          </cell>
        </row>
        <row r="356">
          <cell r="P356">
            <v>3.5200000000000001E-3</v>
          </cell>
          <cell r="W356">
            <v>3.5298728041929092E-3</v>
          </cell>
          <cell r="X356">
            <v>0.23780190919839533</v>
          </cell>
          <cell r="Y356">
            <v>0.23804425371738583</v>
          </cell>
          <cell r="Z356" t="e">
            <v>#N/A</v>
          </cell>
        </row>
        <row r="357">
          <cell r="P357">
            <v>3.5300000000000002E-3</v>
          </cell>
          <cell r="W357">
            <v>3.5299633767886351E-3</v>
          </cell>
          <cell r="X357">
            <v>0.23780573603893163</v>
          </cell>
          <cell r="Y357">
            <v>0.23805038802546574</v>
          </cell>
          <cell r="Z357" t="e">
            <v>#N/A</v>
          </cell>
        </row>
        <row r="358">
          <cell r="P358">
            <v>3.5400000000000002E-3</v>
          </cell>
          <cell r="W358">
            <v>3.5300504468940481E-3</v>
          </cell>
          <cell r="X358">
            <v>0.23780940355952865</v>
          </cell>
          <cell r="Y358">
            <v>0.23805628522748903</v>
          </cell>
          <cell r="Z358" t="e">
            <v>#N/A</v>
          </cell>
        </row>
        <row r="359">
          <cell r="P359">
            <v>3.5500000000000002E-3</v>
          </cell>
          <cell r="W359">
            <v>3.5301341390473282E-3</v>
          </cell>
          <cell r="X359">
            <v>0.23781291790304684</v>
          </cell>
          <cell r="Y359">
            <v>0.23806195374930897</v>
          </cell>
          <cell r="Z359" t="e">
            <v>#N/A</v>
          </cell>
        </row>
        <row r="360">
          <cell r="P360">
            <v>3.5599999999999998E-3</v>
          </cell>
          <cell r="W360">
            <v>3.5302145738206054E-3</v>
          </cell>
          <cell r="X360">
            <v>0.23781628499769378</v>
          </cell>
          <cell r="Y360">
            <v>0.23806740174865554</v>
          </cell>
          <cell r="Z360" t="e">
            <v>#N/A</v>
          </cell>
        </row>
        <row r="361">
          <cell r="P361">
            <v>3.5699999999999998E-3</v>
          </cell>
          <cell r="W361">
            <v>3.530291867927555E-3</v>
          </cell>
          <cell r="X361">
            <v>0.23781951056356321</v>
          </cell>
          <cell r="Y361">
            <v>0.23807263712240123</v>
          </cell>
          <cell r="Z361" t="e">
            <v>#N/A</v>
          </cell>
        </row>
        <row r="362">
          <cell r="P362">
            <v>3.5799999999999998E-3</v>
          </cell>
          <cell r="W362">
            <v>3.5303661343288016E-3</v>
          </cell>
          <cell r="X362">
            <v>0.23782260011901513</v>
          </cell>
          <cell r="Y362">
            <v>0.23807766751367912</v>
          </cell>
          <cell r="Z362" t="e">
            <v>#N/A</v>
          </cell>
        </row>
        <row r="363">
          <cell r="P363">
            <v>3.5899999999999999E-3</v>
          </cell>
          <cell r="W363">
            <v>3.5304374823351492E-3</v>
          </cell>
          <cell r="X363">
            <v>0.23782555898689872</v>
          </cell>
          <cell r="Y363">
            <v>0.2380825003188545</v>
          </cell>
          <cell r="Z363" t="e">
            <v>#N/A</v>
          </cell>
        </row>
        <row r="364">
          <cell r="P364">
            <v>3.5999999999999999E-3</v>
          </cell>
          <cell r="W364">
            <v>3.5305060177086545E-3</v>
          </cell>
          <cell r="X364">
            <v>0.23782839230062061</v>
          </cell>
          <cell r="Y364">
            <v>0.23808714269435097</v>
          </cell>
          <cell r="Z364" t="e">
            <v>#N/A</v>
          </cell>
        </row>
        <row r="365">
          <cell r="P365">
            <v>3.6099999999999999E-3</v>
          </cell>
          <cell r="W365">
            <v>3.5305718427615603E-3</v>
          </cell>
          <cell r="X365">
            <v>0.23783110501006072</v>
          </cell>
          <cell r="Y365">
            <v>0.23809160156333259</v>
          </cell>
          <cell r="Z365" t="e">
            <v>#N/A</v>
          </cell>
        </row>
        <row r="366">
          <cell r="P366">
            <v>3.62E-3</v>
          </cell>
          <cell r="W366">
            <v>3.5306350564531129E-3</v>
          </cell>
          <cell r="X366">
            <v>0.23783370188733813</v>
          </cell>
          <cell r="Y366">
            <v>0.2380958836222431</v>
          </cell>
          <cell r="Z366" t="e">
            <v>#N/A</v>
          </cell>
        </row>
        <row r="367">
          <cell r="P367">
            <v>3.63E-3</v>
          </cell>
          <cell r="W367">
            <v>3.5306957544842788E-3</v>
          </cell>
          <cell r="X367">
            <v>0.2378361875324293</v>
          </cell>
          <cell r="Y367">
            <v>0.23809999534720372</v>
          </cell>
          <cell r="Z367" t="e">
            <v>#N/A</v>
          </cell>
        </row>
        <row r="368">
          <cell r="P368">
            <v>3.64E-3</v>
          </cell>
          <cell r="W368">
            <v>3.5307540293903861E-3</v>
          </cell>
          <cell r="X368">
            <v>0.23783856637864112</v>
          </cell>
          <cell r="Y368">
            <v>0.23810394300027099</v>
          </cell>
          <cell r="Z368" t="e">
            <v>#N/A</v>
          </cell>
        </row>
        <row r="369">
          <cell r="P369">
            <v>3.65E-3</v>
          </cell>
          <cell r="W369">
            <v>3.5308099706317124E-3</v>
          </cell>
          <cell r="X369">
            <v>0.23784084269794101</v>
          </cell>
          <cell r="Y369">
            <v>0.23810773263555604</v>
          </cell>
          <cell r="Z369" t="e">
            <v>#N/A</v>
          </cell>
        </row>
        <row r="370">
          <cell r="P370">
            <v>3.6600000000000001E-3</v>
          </cell>
          <cell r="W370">
            <v>3.530863664682039E-3</v>
          </cell>
          <cell r="X370">
            <v>0.23784302060614673</v>
          </cell>
          <cell r="Y370">
            <v>0.23811137010520692</v>
          </cell>
          <cell r="Z370" t="e">
            <v>#N/A</v>
          </cell>
        </row>
        <row r="371">
          <cell r="P371">
            <v>3.6700000000000001E-3</v>
          </cell>
          <cell r="W371">
            <v>3.5309151951151995E-3</v>
          </cell>
          <cell r="X371">
            <v>0.23784510406797832</v>
          </cell>
          <cell r="Y371">
            <v>0.23811486106525545</v>
          </cell>
          <cell r="Z371" t="e">
            <v>#N/A</v>
          </cell>
        </row>
        <row r="372">
          <cell r="P372">
            <v>3.6800000000000001E-3</v>
          </cell>
          <cell r="W372">
            <v>3.5309646426896443E-3</v>
          </cell>
          <cell r="X372">
            <v>0.23784709690197448</v>
          </cell>
          <cell r="Y372">
            <v>0.23811821098133049</v>
          </cell>
          <cell r="Z372" t="e">
            <v>#N/A</v>
          </cell>
        </row>
        <row r="373">
          <cell r="P373">
            <v>3.6900000000000001E-3</v>
          </cell>
          <cell r="W373">
            <v>3.531012085431046E-3</v>
          </cell>
          <cell r="X373">
            <v>0.2378490027852761</v>
          </cell>
          <cell r="Y373">
            <v>0.23812142513423895</v>
          </cell>
          <cell r="Z373" t="e">
            <v>#N/A</v>
          </cell>
        </row>
        <row r="374">
          <cell r="P374">
            <v>3.7000000000000002E-3</v>
          </cell>
          <cell r="W374">
            <v>3.5310575987129726E-3</v>
          </cell>
          <cell r="X374">
            <v>0.23785082525827916</v>
          </cell>
          <cell r="Y374">
            <v>0.23812450862541654</v>
          </cell>
          <cell r="Z374" t="e">
            <v>#N/A</v>
          </cell>
        </row>
        <row r="375">
          <cell r="P375">
            <v>3.7100000000000002E-3</v>
          </cell>
          <cell r="W375">
            <v>3.5311012553356537E-3</v>
          </cell>
          <cell r="X375">
            <v>0.23785256772915966</v>
          </cell>
          <cell r="Y375">
            <v>0.23812746638224974</v>
          </cell>
          <cell r="Z375" t="e">
            <v>#N/A</v>
          </cell>
        </row>
        <row r="376">
          <cell r="P376">
            <v>3.7200000000000002E-3</v>
          </cell>
          <cell r="W376">
            <v>3.5311431256028654E-3</v>
          </cell>
          <cell r="X376">
            <v>0.23785423347827303</v>
          </cell>
          <cell r="Y376">
            <v>0.23813030316327105</v>
          </cell>
          <cell r="Z376" t="e">
            <v>#N/A</v>
          </cell>
        </row>
        <row r="377">
          <cell r="P377">
            <v>3.7299999999999998E-3</v>
          </cell>
          <cell r="W377">
            <v>3.5311832773969624E-3</v>
          </cell>
          <cell r="X377">
            <v>0.23785582566243038</v>
          </cell>
          <cell r="Y377">
            <v>0.23813302356322916</v>
          </cell>
          <cell r="Z377" t="e">
            <v>#N/A</v>
          </cell>
        </row>
        <row r="378">
          <cell r="P378">
            <v>3.7399999999999998E-3</v>
          </cell>
          <cell r="W378">
            <v>3.5312217762520823E-3</v>
          </cell>
          <cell r="X378">
            <v>0.23785734731905417</v>
          </cell>
          <cell r="Y378">
            <v>0.23813563201803575</v>
          </cell>
          <cell r="Z378" t="e">
            <v>#N/A</v>
          </cell>
        </row>
        <row r="379">
          <cell r="P379">
            <v>3.7499999999999999E-3</v>
          </cell>
          <cell r="W379">
            <v>3.5312586854255525E-3</v>
          </cell>
          <cell r="X379">
            <v>0.23785880137021576</v>
          </cell>
          <cell r="Y379">
            <v>0.23813813280959112</v>
          </cell>
          <cell r="Z379" t="e">
            <v>#N/A</v>
          </cell>
        </row>
        <row r="380">
          <cell r="P380">
            <v>3.7599999999999999E-3</v>
          </cell>
          <cell r="W380">
            <v>3.5312940659675239E-3</v>
          </cell>
          <cell r="X380">
            <v>0.23786019062655719</v>
          </cell>
          <cell r="Y380">
            <v>0.2381405300704901</v>
          </cell>
          <cell r="Z380" t="e">
            <v>#N/A</v>
          </cell>
        </row>
        <row r="381">
          <cell r="P381">
            <v>3.7699999999999999E-3</v>
          </cell>
          <cell r="W381">
            <v>3.5313279767888637E-3</v>
          </cell>
          <cell r="X381">
            <v>0.23786151779109979</v>
          </cell>
          <cell r="Y381">
            <v>0.23814282778861046</v>
          </cell>
          <cell r="Z381" t="e">
            <v>#N/A</v>
          </cell>
        </row>
        <row r="382">
          <cell r="P382">
            <v>3.7799999999999999E-3</v>
          </cell>
          <cell r="W382">
            <v>3.5313604747273311E-3</v>
          </cell>
          <cell r="X382">
            <v>0.23786278546294176</v>
          </cell>
          <cell r="Y382">
            <v>0.2381450298115855</v>
          </cell>
          <cell r="Z382" t="e">
            <v>#N/A</v>
          </cell>
        </row>
        <row r="383">
          <cell r="P383">
            <v>3.79E-3</v>
          </cell>
          <cell r="W383">
            <v>3.5313916146120679E-3</v>
          </cell>
          <cell r="X383">
            <v>0.23786399614084749</v>
          </cell>
          <cell r="Y383">
            <v>0.23814713985116295</v>
          </cell>
          <cell r="Z383" t="e">
            <v>#N/A</v>
          </cell>
        </row>
        <row r="384">
          <cell r="P384">
            <v>3.8E-3</v>
          </cell>
          <cell r="W384">
            <v>3.5314214493264305E-3</v>
          </cell>
          <cell r="X384">
            <v>0.2378651522267308</v>
          </cell>
          <cell r="Y384">
            <v>0.23814916148745185</v>
          </cell>
          <cell r="Z384" t="e">
            <v>#N/A</v>
          </cell>
        </row>
        <row r="385">
          <cell r="P385">
            <v>3.81E-3</v>
          </cell>
          <cell r="W385">
            <v>3.5314500298691937E-3</v>
          </cell>
          <cell r="X385">
            <v>0.23786625602903436</v>
          </cell>
          <cell r="Y385">
            <v>0.23815109817305949</v>
          </cell>
          <cell r="Z385" t="e">
            <v>#N/A</v>
          </cell>
        </row>
        <row r="386">
          <cell r="P386">
            <v>3.82E-3</v>
          </cell>
          <cell r="W386">
            <v>3.5314774054141531E-3</v>
          </cell>
          <cell r="X386">
            <v>0.23786730976600792</v>
          </cell>
          <cell r="Y386">
            <v>0.23815295323712032</v>
          </cell>
          <cell r="Z386" t="e">
            <v>#N/A</v>
          </cell>
        </row>
        <row r="387">
          <cell r="P387">
            <v>3.8300000000000001E-3</v>
          </cell>
          <cell r="W387">
            <v>3.5315036233681558E-3</v>
          </cell>
          <cell r="X387">
            <v>0.23786831556888752</v>
          </cell>
          <cell r="Y387">
            <v>0.2381547298892189</v>
          </cell>
          <cell r="Z387" t="e">
            <v>#N/A</v>
          </cell>
        </row>
        <row r="388">
          <cell r="P388">
            <v>3.8400000000000001E-3</v>
          </cell>
          <cell r="W388">
            <v>3.531528729427589E-3</v>
          </cell>
          <cell r="X388">
            <v>0.23786927548497791</v>
          </cell>
          <cell r="Y388">
            <v>0.23815643122320845</v>
          </cell>
          <cell r="Z388" t="e">
            <v>#N/A</v>
          </cell>
        </row>
        <row r="389">
          <cell r="P389">
            <v>3.8500000000000001E-3</v>
          </cell>
          <cell r="W389">
            <v>3.5315527676333552E-3</v>
          </cell>
          <cell r="X389">
            <v>0.23787019148064065</v>
          </cell>
          <cell r="Y389">
            <v>0.23815806022092745</v>
          </cell>
          <cell r="Z389" t="e">
            <v>#N/A</v>
          </cell>
        </row>
        <row r="390">
          <cell r="P390">
            <v>3.8600000000000001E-3</v>
          </cell>
          <cell r="W390">
            <v>3.5315757804243596E-3</v>
          </cell>
          <cell r="X390">
            <v>0.23787106544418998</v>
          </cell>
          <cell r="Y390">
            <v>0.23815961975581573</v>
          </cell>
          <cell r="Z390" t="e">
            <v>#N/A</v>
          </cell>
        </row>
        <row r="391">
          <cell r="P391">
            <v>3.8700000000000002E-3</v>
          </cell>
          <cell r="W391">
            <v>3.5315978086895451E-3</v>
          </cell>
          <cell r="X391">
            <v>0.2378718991886988</v>
          </cell>
          <cell r="Y391">
            <v>0.23816111259643241</v>
          </cell>
          <cell r="Z391" t="e">
            <v>#N/A</v>
          </cell>
        </row>
        <row r="392">
          <cell r="P392">
            <v>3.8800000000000002E-3</v>
          </cell>
          <cell r="W392">
            <v>3.5316188918184943E-3</v>
          </cell>
          <cell r="X392">
            <v>0.23787269445471693</v>
          </cell>
          <cell r="Y392">
            <v>0.23816254140987733</v>
          </cell>
          <cell r="Z392" t="e">
            <v>#N/A</v>
          </cell>
        </row>
        <row r="393">
          <cell r="P393">
            <v>3.8899999999999998E-3</v>
          </cell>
          <cell r="W393">
            <v>3.531639067750638E-3</v>
          </cell>
          <cell r="X393">
            <v>0.23787345291290365</v>
          </cell>
          <cell r="Y393">
            <v>0.23816390876511798</v>
          </cell>
          <cell r="Z393" t="e">
            <v>#N/A</v>
          </cell>
        </row>
        <row r="394">
          <cell r="P394">
            <v>3.8999999999999998E-3</v>
          </cell>
          <cell r="W394">
            <v>3.5316583730230881E-3</v>
          </cell>
          <cell r="X394">
            <v>0.23787417616657711</v>
          </cell>
          <cell r="Y394">
            <v>0.23816521713622385</v>
          </cell>
          <cell r="Z394" t="e">
            <v>#N/A</v>
          </cell>
        </row>
        <row r="395">
          <cell r="P395">
            <v>3.9100000000000003E-3</v>
          </cell>
          <cell r="W395">
            <v>3.5316768428171291E-3</v>
          </cell>
          <cell r="X395">
            <v>0.2378748657541821</v>
          </cell>
          <cell r="Y395">
            <v>0.23816646890551027</v>
          </cell>
          <cell r="Z395" t="e">
            <v>#N/A</v>
          </cell>
        </row>
        <row r="396">
          <cell r="P396">
            <v>3.9199999999999999E-3</v>
          </cell>
          <cell r="W396">
            <v>3.5316945110033969E-3</v>
          </cell>
          <cell r="X396">
            <v>0.23787552315167887</v>
          </cell>
          <cell r="Y396">
            <v>0.23816766636659312</v>
          </cell>
          <cell r="Z396" t="e">
            <v>#N/A</v>
          </cell>
        </row>
        <row r="397">
          <cell r="P397">
            <v>3.9300000000000003E-3</v>
          </cell>
          <cell r="W397">
            <v>3.5317114101857676E-3</v>
          </cell>
          <cell r="X397">
            <v>0.23787614977485466</v>
          </cell>
          <cell r="Y397">
            <v>0.23816881172735696</v>
          </cell>
          <cell r="Z397" t="e">
            <v>#N/A</v>
          </cell>
        </row>
        <row r="398">
          <cell r="P398">
            <v>3.9399999999999999E-3</v>
          </cell>
          <cell r="W398">
            <v>3.5317275717439895E-3</v>
          </cell>
          <cell r="X398">
            <v>0.23787674698156</v>
          </cell>
          <cell r="Y398">
            <v>0.23816990711283798</v>
          </cell>
          <cell r="Z398" t="e">
            <v>#N/A</v>
          </cell>
        </row>
        <row r="399">
          <cell r="P399">
            <v>3.9500000000000004E-3</v>
          </cell>
          <cell r="W399">
            <v>3.5317430258750837E-3</v>
          </cell>
          <cell r="X399">
            <v>0.237877316073872</v>
          </cell>
          <cell r="Y399">
            <v>0.23817095456802367</v>
          </cell>
          <cell r="Z399" t="e">
            <v>#N/A</v>
          </cell>
        </row>
        <row r="400">
          <cell r="P400">
            <v>3.96E-3</v>
          </cell>
          <cell r="W400">
            <v>3.5317578016335373E-3</v>
          </cell>
          <cell r="X400">
            <v>0.23787785830018632</v>
          </cell>
          <cell r="Y400">
            <v>0.23817195606057132</v>
          </cell>
          <cell r="Z400" t="e">
            <v>#N/A</v>
          </cell>
        </row>
        <row r="401">
          <cell r="P401">
            <v>3.9699999999999996E-3</v>
          </cell>
          <cell r="W401">
            <v>3.5317719269703225E-3</v>
          </cell>
          <cell r="X401">
            <v>0.23787837485723987</v>
          </cell>
          <cell r="Y401">
            <v>0.23817291348344677</v>
          </cell>
          <cell r="Z401" t="e">
            <v>#N/A</v>
          </cell>
        </row>
        <row r="402">
          <cell r="P402">
            <v>3.98E-3</v>
          </cell>
          <cell r="W402">
            <v>3.5317854287707628E-3</v>
          </cell>
          <cell r="X402">
            <v>0.23787886689206611</v>
          </cell>
          <cell r="Y402">
            <v>0.23817382865748551</v>
          </cell>
          <cell r="Z402" t="e">
            <v>#N/A</v>
          </cell>
        </row>
        <row r="403">
          <cell r="P403">
            <v>3.9899999999999996E-3</v>
          </cell>
          <cell r="W403">
            <v>3.5317983328912754E-3</v>
          </cell>
          <cell r="X403">
            <v>0.23787933550388482</v>
          </cell>
          <cell r="Y403">
            <v>0.23817470333387789</v>
          </cell>
          <cell r="Z403" t="e">
            <v>#N/A</v>
          </cell>
        </row>
        <row r="404">
          <cell r="P404">
            <v>4.0000000000000001E-3</v>
          </cell>
          <cell r="W404">
            <v>3.5318106641950139E-3</v>
          </cell>
          <cell r="X404">
            <v>0.23787978174592805</v>
          </cell>
          <cell r="Y404">
            <v>0.23817553919657991</v>
          </cell>
          <cell r="Z404" t="e">
            <v>#N/A</v>
          </cell>
        </row>
        <row r="405">
          <cell r="P405">
            <v>4.0099999999999997E-3</v>
          </cell>
          <cell r="W405">
            <v>3.5318224465864414E-3</v>
          </cell>
          <cell r="X405">
            <v>0.2378802066272043</v>
          </cell>
          <cell r="Y405">
            <v>0.23817633786465175</v>
          </cell>
          <cell r="Z405" t="e">
            <v>#N/A</v>
          </cell>
        </row>
        <row r="406">
          <cell r="P406">
            <v>4.0200000000000001E-3</v>
          </cell>
          <cell r="W406">
            <v>3.531833703044854E-3</v>
          </cell>
          <cell r="X406">
            <v>0.23788061111420228</v>
          </cell>
          <cell r="Y406">
            <v>0.23817710089452543</v>
          </cell>
          <cell r="Z406" t="e">
            <v>#N/A</v>
          </cell>
        </row>
        <row r="407">
          <cell r="P407">
            <v>4.0299999999999997E-3</v>
          </cell>
          <cell r="W407">
            <v>3.5318444556568813E-3</v>
          </cell>
          <cell r="X407">
            <v>0.23788099613253638</v>
          </cell>
          <cell r="Y407">
            <v>0.23817782978220337</v>
          </cell>
          <cell r="Z407" t="e">
            <v>#N/A</v>
          </cell>
        </row>
        <row r="408">
          <cell r="P408">
            <v>4.0400000000000002E-3</v>
          </cell>
          <cell r="W408">
            <v>3.5318547256479936E-3</v>
          </cell>
          <cell r="X408">
            <v>0.23788136256853526</v>
          </cell>
          <cell r="Y408">
            <v>0.23817852596538971</v>
          </cell>
          <cell r="Z408" t="e">
            <v>#N/A</v>
          </cell>
        </row>
        <row r="409">
          <cell r="P409">
            <v>4.0499999999999998E-3</v>
          </cell>
          <cell r="W409">
            <v>3.5318645334130334E-3</v>
          </cell>
          <cell r="X409">
            <v>0.23788171127077529</v>
          </cell>
          <cell r="Y409">
            <v>0.23817919082555583</v>
          </cell>
          <cell r="Z409" t="e">
            <v>#N/A</v>
          </cell>
        </row>
        <row r="410">
          <cell r="P410">
            <v>4.0600000000000002E-3</v>
          </cell>
          <cell r="W410">
            <v>3.5318738985457994E-3</v>
          </cell>
          <cell r="X410">
            <v>0.23788204305156049</v>
          </cell>
          <cell r="Y410">
            <v>0.23817982568994167</v>
          </cell>
          <cell r="Z410" t="e">
            <v>#N/A</v>
          </cell>
        </row>
        <row r="411">
          <cell r="P411">
            <v>4.0699999999999998E-3</v>
          </cell>
          <cell r="W411">
            <v>3.531882839867705E-3</v>
          </cell>
          <cell r="X411">
            <v>0.23788235868835056</v>
          </cell>
          <cell r="Y411">
            <v>0.23818043183349474</v>
          </cell>
          <cell r="Z411" t="e">
            <v>#N/A</v>
          </cell>
        </row>
        <row r="412">
          <cell r="P412">
            <v>4.0800000000000003E-3</v>
          </cell>
          <cell r="W412">
            <v>3.5318913754555366E-3</v>
          </cell>
          <cell r="X412">
            <v>0.23788265892513835</v>
          </cell>
          <cell r="Y412">
            <v>0.23818101048074805</v>
          </cell>
          <cell r="Z412" t="e">
            <v>#N/A</v>
          </cell>
        </row>
        <row r="413">
          <cell r="P413">
            <v>4.0899999999999999E-3</v>
          </cell>
          <cell r="W413">
            <v>3.5318995226683329E-3</v>
          </cell>
          <cell r="X413">
            <v>0.2378829444737787</v>
          </cell>
          <cell r="Y413">
            <v>0.23818156280763877</v>
          </cell>
          <cell r="Z413" t="e">
            <v>#N/A</v>
          </cell>
        </row>
        <row r="414">
          <cell r="P414">
            <v>4.1000000000000003E-3</v>
          </cell>
          <cell r="W414">
            <v>3.5319072981734091E-3</v>
          </cell>
          <cell r="X414">
            <v>0.2378832160152696</v>
          </cell>
          <cell r="Y414">
            <v>0.238182089943269</v>
          </cell>
          <cell r="Z414" t="e">
            <v>#N/A</v>
          </cell>
        </row>
        <row r="415">
          <cell r="P415">
            <v>4.1099999999999999E-3</v>
          </cell>
          <cell r="W415">
            <v>3.5319147179715474E-3</v>
          </cell>
          <cell r="X415">
            <v>0.2378834742009876</v>
          </cell>
          <cell r="Y415">
            <v>0.23818259297161026</v>
          </cell>
          <cell r="Z415" t="e">
            <v>#N/A</v>
          </cell>
        </row>
        <row r="416">
          <cell r="P416">
            <v>4.1200000000000004E-3</v>
          </cell>
          <cell r="W416">
            <v>3.5319217974213771E-3</v>
          </cell>
          <cell r="X416">
            <v>0.2378837196538785</v>
          </cell>
          <cell r="Y416">
            <v>0.23818307293315316</v>
          </cell>
          <cell r="Z416" t="e">
            <v>#N/A</v>
          </cell>
        </row>
        <row r="417">
          <cell r="P417">
            <v>4.13E-3</v>
          </cell>
          <cell r="W417">
            <v>3.5319285512629629E-3</v>
          </cell>
          <cell r="X417">
            <v>0.23788395296960507</v>
          </cell>
          <cell r="Y417">
            <v>0.23818353082650359</v>
          </cell>
          <cell r="Z417" t="e">
            <v>#N/A</v>
          </cell>
        </row>
        <row r="418">
          <cell r="P418">
            <v>4.1399999999999996E-3</v>
          </cell>
          <cell r="W418">
            <v>3.5319349936406268E-3</v>
          </cell>
          <cell r="X418">
            <v>0.23788417471765269</v>
          </cell>
          <cell r="Y418">
            <v>0.23818396760992699</v>
          </cell>
          <cell r="Z418" t="e">
            <v>#N/A</v>
          </cell>
        </row>
        <row r="419">
          <cell r="P419">
            <v>4.15E-3</v>
          </cell>
          <cell r="W419">
            <v>3.5319411381250221E-3</v>
          </cell>
          <cell r="X419">
            <v>0.23788438544239474</v>
          </cell>
          <cell r="Y419">
            <v>0.23818438420284213</v>
          </cell>
          <cell r="Z419" t="e">
            <v>#N/A</v>
          </cell>
        </row>
        <row r="420">
          <cell r="P420">
            <v>4.1599999999999996E-3</v>
          </cell>
          <cell r="W420">
            <v>3.5319469977344777E-3</v>
          </cell>
          <cell r="X420">
            <v>0.2378845856641186</v>
          </cell>
          <cell r="Y420">
            <v>0.23818478148726566</v>
          </cell>
          <cell r="Z420" t="e">
            <v>#N/A</v>
          </cell>
        </row>
        <row r="421">
          <cell r="P421">
            <v>4.1700000000000001E-3</v>
          </cell>
          <cell r="W421">
            <v>3.5319525849556387E-3</v>
          </cell>
          <cell r="X421">
            <v>0.23788477588001372</v>
          </cell>
          <cell r="Y421">
            <v>0.23818516030920878</v>
          </cell>
          <cell r="Z421" t="e">
            <v>#N/A</v>
          </cell>
        </row>
        <row r="422">
          <cell r="P422">
            <v>4.1799999999999997E-3</v>
          </cell>
          <cell r="W422">
            <v>3.5319579117634166E-3</v>
          </cell>
          <cell r="X422">
            <v>0.23788495656512298</v>
          </cell>
          <cell r="Y422">
            <v>0.23818552148002753</v>
          </cell>
          <cell r="Z422" t="e">
            <v>#N/A</v>
          </cell>
        </row>
        <row r="423">
          <cell r="P423">
            <v>4.1900000000000001E-3</v>
          </cell>
          <cell r="W423">
            <v>3.5319629896402712E-3</v>
          </cell>
          <cell r="X423">
            <v>0.23788512817325844</v>
          </cell>
          <cell r="Y423">
            <v>0.2381858657777278</v>
          </cell>
          <cell r="Z423" t="e">
            <v>#N/A</v>
          </cell>
        </row>
        <row r="424">
          <cell r="P424">
            <v>4.1999999999999997E-3</v>
          </cell>
          <cell r="W424">
            <v>3.5319678295948451E-3</v>
          </cell>
          <cell r="X424">
            <v>0.23788529113788268</v>
          </cell>
          <cell r="Y424">
            <v>0.23818619394822649</v>
          </cell>
          <cell r="Z424" t="e">
            <v>#N/A</v>
          </cell>
        </row>
        <row r="425">
          <cell r="P425">
            <v>4.2100000000000002E-3</v>
          </cell>
          <cell r="W425">
            <v>3.5319724421799649E-3</v>
          </cell>
          <cell r="X425">
            <v>0.2378854458729569</v>
          </cell>
          <cell r="Y425">
            <v>0.23818650670656988</v>
          </cell>
          <cell r="Z425" t="e">
            <v>#N/A</v>
          </cell>
        </row>
        <row r="426">
          <cell r="P426">
            <v>4.2199999999999998E-3</v>
          </cell>
          <cell r="W426">
            <v>3.531976837510031E-3</v>
          </cell>
          <cell r="X426">
            <v>0.2378855927737569</v>
          </cell>
          <cell r="Y426">
            <v>0.23818680473811066</v>
          </cell>
          <cell r="Z426" t="e">
            <v>#N/A</v>
          </cell>
        </row>
        <row r="427">
          <cell r="P427">
            <v>4.2300000000000003E-3</v>
          </cell>
          <cell r="W427">
            <v>3.5319810252778102E-3</v>
          </cell>
          <cell r="X427">
            <v>0.2378857322176578</v>
          </cell>
          <cell r="Y427">
            <v>0.23818708869964469</v>
          </cell>
          <cell r="Z427" t="e">
            <v>#N/A</v>
          </cell>
        </row>
        <row r="428">
          <cell r="P428">
            <v>4.2399999999999998E-3</v>
          </cell>
          <cell r="W428">
            <v>3.531985014770654E-3</v>
          </cell>
          <cell r="X428">
            <v>0.23788586456488883</v>
          </cell>
          <cell r="Y428">
            <v>0.23818735922050863</v>
          </cell>
          <cell r="Z428" t="e">
            <v>#N/A</v>
          </cell>
        </row>
        <row r="429">
          <cell r="P429">
            <v>4.2500000000000003E-3</v>
          </cell>
          <cell r="W429">
            <v>3.5319888148861518E-3</v>
          </cell>
          <cell r="X429">
            <v>0.23788599015925904</v>
          </cell>
          <cell r="Y429">
            <v>0.23818761690363963</v>
          </cell>
          <cell r="Z429" t="e">
            <v>#N/A</v>
          </cell>
        </row>
        <row r="430">
          <cell r="P430">
            <v>4.2599999999999999E-3</v>
          </cell>
          <cell r="W430">
            <v>3.5319924341472441E-3</v>
          </cell>
          <cell r="X430">
            <v>0.23788610932885487</v>
          </cell>
          <cell r="Y430">
            <v>0.23818786232659836</v>
          </cell>
          <cell r="Z430" t="e">
            <v>#N/A</v>
          </cell>
        </row>
        <row r="431">
          <cell r="P431">
            <v>4.2700000000000004E-3</v>
          </cell>
          <cell r="W431">
            <v>3.5319958807168038E-3</v>
          </cell>
          <cell r="X431">
            <v>0.23788622238671078</v>
          </cell>
          <cell r="Y431">
            <v>0.23818809604255611</v>
          </cell>
          <cell r="Z431" t="e">
            <v>#N/A</v>
          </cell>
        </row>
        <row r="432">
          <cell r="P432">
            <v>4.28E-3</v>
          </cell>
          <cell r="W432">
            <v>3.5319991624117074E-3</v>
          </cell>
          <cell r="X432">
            <v>0.23788632963145356</v>
          </cell>
          <cell r="Y432">
            <v>0.23818831858124742</v>
          </cell>
          <cell r="Z432" t="e">
            <v>#N/A</v>
          </cell>
        </row>
        <row r="433">
          <cell r="P433">
            <v>4.2900000000000004E-3</v>
          </cell>
          <cell r="W433">
            <v>3.5320022867164108E-3</v>
          </cell>
          <cell r="X433">
            <v>0.23788643134792142</v>
          </cell>
          <cell r="Y433">
            <v>0.23818853044988897</v>
          </cell>
          <cell r="Z433" t="e">
            <v>#N/A</v>
          </cell>
        </row>
        <row r="434">
          <cell r="P434">
            <v>4.3E-3</v>
          </cell>
          <cell r="W434">
            <v>3.5320052607960401E-3</v>
          </cell>
          <cell r="X434">
            <v>0.23788652780775865</v>
          </cell>
          <cell r="Y434">
            <v>0.23818873213406602</v>
          </cell>
          <cell r="Z434" t="e">
            <v>#N/A</v>
          </cell>
        </row>
        <row r="435">
          <cell r="P435">
            <v>4.3099999999999996E-3</v>
          </cell>
          <cell r="W435">
            <v>3.5320080915090188E-3</v>
          </cell>
          <cell r="X435">
            <v>0.23788661926998686</v>
          </cell>
          <cell r="Y435">
            <v>0.23818892409858725</v>
          </cell>
          <cell r="Z435" t="e">
            <v>#N/A</v>
          </cell>
        </row>
        <row r="436">
          <cell r="P436">
            <v>4.3200000000000001E-3</v>
          </cell>
          <cell r="W436">
            <v>3.5320107854192413E-3</v>
          </cell>
          <cell r="X436">
            <v>0.23788670598155337</v>
          </cell>
          <cell r="Y436">
            <v>0.2381891067883089</v>
          </cell>
          <cell r="Z436" t="e">
            <v>#N/A</v>
          </cell>
        </row>
        <row r="437">
          <cell r="P437">
            <v>4.3299999999999996E-3</v>
          </cell>
          <cell r="W437">
            <v>3.5320133488078082E-3</v>
          </cell>
          <cell r="X437">
            <v>0.23788678817785786</v>
          </cell>
          <cell r="Y437">
            <v>0.23818928062892947</v>
          </cell>
          <cell r="Z437" t="e">
            <v>#N/A</v>
          </cell>
        </row>
        <row r="438">
          <cell r="P438">
            <v>4.3400000000000001E-3</v>
          </cell>
          <cell r="W438">
            <v>3.5320157876843374E-3</v>
          </cell>
          <cell r="X438">
            <v>0.23788686608325765</v>
          </cell>
          <cell r="Y438">
            <v>0.23818944602775544</v>
          </cell>
          <cell r="Z438" t="e">
            <v>#N/A</v>
          </cell>
        </row>
        <row r="439">
          <cell r="P439">
            <v>4.3499999999999997E-3</v>
          </cell>
          <cell r="W439">
            <v>3.5320181077978649E-3</v>
          </cell>
          <cell r="X439">
            <v>0.23788693991155294</v>
          </cell>
          <cell r="Y439">
            <v>0.2381896033744394</v>
          </cell>
          <cell r="Z439" t="e">
            <v>#N/A</v>
          </cell>
        </row>
        <row r="440">
          <cell r="P440">
            <v>4.3600000000000002E-3</v>
          </cell>
          <cell r="W440">
            <v>3.5320203146473454E-3</v>
          </cell>
          <cell r="X440">
            <v>0.23788700986645211</v>
          </cell>
          <cell r="Y440">
            <v>0.2381897530416911</v>
          </cell>
          <cell r="Z440" t="e">
            <v>#N/A</v>
          </cell>
        </row>
        <row r="441">
          <cell r="P441">
            <v>4.3699999999999998E-3</v>
          </cell>
          <cell r="W441">
            <v>3.5320224134917705E-3</v>
          </cell>
          <cell r="X441">
            <v>0.23788707614201837</v>
          </cell>
          <cell r="Y441">
            <v>0.23818989538596252</v>
          </cell>
          <cell r="Z441" t="e">
            <v>#N/A</v>
          </cell>
        </row>
        <row r="442">
          <cell r="P442">
            <v>4.3800000000000002E-3</v>
          </cell>
          <cell r="W442">
            <v>3.5320244093599105E-3</v>
          </cell>
          <cell r="X442">
            <v>0.2378871389230979</v>
          </cell>
          <cell r="Y442">
            <v>0.23819003074810771</v>
          </cell>
          <cell r="Z442" t="e">
            <v>#N/A</v>
          </cell>
        </row>
        <row r="443">
          <cell r="P443">
            <v>4.3899999999999998E-3</v>
          </cell>
          <cell r="W443">
            <v>3.532026307059699E-3</v>
          </cell>
          <cell r="X443">
            <v>0.23788719838573075</v>
          </cell>
          <cell r="Y443">
            <v>0.23819015945401809</v>
          </cell>
          <cell r="Z443" t="e">
            <v>#N/A</v>
          </cell>
        </row>
        <row r="444">
          <cell r="P444">
            <v>4.4000000000000003E-3</v>
          </cell>
          <cell r="W444">
            <v>3.532028111187266E-3</v>
          </cell>
          <cell r="X444">
            <v>0.23788725469754451</v>
          </cell>
          <cell r="Y444">
            <v>0.23819028181523424</v>
          </cell>
          <cell r="Z444" t="e">
            <v>#N/A</v>
          </cell>
        </row>
        <row r="445">
          <cell r="P445">
            <v>4.4099999999999999E-3</v>
          </cell>
          <cell r="W445">
            <v>3.5320298261356342E-3</v>
          </cell>
          <cell r="X445">
            <v>0.23788730801813196</v>
          </cell>
          <cell r="Y445">
            <v>0.23819039812953488</v>
          </cell>
          <cell r="Z445" t="e">
            <v>#N/A</v>
          </cell>
        </row>
        <row r="446">
          <cell r="P446">
            <v>4.4200000000000003E-3</v>
          </cell>
          <cell r="W446">
            <v>3.5320314561030882E-3</v>
          </cell>
          <cell r="X446">
            <v>0.23788735849941289</v>
          </cell>
          <cell r="Y446">
            <v>0.23819050868150363</v>
          </cell>
          <cell r="Z446" t="e">
            <v>#N/A</v>
          </cell>
        </row>
        <row r="447">
          <cell r="P447">
            <v>4.4299999999999999E-3</v>
          </cell>
          <cell r="W447">
            <v>3.5320330051012302E-3</v>
          </cell>
          <cell r="X447">
            <v>0.23788740628598087</v>
          </cell>
          <cell r="Y447">
            <v>0.23819061374307449</v>
          </cell>
          <cell r="Z447" t="e">
            <v>#N/A</v>
          </cell>
        </row>
        <row r="448">
          <cell r="P448">
            <v>4.4400000000000004E-3</v>
          </cell>
          <cell r="W448">
            <v>3.5320344769627266E-3</v>
          </cell>
          <cell r="X448">
            <v>0.2378874515154355</v>
          </cell>
          <cell r="Y448">
            <v>0.23819071357405666</v>
          </cell>
          <cell r="Z448" t="e">
            <v>#N/A</v>
          </cell>
        </row>
        <row r="449">
          <cell r="P449">
            <v>4.45E-3</v>
          </cell>
          <cell r="W449">
            <v>3.5320358753487642E-3</v>
          </cell>
          <cell r="X449">
            <v>0.23788749431870071</v>
          </cell>
          <cell r="Y449">
            <v>0.23819080842263937</v>
          </cell>
          <cell r="Z449" t="e">
            <v>#N/A</v>
          </cell>
        </row>
        <row r="450">
          <cell r="P450">
            <v>4.4600000000000004E-3</v>
          </cell>
          <cell r="W450">
            <v>3.5320372037562185E-3</v>
          </cell>
          <cell r="X450">
            <v>0.23788753482032957</v>
          </cell>
          <cell r="Y450">
            <v>0.23819089852587749</v>
          </cell>
          <cell r="Z450" t="e">
            <v>#N/A</v>
          </cell>
        </row>
        <row r="451">
          <cell r="P451">
            <v>4.47E-3</v>
          </cell>
          <cell r="W451">
            <v>3.5320384655245481E-3</v>
          </cell>
          <cell r="X451">
            <v>0.23788757313879622</v>
          </cell>
          <cell r="Y451">
            <v>0.2381909841101584</v>
          </cell>
          <cell r="Z451" t="e">
            <v>#N/A</v>
          </cell>
        </row>
        <row r="452">
          <cell r="P452">
            <v>4.4799999999999996E-3</v>
          </cell>
          <cell r="W452">
            <v>3.5320396638424227E-3</v>
          </cell>
          <cell r="X452">
            <v>0.23788760938677539</v>
          </cell>
          <cell r="Y452">
            <v>0.23819106539165105</v>
          </cell>
          <cell r="Z452" t="e">
            <v>#N/A</v>
          </cell>
        </row>
        <row r="453">
          <cell r="P453">
            <v>4.4900000000000001E-3</v>
          </cell>
          <cell r="W453">
            <v>3.5320408017540943E-3</v>
          </cell>
          <cell r="X453">
            <v>0.23788764367140991</v>
          </cell>
          <cell r="Y453">
            <v>0.23819114257673749</v>
          </cell>
          <cell r="Z453" t="e">
            <v>#N/A</v>
          </cell>
        </row>
        <row r="454">
          <cell r="P454">
            <v>4.4999999999999997E-3</v>
          </cell>
          <cell r="W454">
            <v>3.5320418821655221E-3</v>
          </cell>
          <cell r="X454">
            <v>0.23788767609456685</v>
          </cell>
          <cell r="Y454">
            <v>0.23819121586242764</v>
          </cell>
          <cell r="Z454" t="e">
            <v>#N/A</v>
          </cell>
        </row>
        <row r="455">
          <cell r="P455">
            <v>4.5100000000000001E-3</v>
          </cell>
          <cell r="W455">
            <v>3.5320429078502568E-3</v>
          </cell>
          <cell r="X455">
            <v>0.23788770675308243</v>
          </cell>
          <cell r="Y455">
            <v>0.23819128543675799</v>
          </cell>
          <cell r="Z455" t="e">
            <v>#N/A</v>
          </cell>
        </row>
        <row r="456">
          <cell r="P456">
            <v>4.5199999999999997E-3</v>
          </cell>
          <cell r="W456">
            <v>3.5320438814550937E-3</v>
          </cell>
          <cell r="X456">
            <v>0.2378877357389966</v>
          </cell>
          <cell r="Y456">
            <v>0.23819135147917458</v>
          </cell>
          <cell r="Z456" t="e">
            <v>#N/A</v>
          </cell>
        </row>
        <row r="457">
          <cell r="P457">
            <v>4.5300000000000002E-3</v>
          </cell>
          <cell r="W457">
            <v>3.5320448055055059E-3</v>
          </cell>
          <cell r="X457">
            <v>0.23788776313977719</v>
          </cell>
          <cell r="Y457">
            <v>0.23819141416090084</v>
          </cell>
          <cell r="Z457" t="e">
            <v>#N/A</v>
          </cell>
        </row>
        <row r="458">
          <cell r="P458">
            <v>4.5399999999999998E-3</v>
          </cell>
          <cell r="W458">
            <v>3.5320456824108584E-3</v>
          </cell>
          <cell r="X458">
            <v>0.23788778903853444</v>
          </cell>
          <cell r="Y458">
            <v>0.23819147364529111</v>
          </cell>
          <cell r="Z458" t="e">
            <v>#N/A</v>
          </cell>
        </row>
        <row r="459">
          <cell r="P459">
            <v>4.5500000000000002E-3</v>
          </cell>
          <cell r="W459">
            <v>3.5320465144694198E-3</v>
          </cell>
          <cell r="X459">
            <v>0.23788781351422611</v>
          </cell>
          <cell r="Y459">
            <v>0.2381915300881699</v>
          </cell>
          <cell r="Z459" t="e">
            <v>#N/A</v>
          </cell>
        </row>
        <row r="460">
          <cell r="P460">
            <v>4.5599999999999998E-3</v>
          </cell>
          <cell r="W460">
            <v>3.5320473038731701E-3</v>
          </cell>
          <cell r="X460">
            <v>0.23788783664185351</v>
          </cell>
          <cell r="Y460">
            <v>0.23819158363815776</v>
          </cell>
          <cell r="Z460" t="e">
            <v>#N/A</v>
          </cell>
        </row>
        <row r="461">
          <cell r="P461">
            <v>4.5700000000000003E-3</v>
          </cell>
          <cell r="W461">
            <v>3.5320480527124181E-3</v>
          </cell>
          <cell r="X461">
            <v>0.23788785849264901</v>
          </cell>
          <cell r="Y461">
            <v>0.23819163443698405</v>
          </cell>
          <cell r="Z461" t="e">
            <v>#N/A</v>
          </cell>
        </row>
        <row r="462">
          <cell r="P462">
            <v>4.5799999999999999E-3</v>
          </cell>
          <cell r="W462">
            <v>3.5320487629802336E-3</v>
          </cell>
          <cell r="X462">
            <v>0.2378878791342551</v>
          </cell>
          <cell r="Y462">
            <v>0.23819168261978721</v>
          </cell>
          <cell r="Z462" t="e">
            <v>#N/A</v>
          </cell>
        </row>
        <row r="463">
          <cell r="P463">
            <v>4.5900000000000003E-3</v>
          </cell>
          <cell r="W463">
            <v>3.5320494365766991E-3</v>
          </cell>
          <cell r="X463">
            <v>0.2378878986308956</v>
          </cell>
          <cell r="Y463">
            <v>0.23819172831540283</v>
          </cell>
          <cell r="Z463" t="e">
            <v>#N/A</v>
          </cell>
        </row>
        <row r="464">
          <cell r="P464">
            <v>4.5999999999999999E-3</v>
          </cell>
          <cell r="W464">
            <v>3.5320500753129903E-3</v>
          </cell>
          <cell r="X464">
            <v>0.23788791704353926</v>
          </cell>
          <cell r="Y464">
            <v>0.23819177164664015</v>
          </cell>
          <cell r="Z464" t="e">
            <v>#N/A</v>
          </cell>
        </row>
        <row r="465">
          <cell r="P465">
            <v>4.6100000000000004E-3</v>
          </cell>
          <cell r="W465">
            <v>3.5320506809152909E-3</v>
          </cell>
          <cell r="X465">
            <v>0.23788793443005588</v>
          </cell>
          <cell r="Y465">
            <v>0.23819181273054724</v>
          </cell>
          <cell r="Z465" t="e">
            <v>#N/A</v>
          </cell>
        </row>
        <row r="466">
          <cell r="P466">
            <v>4.62E-3</v>
          </cell>
          <cell r="W466">
            <v>3.5320512550285452E-3</v>
          </cell>
          <cell r="X466">
            <v>0.23788795084536557</v>
          </cell>
          <cell r="Y466">
            <v>0.2381918516786653</v>
          </cell>
          <cell r="Z466" t="e">
            <v>#N/A</v>
          </cell>
        </row>
        <row r="467">
          <cell r="P467">
            <v>4.6299999999999996E-3</v>
          </cell>
          <cell r="W467">
            <v>3.5320517992200604E-3</v>
          </cell>
          <cell r="X467">
            <v>0.23788796634158119</v>
          </cell>
          <cell r="Y467">
            <v>0.23819188859727278</v>
          </cell>
          <cell r="Z467" t="e">
            <v>#N/A</v>
          </cell>
        </row>
        <row r="468">
          <cell r="P468">
            <v>4.64E-3</v>
          </cell>
          <cell r="W468">
            <v>3.5320523149829572E-3</v>
          </cell>
          <cell r="X468">
            <v>0.2378879809681444</v>
          </cell>
          <cell r="Y468">
            <v>0.23819192358761915</v>
          </cell>
          <cell r="Z468" t="e">
            <v>#N/A</v>
          </cell>
        </row>
        <row r="469">
          <cell r="P469">
            <v>4.6499999999999996E-3</v>
          </cell>
          <cell r="W469">
            <v>3.5320528037394803E-3</v>
          </cell>
          <cell r="X469">
            <v>0.23788799477195544</v>
          </cell>
          <cell r="Y469">
            <v>0.23819195674614915</v>
          </cell>
          <cell r="Z469" t="e">
            <v>#N/A</v>
          </cell>
        </row>
        <row r="470">
          <cell r="P470">
            <v>4.6600000000000001E-3</v>
          </cell>
          <cell r="W470">
            <v>3.5320532668441694E-3</v>
          </cell>
          <cell r="X470">
            <v>0.23788800779749711</v>
          </cell>
          <cell r="Y470">
            <v>0.23819198816471784</v>
          </cell>
          <cell r="Z470" t="e">
            <v>#N/A</v>
          </cell>
        </row>
        <row r="471">
          <cell r="P471">
            <v>4.6699999999999997E-3</v>
          </cell>
          <cell r="W471">
            <v>3.5320537055868995E-3</v>
          </cell>
          <cell r="X471">
            <v>0.23788802008695298</v>
          </cell>
          <cell r="Y471">
            <v>0.23819201793079653</v>
          </cell>
          <cell r="Z471" t="e">
            <v>#N/A</v>
          </cell>
        </row>
        <row r="472">
          <cell r="P472">
            <v>4.6800000000000001E-3</v>
          </cell>
          <cell r="W472">
            <v>3.5320541211957949E-3</v>
          </cell>
          <cell r="X472">
            <v>0.23788803168032016</v>
          </cell>
          <cell r="Y472">
            <v>0.23819204612767017</v>
          </cell>
          <cell r="Z472" t="e">
            <v>#N/A</v>
          </cell>
        </row>
        <row r="473">
          <cell r="P473">
            <v>4.6899999999999997E-3</v>
          </cell>
          <cell r="W473">
            <v>3.532054514840018E-3</v>
          </cell>
          <cell r="X473">
            <v>0.23788804261551696</v>
          </cell>
          <cell r="Y473">
            <v>0.23819207283462646</v>
          </cell>
          <cell r="Z473" t="e">
            <v>#N/A</v>
          </cell>
        </row>
        <row r="474">
          <cell r="P474">
            <v>4.7000000000000002E-3</v>
          </cell>
          <cell r="W474">
            <v>3.5320548876324434E-3</v>
          </cell>
          <cell r="X474">
            <v>0.2378880529284855</v>
          </cell>
          <cell r="Y474">
            <v>0.23819209812713699</v>
          </cell>
          <cell r="Z474" t="e">
            <v>#N/A</v>
          </cell>
        </row>
        <row r="475">
          <cell r="P475">
            <v>4.7099999999999998E-3</v>
          </cell>
          <cell r="W475">
            <v>3.5320552406322174E-3</v>
          </cell>
          <cell r="X475">
            <v>0.23788806265328957</v>
          </cell>
          <cell r="Y475">
            <v>0.23819212207703078</v>
          </cell>
          <cell r="Z475" t="e">
            <v>#N/A</v>
          </cell>
        </row>
        <row r="476">
          <cell r="P476">
            <v>4.7200000000000002E-3</v>
          </cell>
          <cell r="W476">
            <v>3.5320555748472099E-3</v>
          </cell>
          <cell r="X476">
            <v>0.23788807182220795</v>
          </cell>
          <cell r="Y476">
            <v>0.23819214475266037</v>
          </cell>
          <cell r="Z476" t="e">
            <v>#N/A</v>
          </cell>
        </row>
        <row r="477">
          <cell r="P477">
            <v>4.7299999999999998E-3</v>
          </cell>
          <cell r="W477">
            <v>3.53205589123636E-3</v>
          </cell>
          <cell r="X477">
            <v>0.23788808046582327</v>
          </cell>
          <cell r="Y477">
            <v>0.23819216621906086</v>
          </cell>
          <cell r="Z477" t="e">
            <v>#N/A</v>
          </cell>
        </row>
        <row r="478">
          <cell r="P478">
            <v>4.7400000000000003E-3</v>
          </cell>
          <cell r="W478">
            <v>3.5320561907119241E-3</v>
          </cell>
          <cell r="X478">
            <v>0.2378880886131069</v>
          </cell>
          <cell r="Y478">
            <v>0.23819218653810217</v>
          </cell>
          <cell r="Z478" t="e">
            <v>#N/A</v>
          </cell>
        </row>
        <row r="479">
          <cell r="P479">
            <v>4.7499999999999999E-3</v>
          </cell>
          <cell r="W479">
            <v>3.5320564741416253E-3</v>
          </cell>
          <cell r="X479">
            <v>0.23788809629149962</v>
          </cell>
          <cell r="Y479">
            <v>0.23819220576863484</v>
          </cell>
          <cell r="Z479" t="e">
            <v>#N/A</v>
          </cell>
        </row>
        <row r="480">
          <cell r="P480">
            <v>4.7600000000000003E-3</v>
          </cell>
          <cell r="W480">
            <v>3.53205674235071E-3</v>
          </cell>
          <cell r="X480">
            <v>0.23788810352698861</v>
          </cell>
          <cell r="Y480">
            <v>0.23819222396662934</v>
          </cell>
          <cell r="Z480" t="e">
            <v>#N/A</v>
          </cell>
        </row>
        <row r="481">
          <cell r="P481">
            <v>4.7699999999999999E-3</v>
          </cell>
          <cell r="W481">
            <v>3.5320569961239182E-3</v>
          </cell>
          <cell r="X481">
            <v>0.23788811034418073</v>
          </cell>
          <cell r="Y481">
            <v>0.2381922411853096</v>
          </cell>
          <cell r="Z481" t="e">
            <v>#N/A</v>
          </cell>
        </row>
        <row r="482">
          <cell r="P482">
            <v>4.7800000000000004E-3</v>
          </cell>
          <cell r="W482">
            <v>3.5320572362073643E-3</v>
          </cell>
          <cell r="X482">
            <v>0.23788811676637239</v>
          </cell>
          <cell r="Y482">
            <v>0.23819225747528061</v>
          </cell>
          <cell r="Z482" t="e">
            <v>#N/A</v>
          </cell>
        </row>
        <row r="483">
          <cell r="P483">
            <v>4.79E-3</v>
          </cell>
          <cell r="W483">
            <v>3.5320574633103405E-3</v>
          </cell>
          <cell r="X483">
            <v>0.23788812281561597</v>
          </cell>
          <cell r="Y483">
            <v>0.23819227288465053</v>
          </cell>
          <cell r="Z483" t="e">
            <v>#N/A</v>
          </cell>
        </row>
        <row r="484">
          <cell r="P484">
            <v>4.7999999999999996E-3</v>
          </cell>
          <cell r="W484">
            <v>3.532057678107037E-3</v>
          </cell>
          <cell r="X484">
            <v>0.23788812851278318</v>
          </cell>
          <cell r="Y484">
            <v>0.23819228745914736</v>
          </cell>
          <cell r="Z484" t="e">
            <v>#N/A</v>
          </cell>
        </row>
        <row r="485">
          <cell r="P485">
            <v>4.81E-3</v>
          </cell>
          <cell r="W485">
            <v>3.5320578812381908E-3</v>
          </cell>
          <cell r="X485">
            <v>0.23788813387762525</v>
          </cell>
          <cell r="Y485">
            <v>0.23819230124223068</v>
          </cell>
          <cell r="Z485" t="e">
            <v>#N/A</v>
          </cell>
        </row>
        <row r="486">
          <cell r="P486">
            <v>4.8199999999999996E-3</v>
          </cell>
          <cell r="W486">
            <v>3.5320580733126591E-3</v>
          </cell>
          <cell r="X486">
            <v>0.23788813892883032</v>
          </cell>
          <cell r="Y486">
            <v>0.23819231427519824</v>
          </cell>
          <cell r="Z486" t="e">
            <v>#N/A</v>
          </cell>
        </row>
        <row r="487">
          <cell r="P487">
            <v>4.8300000000000001E-3</v>
          </cell>
          <cell r="W487">
            <v>3.5320582549089236E-3</v>
          </cell>
          <cell r="X487">
            <v>0.23788814368407799</v>
          </cell>
          <cell r="Y487">
            <v>0.23819232659728806</v>
          </cell>
          <cell r="Z487" t="e">
            <v>#N/A</v>
          </cell>
        </row>
        <row r="488">
          <cell r="P488">
            <v>4.8399999999999997E-3</v>
          </cell>
          <cell r="W488">
            <v>3.5320584265765291E-3</v>
          </cell>
          <cell r="X488">
            <v>0.23788814816009124</v>
          </cell>
          <cell r="Y488">
            <v>0.2381923382457759</v>
          </cell>
          <cell r="Z488" t="e">
            <v>#N/A</v>
          </cell>
        </row>
        <row r="489">
          <cell r="P489">
            <v>4.8500000000000001E-3</v>
          </cell>
          <cell r="W489">
            <v>3.5320585888374578E-3</v>
          </cell>
          <cell r="X489">
            <v>0.2378881523726859</v>
          </cell>
          <cell r="Y489">
            <v>0.23819234925606839</v>
          </cell>
          <cell r="Z489" t="e">
            <v>#N/A</v>
          </cell>
        </row>
        <row r="490">
          <cell r="P490">
            <v>4.8599999999999997E-3</v>
          </cell>
          <cell r="W490">
            <v>3.532058742187442E-3</v>
          </cell>
          <cell r="X490">
            <v>0.23788815633681751</v>
          </cell>
          <cell r="Y490">
            <v>0.238192359661792</v>
          </cell>
          <cell r="Z490" t="e">
            <v>#N/A</v>
          </cell>
        </row>
        <row r="491">
          <cell r="P491">
            <v>4.8700000000000002E-3</v>
          </cell>
          <cell r="W491">
            <v>3.5320588870972175E-3</v>
          </cell>
          <cell r="X491">
            <v>0.23788816006662603</v>
          </cell>
          <cell r="Y491">
            <v>0.23819236949487815</v>
          </cell>
          <cell r="Z491" t="e">
            <v>#N/A</v>
          </cell>
        </row>
        <row r="492">
          <cell r="P492">
            <v>4.8799999999999998E-3</v>
          </cell>
          <cell r="W492">
            <v>3.5320590240137226E-3</v>
          </cell>
          <cell r="X492">
            <v>0.23788816357547837</v>
          </cell>
          <cell r="Y492">
            <v>0.23819237878564431</v>
          </cell>
          <cell r="Z492" t="e">
            <v>#N/A</v>
          </cell>
        </row>
        <row r="493">
          <cell r="P493">
            <v>4.8900000000000002E-3</v>
          </cell>
          <cell r="W493">
            <v>3.5320591533612401E-3</v>
          </cell>
          <cell r="X493">
            <v>0.23788816687600872</v>
          </cell>
          <cell r="Y493">
            <v>0.23819238756287156</v>
          </cell>
          <cell r="Z493" t="e">
            <v>#N/A</v>
          </cell>
        </row>
        <row r="494">
          <cell r="P494">
            <v>4.8999999999999998E-3</v>
          </cell>
          <cell r="W494">
            <v>3.5320592755424905E-3</v>
          </cell>
          <cell r="X494">
            <v>0.23788816998015697</v>
          </cell>
          <cell r="Y494">
            <v>0.23819239585387861</v>
          </cell>
          <cell r="Z494" t="e">
            <v>#N/A</v>
          </cell>
        </row>
        <row r="495">
          <cell r="P495">
            <v>4.9100000000000003E-3</v>
          </cell>
          <cell r="W495">
            <v>3.5320593909396731E-3</v>
          </cell>
          <cell r="X495">
            <v>0.23788817289920511</v>
          </cell>
          <cell r="Y495">
            <v>0.23819240368459249</v>
          </cell>
          <cell r="Z495" t="e">
            <v>#N/A</v>
          </cell>
        </row>
        <row r="496">
          <cell r="P496">
            <v>4.9199999999999999E-3</v>
          </cell>
          <cell r="W496">
            <v>3.5320594999154616E-3</v>
          </cell>
          <cell r="X496">
            <v>0.23788817564381196</v>
          </cell>
          <cell r="Y496">
            <v>0.23819241107961597</v>
          </cell>
          <cell r="Z496" t="e">
            <v>#N/A</v>
          </cell>
        </row>
        <row r="497">
          <cell r="P497">
            <v>4.9300000000000004E-3</v>
          </cell>
          <cell r="W497">
            <v>3.5320596028139539E-3</v>
          </cell>
          <cell r="X497">
            <v>0.23788817822404607</v>
          </cell>
          <cell r="Y497">
            <v>0.23819241806229191</v>
          </cell>
          <cell r="Z497" t="e">
            <v>#N/A</v>
          </cell>
        </row>
        <row r="498">
          <cell r="P498">
            <v>4.9399999999999999E-3</v>
          </cell>
          <cell r="W498">
            <v>3.5320596999615763E-3</v>
          </cell>
          <cell r="X498">
            <v>0.23788818064941697</v>
          </cell>
          <cell r="Y498">
            <v>0.23819242465476476</v>
          </cell>
          <cell r="Z498" t="e">
            <v>#N/A</v>
          </cell>
        </row>
        <row r="499">
          <cell r="P499">
            <v>4.9500000000000004E-3</v>
          </cell>
          <cell r="W499">
            <v>3.5320597916679497E-3</v>
          </cell>
          <cell r="X499">
            <v>0.23788818292890487</v>
          </cell>
          <cell r="Y499">
            <v>0.23819243087803904</v>
          </cell>
          <cell r="Z499" t="e">
            <v>#N/A</v>
          </cell>
        </row>
        <row r="500">
          <cell r="P500">
            <v>4.96E-3</v>
          </cell>
          <cell r="W500">
            <v>3.532059878226712E-3</v>
          </cell>
          <cell r="X500">
            <v>0.23788818507098891</v>
          </cell>
          <cell r="Y500">
            <v>0.23819243675203533</v>
          </cell>
          <cell r="Z500" t="e">
            <v>#N/A</v>
          </cell>
        </row>
        <row r="501">
          <cell r="P501">
            <v>4.9699999999999996E-3</v>
          </cell>
          <cell r="W501">
            <v>3.532059959916305E-3</v>
          </cell>
          <cell r="X501">
            <v>0.23788818708367385</v>
          </cell>
          <cell r="Y501">
            <v>0.23819244229564349</v>
          </cell>
          <cell r="Z501" t="e">
            <v>#N/A</v>
          </cell>
        </row>
        <row r="502">
          <cell r="P502">
            <v>4.9800000000000001E-3</v>
          </cell>
          <cell r="W502">
            <v>3.5320600370007246E-3</v>
          </cell>
          <cell r="X502">
            <v>0.23788818897451552</v>
          </cell>
          <cell r="Y502">
            <v>0.23819244752677349</v>
          </cell>
          <cell r="Z502" t="e">
            <v>#N/A</v>
          </cell>
        </row>
        <row r="503">
          <cell r="P503">
            <v>4.9899999999999996E-3</v>
          </cell>
          <cell r="W503">
            <v>3.5320601097302341E-3</v>
          </cell>
          <cell r="X503">
            <v>0.23788819075064496</v>
          </cell>
          <cell r="Y503">
            <v>0.23819245246240392</v>
          </cell>
          <cell r="Z503" t="e">
            <v>#N/A</v>
          </cell>
        </row>
        <row r="504">
          <cell r="P504">
            <v>5.0000000000000001E-3</v>
          </cell>
          <cell r="W504">
            <v>3.5320601783420461E-3</v>
          </cell>
          <cell r="X504">
            <v>0.23788819241879128</v>
          </cell>
          <cell r="Y504">
            <v>0.23819245711862816</v>
          </cell>
          <cell r="Z504" t="e">
            <v>#N/A</v>
          </cell>
        </row>
        <row r="505">
          <cell r="P505">
            <v>5.0099999999999997E-3</v>
          </cell>
          <cell r="W505">
            <v>3.5320602430609712E-3</v>
          </cell>
          <cell r="X505">
            <v>0.23788819398530336</v>
          </cell>
          <cell r="Y505">
            <v>0.23819246151069837</v>
          </cell>
          <cell r="Z505" t="e">
            <v>#N/A</v>
          </cell>
        </row>
        <row r="506">
          <cell r="P506">
            <v>5.0200000000000002E-3</v>
          </cell>
          <cell r="W506">
            <v>3.5320603041000373E-3</v>
          </cell>
          <cell r="X506">
            <v>0.23788819545617046</v>
          </cell>
          <cell r="Y506">
            <v>0.23819246565306745</v>
          </cell>
          <cell r="Z506" t="e">
            <v>#N/A</v>
          </cell>
        </row>
        <row r="507">
          <cell r="P507">
            <v>5.0299999999999997E-3</v>
          </cell>
          <cell r="W507">
            <v>3.5320603616610792E-3</v>
          </cell>
          <cell r="X507">
            <v>0.23788819683704171</v>
          </cell>
          <cell r="Y507">
            <v>0.23819246955942908</v>
          </cell>
          <cell r="Z507" t="e">
            <v>#N/A</v>
          </cell>
        </row>
        <row r="508">
          <cell r="P508">
            <v>5.0400000000000002E-3</v>
          </cell>
          <cell r="W508">
            <v>3.5320604159352993E-3</v>
          </cell>
          <cell r="X508">
            <v>0.23788819813324472</v>
          </cell>
          <cell r="Y508">
            <v>0.23819247324275566</v>
          </cell>
          <cell r="Z508" t="e">
            <v>#N/A</v>
          </cell>
        </row>
        <row r="509">
          <cell r="P509">
            <v>5.0499999999999998E-3</v>
          </cell>
          <cell r="W509">
            <v>3.5320604671038023E-3</v>
          </cell>
          <cell r="X509">
            <v>0.23788819934980304</v>
          </cell>
          <cell r="Y509">
            <v>0.23819247671533475</v>
          </cell>
          <cell r="Z509" t="e">
            <v>#N/A</v>
          </cell>
        </row>
        <row r="510">
          <cell r="P510">
            <v>5.0600000000000003E-3</v>
          </cell>
          <cell r="W510">
            <v>3.532060515338106E-3</v>
          </cell>
          <cell r="X510">
            <v>0.23788820049145287</v>
          </cell>
          <cell r="Y510">
            <v>0.23819247998880347</v>
          </cell>
          <cell r="Z510" t="e">
            <v>#N/A</v>
          </cell>
        </row>
        <row r="511">
          <cell r="P511">
            <v>5.0699999999999999E-3</v>
          </cell>
          <cell r="W511">
            <v>3.5320605608006247E-3</v>
          </cell>
          <cell r="X511">
            <v>0.2378882015626588</v>
          </cell>
          <cell r="Y511">
            <v>0.23819248307418148</v>
          </cell>
          <cell r="Z511" t="e">
            <v>#N/A</v>
          </cell>
        </row>
        <row r="512">
          <cell r="P512">
            <v>5.0800000000000003E-3</v>
          </cell>
          <cell r="W512">
            <v>3.5320606036451318E-3</v>
          </cell>
          <cell r="X512">
            <v>0.2378882025676288</v>
          </cell>
          <cell r="Y512">
            <v>0.23819248598190224</v>
          </cell>
          <cell r="Z512" t="e">
            <v>#N/A</v>
          </cell>
        </row>
        <row r="513">
          <cell r="P513">
            <v>5.0899999999999999E-3</v>
          </cell>
          <cell r="W513">
            <v>3.532060644017199E-3</v>
          </cell>
          <cell r="X513">
            <v>0.23788820351032833</v>
          </cell>
          <cell r="Y513">
            <v>0.23819248872184282</v>
          </cell>
          <cell r="Z513" t="e">
            <v>#N/A</v>
          </cell>
        </row>
        <row r="514">
          <cell r="P514">
            <v>5.1000000000000004E-3</v>
          </cell>
          <cell r="W514">
            <v>3.5320606820546151E-3</v>
          </cell>
          <cell r="X514">
            <v>0.23788820439449382</v>
          </cell>
          <cell r="Y514">
            <v>0.23819249130335229</v>
          </cell>
          <cell r="Z514" t="e">
            <v>#N/A</v>
          </cell>
        </row>
        <row r="515">
          <cell r="P515">
            <v>5.11E-3</v>
          </cell>
          <cell r="W515">
            <v>3.5320607178877827E-3</v>
          </cell>
          <cell r="X515">
            <v>0.23788820522364532</v>
          </cell>
          <cell r="Y515">
            <v>0.23819249373527873</v>
          </cell>
          <cell r="Z515" t="e">
            <v>#N/A</v>
          </cell>
        </row>
        <row r="516">
          <cell r="P516">
            <v>5.1200000000000004E-3</v>
          </cell>
          <cell r="W516">
            <v>3.5320607516400983E-3</v>
          </cell>
          <cell r="X516">
            <v>0.23788820600109858</v>
          </cell>
          <cell r="Y516">
            <v>0.23819249602599488</v>
          </cell>
          <cell r="Z516" t="e">
            <v>#N/A</v>
          </cell>
        </row>
        <row r="517">
          <cell r="P517">
            <v>5.13E-3</v>
          </cell>
          <cell r="W517">
            <v>3.5320607834283119E-3</v>
          </cell>
          <cell r="X517">
            <v>0.23788820672997646</v>
          </cell>
          <cell r="Y517">
            <v>0.23819249818342259</v>
          </cell>
          <cell r="Z517" t="e">
            <v>#N/A</v>
          </cell>
        </row>
        <row r="518">
          <cell r="P518">
            <v>5.1399999999999996E-3</v>
          </cell>
          <cell r="W518">
            <v>3.5320608133628697E-3</v>
          </cell>
          <cell r="X518">
            <v>0.23788820741321962</v>
          </cell>
          <cell r="Y518">
            <v>0.23819250021505606</v>
          </cell>
          <cell r="Z518" t="e">
            <v>#N/A</v>
          </cell>
        </row>
        <row r="519">
          <cell r="P519">
            <v>5.1500000000000001E-3</v>
          </cell>
          <cell r="W519">
            <v>3.5320608415482409E-3</v>
          </cell>
          <cell r="X519">
            <v>0.23788820805359687</v>
          </cell>
          <cell r="Y519">
            <v>0.23819250212798393</v>
          </cell>
          <cell r="Z519" t="e">
            <v>#N/A</v>
          </cell>
        </row>
        <row r="520">
          <cell r="P520">
            <v>5.1599999999999997E-3</v>
          </cell>
          <cell r="W520">
            <v>3.5320608680832252E-3</v>
          </cell>
          <cell r="X520">
            <v>0.23788820865371474</v>
          </cell>
          <cell r="Y520">
            <v>0.23819250392891031</v>
          </cell>
          <cell r="Z520" t="e">
            <v>#N/A</v>
          </cell>
        </row>
        <row r="521">
          <cell r="P521">
            <v>5.1700000000000001E-3</v>
          </cell>
          <cell r="W521">
            <v>3.53206089306125E-3</v>
          </cell>
          <cell r="X521">
            <v>0.23788820921602663</v>
          </cell>
          <cell r="Y521">
            <v>0.23819250562417477</v>
          </cell>
          <cell r="Z521" t="e">
            <v>#N/A</v>
          </cell>
        </row>
        <row r="522">
          <cell r="P522">
            <v>5.1799999999999997E-3</v>
          </cell>
          <cell r="W522">
            <v>3.5320609165706493E-3</v>
          </cell>
          <cell r="X522">
            <v>0.23788820974284156</v>
          </cell>
          <cell r="Y522">
            <v>0.23819250721977128</v>
          </cell>
          <cell r="Z522" t="e">
            <v>#N/A</v>
          </cell>
        </row>
        <row r="523">
          <cell r="P523">
            <v>5.1900000000000002E-3</v>
          </cell>
          <cell r="W523">
            <v>3.5320609386949287E-3</v>
          </cell>
          <cell r="X523">
            <v>0.23788821023633216</v>
          </cell>
          <cell r="Y523">
            <v>0.23819250872136635</v>
          </cell>
          <cell r="Z523" t="e">
            <v>#N/A</v>
          </cell>
        </row>
        <row r="524">
          <cell r="P524">
            <v>5.1999999999999998E-3</v>
          </cell>
          <cell r="W524">
            <v>3.5320609595130207E-3</v>
          </cell>
          <cell r="X524">
            <v>0.23788821069854266</v>
          </cell>
          <cell r="Y524">
            <v>0.23819251013431611</v>
          </cell>
          <cell r="Z524" t="e">
            <v>#N/A</v>
          </cell>
        </row>
        <row r="525">
          <cell r="P525">
            <v>5.2100000000000002E-3</v>
          </cell>
          <cell r="W525">
            <v>3.5320609790995229E-3</v>
          </cell>
          <cell r="X525">
            <v>0.23788821113139597</v>
          </cell>
          <cell r="Y525">
            <v>0.23819251146368259</v>
          </cell>
          <cell r="Z525" t="e">
            <v>#N/A</v>
          </cell>
        </row>
        <row r="526">
          <cell r="P526">
            <v>5.2199999999999998E-3</v>
          </cell>
          <cell r="W526">
            <v>3.5320609975249264E-3</v>
          </cell>
          <cell r="X526">
            <v>0.23788821153670078</v>
          </cell>
          <cell r="Y526">
            <v>0.23819251271424929</v>
          </cell>
          <cell r="Z526" t="e">
            <v>#N/A</v>
          </cell>
        </row>
        <row r="527">
          <cell r="P527">
            <v>5.2300000000000003E-3</v>
          </cell>
          <cell r="W527">
            <v>3.5320610148558344E-3</v>
          </cell>
          <cell r="X527">
            <v>0.237888211916158</v>
          </cell>
          <cell r="Y527">
            <v>0.23819251389053581</v>
          </cell>
          <cell r="Z527" t="e">
            <v>#N/A</v>
          </cell>
        </row>
        <row r="528">
          <cell r="P528">
            <v>5.2399999999999999E-3</v>
          </cell>
          <cell r="W528">
            <v>3.5320610311551661E-3</v>
          </cell>
          <cell r="X528">
            <v>0.23788821227136697</v>
          </cell>
          <cell r="Y528">
            <v>0.23819251499681185</v>
          </cell>
          <cell r="Z528" t="e">
            <v>#N/A</v>
          </cell>
        </row>
        <row r="529">
          <cell r="P529">
            <v>5.2500000000000003E-3</v>
          </cell>
          <cell r="W529">
            <v>3.5320610464823527E-3</v>
          </cell>
          <cell r="X529">
            <v>0.23788821260383133</v>
          </cell>
          <cell r="Y529">
            <v>0.23819251603711045</v>
          </cell>
          <cell r="Z529" t="e">
            <v>#N/A</v>
          </cell>
        </row>
        <row r="530">
          <cell r="P530">
            <v>5.2599999999999999E-3</v>
          </cell>
          <cell r="W530">
            <v>3.5320610608935237E-3</v>
          </cell>
          <cell r="X530">
            <v>0.23788821291496448</v>
          </cell>
          <cell r="Y530">
            <v>0.23819251701524061</v>
          </cell>
          <cell r="Z530" t="e">
            <v>#N/A</v>
          </cell>
        </row>
        <row r="531">
          <cell r="P531">
            <v>5.2700000000000004E-3</v>
          </cell>
          <cell r="W531">
            <v>3.532061074441682E-3</v>
          </cell>
          <cell r="X531">
            <v>0.23788821320609488</v>
          </cell>
          <cell r="Y531">
            <v>0.2381925179347992</v>
          </cell>
          <cell r="Z531" t="e">
            <v>#N/A</v>
          </cell>
        </row>
        <row r="532">
          <cell r="P532">
            <v>5.28E-3</v>
          </cell>
          <cell r="W532">
            <v>3.5320610871768716E-3</v>
          </cell>
          <cell r="X532">
            <v>0.23788821347847089</v>
          </cell>
          <cell r="Y532">
            <v>0.23819251879918232</v>
          </cell>
          <cell r="Z532" t="e">
            <v>#N/A</v>
          </cell>
        </row>
        <row r="533">
          <cell r="P533">
            <v>5.2900000000000004E-3</v>
          </cell>
          <cell r="W533">
            <v>3.5320610991463369E-3</v>
          </cell>
          <cell r="X533">
            <v>0.23788821373326546</v>
          </cell>
          <cell r="Y533">
            <v>0.2381925196115961</v>
          </cell>
          <cell r="Z533" t="e">
            <v>#N/A</v>
          </cell>
        </row>
        <row r="534">
          <cell r="P534">
            <v>5.3E-3</v>
          </cell>
          <cell r="W534">
            <v>3.5320611103946721E-3</v>
          </cell>
          <cell r="X534">
            <v>0.23788821397158055</v>
          </cell>
          <cell r="Y534">
            <v>0.23819252037506683</v>
          </cell>
          <cell r="Z534" t="e">
            <v>#N/A</v>
          </cell>
        </row>
        <row r="535">
          <cell r="P535">
            <v>5.3099999999999996E-3</v>
          </cell>
          <cell r="W535">
            <v>3.5320611209639641E-3</v>
          </cell>
          <cell r="X535">
            <v>0.23788821419445125</v>
          </cell>
          <cell r="Y535">
            <v>0.23819252109245076</v>
          </cell>
          <cell r="Z535" t="e">
            <v>#N/A</v>
          </cell>
        </row>
        <row r="536">
          <cell r="P536">
            <v>5.3200000000000001E-3</v>
          </cell>
          <cell r="W536">
            <v>3.5320611308939293E-3</v>
          </cell>
          <cell r="X536">
            <v>0.23788821440284968</v>
          </cell>
          <cell r="Y536">
            <v>0.23819252176644315</v>
          </cell>
          <cell r="Z536" t="e">
            <v>#N/A</v>
          </cell>
        </row>
        <row r="537">
          <cell r="P537">
            <v>5.3299999999999997E-3</v>
          </cell>
          <cell r="W537">
            <v>3.532061140222041E-3</v>
          </cell>
          <cell r="X537">
            <v>0.23788821459768872</v>
          </cell>
          <cell r="Y537">
            <v>0.2381925223995871</v>
          </cell>
          <cell r="Z537" t="e">
            <v>#N/A</v>
          </cell>
        </row>
        <row r="538">
          <cell r="P538">
            <v>5.3400000000000001E-3</v>
          </cell>
          <cell r="W538">
            <v>3.53206114898365E-3</v>
          </cell>
          <cell r="X538">
            <v>0.23788821477982541</v>
          </cell>
          <cell r="Y538">
            <v>0.23819252299428179</v>
          </cell>
          <cell r="Z538" t="e">
            <v>#N/A</v>
          </cell>
        </row>
        <row r="539">
          <cell r="P539">
            <v>5.3499999999999997E-3</v>
          </cell>
          <cell r="W539">
            <v>3.5320611572121031E-3</v>
          </cell>
          <cell r="X539">
            <v>0.2378882149500644</v>
          </cell>
          <cell r="Y539">
            <v>0.23819252355279025</v>
          </cell>
          <cell r="Z539" t="e">
            <v>#N/A</v>
          </cell>
        </row>
        <row r="540">
          <cell r="P540">
            <v>5.3600000000000002E-3</v>
          </cell>
          <cell r="W540">
            <v>3.5320611649388499E-3</v>
          </cell>
          <cell r="X540">
            <v>0.23788821510916089</v>
          </cell>
          <cell r="Y540">
            <v>0.23819252407724686</v>
          </cell>
          <cell r="Z540" t="e">
            <v>#N/A</v>
          </cell>
        </row>
        <row r="541">
          <cell r="P541">
            <v>5.3699999999999998E-3</v>
          </cell>
          <cell r="W541">
            <v>3.5320611721935476E-3</v>
          </cell>
          <cell r="X541">
            <v>0.23788821525782367</v>
          </cell>
          <cell r="Y541">
            <v>0.23819252456966439</v>
          </cell>
          <cell r="Z541" t="e">
            <v>#N/A</v>
          </cell>
        </row>
        <row r="542">
          <cell r="P542">
            <v>5.3800000000000002E-3</v>
          </cell>
          <cell r="W542">
            <v>3.5320611790041591E-3</v>
          </cell>
          <cell r="X542">
            <v>0.23788821539671778</v>
          </cell>
          <cell r="Y542">
            <v>0.23819252503194058</v>
          </cell>
          <cell r="Z542" t="e">
            <v>#N/A</v>
          </cell>
        </row>
        <row r="543">
          <cell r="P543">
            <v>5.3899999999999998E-3</v>
          </cell>
          <cell r="W543">
            <v>3.5320611853970466E-3</v>
          </cell>
          <cell r="X543">
            <v>0.23788821552646724</v>
          </cell>
          <cell r="Y543">
            <v>0.23819252546586459</v>
          </cell>
          <cell r="Z543" t="e">
            <v>#N/A</v>
          </cell>
        </row>
        <row r="544">
          <cell r="P544">
            <v>5.4000000000000003E-3</v>
          </cell>
          <cell r="W544">
            <v>3.5320611913970596E-3</v>
          </cell>
          <cell r="X544">
            <v>0.23788821564765736</v>
          </cell>
          <cell r="Y544">
            <v>0.23819252587312287</v>
          </cell>
          <cell r="Z544" t="e">
            <v>#N/A</v>
          </cell>
        </row>
        <row r="545">
          <cell r="P545">
            <v>5.4099999999999999E-3</v>
          </cell>
          <cell r="W545">
            <v>3.5320611970276181E-3</v>
          </cell>
          <cell r="X545">
            <v>0.23788821576083716</v>
          </cell>
          <cell r="Y545">
            <v>0.23819252625530493</v>
          </cell>
          <cell r="Z545" t="e">
            <v>#N/A</v>
          </cell>
        </row>
        <row r="546">
          <cell r="P546">
            <v>5.4200000000000003E-3</v>
          </cell>
          <cell r="W546">
            <v>3.5320612023107918E-3</v>
          </cell>
          <cell r="X546">
            <v>0.23788821586652151</v>
          </cell>
          <cell r="Y546">
            <v>0.23819252661390863</v>
          </cell>
          <cell r="Z546" t="e">
            <v>#N/A</v>
          </cell>
        </row>
        <row r="547">
          <cell r="P547">
            <v>5.4299999999999999E-3</v>
          </cell>
          <cell r="W547">
            <v>3.5320612072673755E-3</v>
          </cell>
          <cell r="X547">
            <v>0.23788821596519316</v>
          </cell>
          <cell r="Y547">
            <v>0.23819252695034532</v>
          </cell>
          <cell r="Z547" t="e">
            <v>#N/A</v>
          </cell>
        </row>
        <row r="548">
          <cell r="P548">
            <v>5.4400000000000004E-3</v>
          </cell>
          <cell r="W548">
            <v>3.5320612119169605E-3</v>
          </cell>
          <cell r="X548">
            <v>0.23788821605730473</v>
          </cell>
          <cell r="Y548">
            <v>0.23819252726594461</v>
          </cell>
          <cell r="Z548" t="e">
            <v>#N/A</v>
          </cell>
        </row>
        <row r="549">
          <cell r="P549">
            <v>5.45E-3</v>
          </cell>
          <cell r="W549">
            <v>3.5320612162780003E-3</v>
          </cell>
          <cell r="X549">
            <v>0.23788821614328046</v>
          </cell>
          <cell r="Y549">
            <v>0.23819252756195899</v>
          </cell>
          <cell r="Z549" t="e">
            <v>#N/A</v>
          </cell>
        </row>
        <row r="550">
          <cell r="P550">
            <v>5.4599999999999996E-3</v>
          </cell>
          <cell r="W550">
            <v>3.5320612203678758E-3</v>
          </cell>
          <cell r="X550">
            <v>0.237888216223518</v>
          </cell>
          <cell r="Y550">
            <v>0.23819252783956807</v>
          </cell>
          <cell r="Z550" t="e">
            <v>#N/A</v>
          </cell>
        </row>
        <row r="551">
          <cell r="P551">
            <v>5.47E-3</v>
          </cell>
          <cell r="W551">
            <v>3.5320612242029543E-3</v>
          </cell>
          <cell r="X551">
            <v>0.23788821629838999</v>
          </cell>
          <cell r="Y551">
            <v>0.23819252809988276</v>
          </cell>
          <cell r="Z551" t="e">
            <v>#N/A</v>
          </cell>
        </row>
        <row r="552">
          <cell r="P552">
            <v>5.4799999999999996E-3</v>
          </cell>
          <cell r="W552">
            <v>3.5320612277986471E-3</v>
          </cell>
          <cell r="X552">
            <v>0.23788821636824559</v>
          </cell>
          <cell r="Y552">
            <v>0.23819252834394899</v>
          </cell>
          <cell r="Z552" t="e">
            <v>#N/A</v>
          </cell>
        </row>
        <row r="553">
          <cell r="P553">
            <v>5.4900000000000001E-3</v>
          </cell>
          <cell r="W553">
            <v>3.5320612311694633E-3</v>
          </cell>
          <cell r="X553">
            <v>0.23788821643341188</v>
          </cell>
          <cell r="Y553">
            <v>0.23819252857275156</v>
          </cell>
          <cell r="Z553" t="e">
            <v>#N/A</v>
          </cell>
        </row>
        <row r="554">
          <cell r="P554">
            <v>5.4999999999999997E-3</v>
          </cell>
          <cell r="W554">
            <v>3.53206123432906E-3</v>
          </cell>
          <cell r="X554">
            <v>0.23788821649419525</v>
          </cell>
          <cell r="Y554">
            <v>0.23819252878721742</v>
          </cell>
          <cell r="Z554" t="e">
            <v>#N/A</v>
          </cell>
        </row>
        <row r="555">
          <cell r="P555">
            <v>5.5100000000000001E-3</v>
          </cell>
          <cell r="W555">
            <v>3.532061237290292E-3</v>
          </cell>
          <cell r="X555">
            <v>0.23788821655088266</v>
          </cell>
          <cell r="Y555">
            <v>0.23819252898821902</v>
          </cell>
          <cell r="Z555" t="e">
            <v>#N/A</v>
          </cell>
        </row>
        <row r="556">
          <cell r="P556">
            <v>5.5199999999999997E-3</v>
          </cell>
          <cell r="W556">
            <v>3.5320612400652554E-3</v>
          </cell>
          <cell r="X556">
            <v>0.23788821660374279</v>
          </cell>
          <cell r="Y556">
            <v>0.23819252917657741</v>
          </cell>
          <cell r="Z556" t="e">
            <v>#N/A</v>
          </cell>
        </row>
        <row r="557">
          <cell r="P557">
            <v>5.5300000000000002E-3</v>
          </cell>
          <cell r="W557">
            <v>3.5320612426653331E-3</v>
          </cell>
          <cell r="X557">
            <v>0.23788821665302726</v>
          </cell>
          <cell r="Y557">
            <v>0.23819252935306515</v>
          </cell>
          <cell r="Z557" t="e">
            <v>#N/A</v>
          </cell>
        </row>
        <row r="558">
          <cell r="P558">
            <v>5.5399999999999998E-3</v>
          </cell>
          <cell r="W558">
            <v>3.5320612451012331E-3</v>
          </cell>
          <cell r="X558">
            <v>0.23788821669897156</v>
          </cell>
          <cell r="Y558">
            <v>0.23819252951840902</v>
          </cell>
          <cell r="Z558" t="e">
            <v>#N/A</v>
          </cell>
        </row>
        <row r="559">
          <cell r="P559">
            <v>5.5500000000000002E-3</v>
          </cell>
          <cell r="W559">
            <v>3.532061247383029E-3</v>
          </cell>
          <cell r="X559">
            <v>0.23788821674179619</v>
          </cell>
          <cell r="Y559">
            <v>0.23819252967329277</v>
          </cell>
          <cell r="Z559" t="e">
            <v>#N/A</v>
          </cell>
        </row>
        <row r="560">
          <cell r="P560">
            <v>5.5599999999999998E-3</v>
          </cell>
          <cell r="W560">
            <v>3.5320612495201944E-3</v>
          </cell>
          <cell r="X560">
            <v>0.23788821678170743</v>
          </cell>
          <cell r="Y560">
            <v>0.23819252981835942</v>
          </cell>
          <cell r="Z560" t="e">
            <v>#N/A</v>
          </cell>
        </row>
        <row r="561">
          <cell r="P561">
            <v>5.5700000000000003E-3</v>
          </cell>
          <cell r="W561">
            <v>3.5320612515216399E-3</v>
          </cell>
          <cell r="X561">
            <v>0.23788821681889835</v>
          </cell>
          <cell r="Y561">
            <v>0.23819252995421375</v>
          </cell>
          <cell r="Z561" t="e">
            <v>#N/A</v>
          </cell>
        </row>
        <row r="562">
          <cell r="P562">
            <v>5.5799999999999999E-3</v>
          </cell>
          <cell r="W562">
            <v>3.5320612533957427E-3</v>
          </cell>
          <cell r="X562">
            <v>0.23788821685354958</v>
          </cell>
          <cell r="Y562">
            <v>0.23819253008142441</v>
          </cell>
          <cell r="Z562" t="e">
            <v>#N/A</v>
          </cell>
        </row>
        <row r="563">
          <cell r="P563">
            <v>5.5900000000000004E-3</v>
          </cell>
          <cell r="W563">
            <v>3.5320612551503795E-3</v>
          </cell>
          <cell r="X563">
            <v>0.23788821688583006</v>
          </cell>
          <cell r="Y563">
            <v>0.23819253020052597</v>
          </cell>
          <cell r="Z563" t="e">
            <v>#N/A</v>
          </cell>
        </row>
        <row r="564">
          <cell r="P564">
            <v>5.5999999999999999E-3</v>
          </cell>
          <cell r="W564">
            <v>3.5320612567929545E-3</v>
          </cell>
          <cell r="X564">
            <v>0.23788821691589787</v>
          </cell>
          <cell r="Y564">
            <v>0.23819253031202103</v>
          </cell>
          <cell r="Z564" t="e">
            <v>#N/A</v>
          </cell>
        </row>
        <row r="565">
          <cell r="P565">
            <v>5.6100000000000004E-3</v>
          </cell>
          <cell r="W565">
            <v>3.5320612583304265E-3</v>
          </cell>
          <cell r="X565">
            <v>0.2378882169439008</v>
          </cell>
          <cell r="Y565">
            <v>0.23819253041638191</v>
          </cell>
          <cell r="Z565" t="e">
            <v>#N/A</v>
          </cell>
        </row>
        <row r="566">
          <cell r="P566">
            <v>5.62E-3</v>
          </cell>
          <cell r="W566">
            <v>3.5320612597693358E-3</v>
          </cell>
          <cell r="X566">
            <v>0.23788821696997706</v>
          </cell>
          <cell r="Y566">
            <v>0.23819253051405256</v>
          </cell>
          <cell r="Z566" t="e">
            <v>#N/A</v>
          </cell>
        </row>
        <row r="567">
          <cell r="P567">
            <v>5.6299999999999996E-3</v>
          </cell>
          <cell r="W567">
            <v>3.5320612611158277E-3</v>
          </cell>
          <cell r="X567">
            <v>0.23788821699425583</v>
          </cell>
          <cell r="Y567">
            <v>0.23819253060545006</v>
          </cell>
          <cell r="Z567" t="e">
            <v>#N/A</v>
          </cell>
        </row>
        <row r="568">
          <cell r="P568">
            <v>5.64E-3</v>
          </cell>
          <cell r="W568">
            <v>3.5320612623756758E-3</v>
          </cell>
          <cell r="X568">
            <v>0.23788821701685789</v>
          </cell>
          <cell r="Y568">
            <v>0.23819253069096633</v>
          </cell>
          <cell r="Z568" t="e">
            <v>#N/A</v>
          </cell>
        </row>
        <row r="569">
          <cell r="P569">
            <v>5.6499999999999996E-3</v>
          </cell>
          <cell r="W569">
            <v>3.5320612635543038E-3</v>
          </cell>
          <cell r="X569">
            <v>0.23788821703789612</v>
          </cell>
          <cell r="Y569">
            <v>0.2381925307709695</v>
          </cell>
          <cell r="Z569" t="e">
            <v>#N/A</v>
          </cell>
        </row>
        <row r="570">
          <cell r="P570">
            <v>5.6600000000000001E-3</v>
          </cell>
          <cell r="W570">
            <v>3.5320612646568056E-3</v>
          </cell>
          <cell r="X570">
            <v>0.23788821705747604</v>
          </cell>
          <cell r="Y570">
            <v>0.23819253084580536</v>
          </cell>
          <cell r="Z570" t="e">
            <v>#N/A</v>
          </cell>
        </row>
        <row r="571">
          <cell r="P571">
            <v>5.6699999999999997E-3</v>
          </cell>
          <cell r="W571">
            <v>3.5320612656879655E-3</v>
          </cell>
          <cell r="X571">
            <v>0.23788821707569618</v>
          </cell>
          <cell r="Y571">
            <v>0.23819253091579864</v>
          </cell>
          <cell r="Z571" t="e">
            <v>#N/A</v>
          </cell>
        </row>
        <row r="572">
          <cell r="P572">
            <v>5.6800000000000002E-3</v>
          </cell>
          <cell r="W572">
            <v>3.5320612666522762E-3</v>
          </cell>
          <cell r="X572">
            <v>0.23788821709264868</v>
          </cell>
          <cell r="Y572">
            <v>0.23819253098125429</v>
          </cell>
          <cell r="Z572" t="e">
            <v>#N/A</v>
          </cell>
        </row>
        <row r="573">
          <cell r="P573">
            <v>5.6899999999999997E-3</v>
          </cell>
          <cell r="W573">
            <v>3.5320612675539551E-3</v>
          </cell>
          <cell r="X573">
            <v>0.23788821710841951</v>
          </cell>
          <cell r="Y573">
            <v>0.23819253104245855</v>
          </cell>
          <cell r="Z573" t="e">
            <v>#N/A</v>
          </cell>
        </row>
        <row r="574">
          <cell r="P574">
            <v>5.7000000000000002E-3</v>
          </cell>
          <cell r="W574">
            <v>3.5320612683969617E-3</v>
          </cell>
          <cell r="X574">
            <v>0.23788821712308902</v>
          </cell>
          <cell r="Y574">
            <v>0.23819253109968022</v>
          </cell>
          <cell r="Z574" t="e">
            <v>#N/A</v>
          </cell>
        </row>
        <row r="575">
          <cell r="P575">
            <v>5.7099999999999998E-3</v>
          </cell>
          <cell r="W575">
            <v>3.5320612691850124E-3</v>
          </cell>
          <cell r="X575">
            <v>0.23788821713673225</v>
          </cell>
          <cell r="Y575">
            <v>0.23819253115317154</v>
          </cell>
          <cell r="Z575" t="e">
            <v>#N/A</v>
          </cell>
        </row>
        <row r="576">
          <cell r="P576">
            <v>5.7200000000000003E-3</v>
          </cell>
          <cell r="W576">
            <v>3.532061269921595E-3</v>
          </cell>
          <cell r="X576">
            <v>0.23788821714941924</v>
          </cell>
          <cell r="Y576">
            <v>0.23819253120316927</v>
          </cell>
          <cell r="Z576" t="e">
            <v>#N/A</v>
          </cell>
        </row>
        <row r="577">
          <cell r="P577">
            <v>5.7299999999999999E-3</v>
          </cell>
          <cell r="W577">
            <v>3.5320612706099823E-3</v>
          </cell>
          <cell r="X577">
            <v>0.23788821716121536</v>
          </cell>
          <cell r="Y577">
            <v>0.23819253124989553</v>
          </cell>
          <cell r="Z577" t="e">
            <v>#N/A</v>
          </cell>
        </row>
        <row r="578">
          <cell r="P578">
            <v>5.7400000000000003E-3</v>
          </cell>
          <cell r="W578">
            <v>3.5320612712532451E-3</v>
          </cell>
          <cell r="X578">
            <v>0.23788821717218167</v>
          </cell>
          <cell r="Y578">
            <v>0.23819253129355877</v>
          </cell>
          <cell r="Z578" t="e">
            <v>#N/A</v>
          </cell>
        </row>
        <row r="579">
          <cell r="P579">
            <v>5.7499999999999999E-3</v>
          </cell>
          <cell r="W579">
            <v>3.5320612718542639E-3</v>
          </cell>
          <cell r="X579">
            <v>0.23788821718237513</v>
          </cell>
          <cell r="Y579">
            <v>0.23819253133435453</v>
          </cell>
          <cell r="Z579" t="e">
            <v>#N/A</v>
          </cell>
        </row>
        <row r="580">
          <cell r="P580">
            <v>5.7600000000000004E-3</v>
          </cell>
          <cell r="W580">
            <v>3.5320612724157405E-3</v>
          </cell>
          <cell r="X580">
            <v>0.23788821719184888</v>
          </cell>
          <cell r="Y580">
            <v>0.23819253137246621</v>
          </cell>
          <cell r="Z580" t="e">
            <v>#N/A</v>
          </cell>
        </row>
        <row r="581">
          <cell r="P581">
            <v>5.77E-3</v>
          </cell>
          <cell r="W581">
            <v>3.532061272940209E-3</v>
          </cell>
          <cell r="X581">
            <v>0.23788821720065254</v>
          </cell>
          <cell r="Y581">
            <v>0.23819253140806582</v>
          </cell>
          <cell r="Z581" t="e">
            <v>#N/A</v>
          </cell>
        </row>
        <row r="582">
          <cell r="P582">
            <v>5.7800000000000004E-3</v>
          </cell>
          <cell r="W582">
            <v>3.5320612734300455E-3</v>
          </cell>
          <cell r="X582">
            <v>0.23788821720883235</v>
          </cell>
          <cell r="Y582">
            <v>0.23819253144131464</v>
          </cell>
          <cell r="Z582" t="e">
            <v>#N/A</v>
          </cell>
        </row>
        <row r="583">
          <cell r="P583">
            <v>5.79E-3</v>
          </cell>
          <cell r="W583">
            <v>3.5320612738874782E-3</v>
          </cell>
          <cell r="X583">
            <v>0.23788821721643147</v>
          </cell>
          <cell r="Y583">
            <v>0.23819253147236391</v>
          </cell>
          <cell r="Z583" t="e">
            <v>#N/A</v>
          </cell>
        </row>
        <row r="584">
          <cell r="P584">
            <v>5.7999999999999996E-3</v>
          </cell>
          <cell r="W584">
            <v>3.5320612743145953E-3</v>
          </cell>
          <cell r="X584">
            <v>0.23788821722349016</v>
          </cell>
          <cell r="Y584">
            <v>0.23819253150135541</v>
          </cell>
          <cell r="Z584" t="e">
            <v>#N/A</v>
          </cell>
        </row>
        <row r="585">
          <cell r="P585">
            <v>5.8100000000000001E-3</v>
          </cell>
          <cell r="W585">
            <v>3.5320612747133549E-3</v>
          </cell>
          <cell r="X585">
            <v>0.23788821723004594</v>
          </cell>
          <cell r="Y585">
            <v>0.23819253152842204</v>
          </cell>
          <cell r="Z585" t="e">
            <v>#N/A</v>
          </cell>
        </row>
        <row r="586">
          <cell r="P586">
            <v>5.8199999999999997E-3</v>
          </cell>
          <cell r="W586">
            <v>3.5320612750855919E-3</v>
          </cell>
          <cell r="X586">
            <v>0.23788821723613379</v>
          </cell>
          <cell r="Y586">
            <v>0.2381925315536883</v>
          </cell>
          <cell r="Z586" t="e">
            <v>#N/A</v>
          </cell>
        </row>
        <row r="587">
          <cell r="P587">
            <v>5.8300000000000001E-3</v>
          </cell>
          <cell r="W587">
            <v>3.5320612754330253E-3</v>
          </cell>
          <cell r="X587">
            <v>0.23788821724178635</v>
          </cell>
          <cell r="Y587">
            <v>0.23819253157727094</v>
          </cell>
          <cell r="Z587" t="e">
            <v>#N/A</v>
          </cell>
        </row>
        <row r="588">
          <cell r="P588">
            <v>5.8399999999999997E-3</v>
          </cell>
          <cell r="W588">
            <v>3.5320612757572664E-3</v>
          </cell>
          <cell r="X588">
            <v>0.23788821724703402</v>
          </cell>
          <cell r="Y588">
            <v>0.23819253159927931</v>
          </cell>
          <cell r="Z588" t="e">
            <v>#N/A</v>
          </cell>
        </row>
        <row r="589">
          <cell r="P589">
            <v>5.8500000000000002E-3</v>
          </cell>
          <cell r="W589">
            <v>3.5320612760598243E-3</v>
          </cell>
          <cell r="X589">
            <v>0.23788821725190509</v>
          </cell>
          <cell r="Y589">
            <v>0.23819253161981585</v>
          </cell>
          <cell r="Z589" t="e">
            <v>#N/A</v>
          </cell>
        </row>
        <row r="590">
          <cell r="P590">
            <v>5.8599999999999998E-3</v>
          </cell>
          <cell r="W590">
            <v>3.5320612763421124E-3</v>
          </cell>
          <cell r="X590">
            <v>0.237888217256426</v>
          </cell>
          <cell r="Y590">
            <v>0.23819253163897652</v>
          </cell>
          <cell r="Z590" t="e">
            <v>#N/A</v>
          </cell>
        </row>
        <row r="591">
          <cell r="P591">
            <v>5.8700000000000002E-3</v>
          </cell>
          <cell r="W591">
            <v>3.5320612766054551E-3</v>
          </cell>
          <cell r="X591">
            <v>0.23788821726062132</v>
          </cell>
          <cell r="Y591">
            <v>0.2381925316568512</v>
          </cell>
          <cell r="Z591" t="e">
            <v>#N/A</v>
          </cell>
        </row>
        <row r="592">
          <cell r="P592">
            <v>5.8799999999999998E-3</v>
          </cell>
          <cell r="W592">
            <v>3.5320612768510924E-3</v>
          </cell>
          <cell r="X592">
            <v>0.23788821726451395</v>
          </cell>
          <cell r="Y592">
            <v>0.23819253167352403</v>
          </cell>
          <cell r="Z592" t="e">
            <v>#N/A</v>
          </cell>
        </row>
        <row r="593">
          <cell r="P593">
            <v>5.8900000000000003E-3</v>
          </cell>
          <cell r="W593">
            <v>3.5320612770801847E-3</v>
          </cell>
          <cell r="X593">
            <v>0.23788821726812526</v>
          </cell>
          <cell r="Y593">
            <v>0.23819253168907381</v>
          </cell>
          <cell r="Z593" t="e">
            <v>#N/A</v>
          </cell>
        </row>
        <row r="594">
          <cell r="P594">
            <v>5.8999999999999999E-3</v>
          </cell>
          <cell r="W594">
            <v>3.5320612772938194E-3</v>
          </cell>
          <cell r="X594">
            <v>0.23788821727147508</v>
          </cell>
          <cell r="Y594">
            <v>0.23819253170357435</v>
          </cell>
          <cell r="Z594" t="e">
            <v>#N/A</v>
          </cell>
        </row>
        <row r="595">
          <cell r="P595">
            <v>5.9100000000000003E-3</v>
          </cell>
          <cell r="W595">
            <v>3.5320612774930133E-3</v>
          </cell>
          <cell r="X595">
            <v>0.23788821727458195</v>
          </cell>
          <cell r="Y595">
            <v>0.23819253171709467</v>
          </cell>
          <cell r="Z595" t="e">
            <v>#N/A</v>
          </cell>
        </row>
        <row r="596">
          <cell r="P596">
            <v>5.9199999999999999E-3</v>
          </cell>
          <cell r="W596">
            <v>3.532061277678719E-3</v>
          </cell>
          <cell r="X596">
            <v>0.23788821727746307</v>
          </cell>
          <cell r="Y596">
            <v>0.23819253172969945</v>
          </cell>
          <cell r="Z596" t="e">
            <v>#N/A</v>
          </cell>
        </row>
        <row r="597">
          <cell r="P597">
            <v>5.9300000000000004E-3</v>
          </cell>
          <cell r="W597">
            <v>3.532061277851827E-3</v>
          </cell>
          <cell r="X597">
            <v>0.23788821728013448</v>
          </cell>
          <cell r="Y597">
            <v>0.23819253174144914</v>
          </cell>
          <cell r="Z597" t="e">
            <v>#N/A</v>
          </cell>
        </row>
        <row r="598">
          <cell r="P598">
            <v>5.94E-3</v>
          </cell>
          <cell r="W598">
            <v>3.5320612780131719E-3</v>
          </cell>
          <cell r="X598">
            <v>0.23788821728261111</v>
          </cell>
          <cell r="Y598">
            <v>0.23819253175240032</v>
          </cell>
          <cell r="Z598" t="e">
            <v>#N/A</v>
          </cell>
        </row>
        <row r="599">
          <cell r="P599">
            <v>5.9500000000000004E-3</v>
          </cell>
          <cell r="W599">
            <v>3.532061278163533E-3</v>
          </cell>
          <cell r="X599">
            <v>0.23788821728490683</v>
          </cell>
          <cell r="Y599">
            <v>0.23819253176260599</v>
          </cell>
          <cell r="Z599" t="e">
            <v>#N/A</v>
          </cell>
        </row>
        <row r="600">
          <cell r="P600">
            <v>5.96E-3</v>
          </cell>
          <cell r="W600">
            <v>3.5320612783036401E-3</v>
          </cell>
          <cell r="X600">
            <v>0.23788821728703458</v>
          </cell>
          <cell r="Y600">
            <v>0.23819253177211563</v>
          </cell>
          <cell r="Z600" t="e">
            <v>#N/A</v>
          </cell>
        </row>
        <row r="601">
          <cell r="P601">
            <v>5.9699999999999996E-3</v>
          </cell>
          <cell r="W601">
            <v>3.5320612784341759E-3</v>
          </cell>
          <cell r="X601">
            <v>0.23788821728900633</v>
          </cell>
          <cell r="Y601">
            <v>0.2381925317809756</v>
          </cell>
          <cell r="Z601" t="e">
            <v>#N/A</v>
          </cell>
        </row>
        <row r="602">
          <cell r="P602">
            <v>5.9800000000000001E-3</v>
          </cell>
          <cell r="W602">
            <v>3.5320612785557782E-3</v>
          </cell>
          <cell r="X602">
            <v>0.23788821729083331</v>
          </cell>
          <cell r="Y602">
            <v>0.23819253178922919</v>
          </cell>
          <cell r="Z602" t="e">
            <v>#N/A</v>
          </cell>
        </row>
        <row r="603">
          <cell r="P603">
            <v>5.9899999999999997E-3</v>
          </cell>
          <cell r="W603">
            <v>3.5320612786690444E-3</v>
          </cell>
          <cell r="X603">
            <v>0.23788821729252591</v>
          </cell>
          <cell r="Y603">
            <v>0.23819253179691693</v>
          </cell>
          <cell r="Z603" t="e">
            <v>#N/A</v>
          </cell>
        </row>
        <row r="604">
          <cell r="P604">
            <v>6.0000000000000001E-3</v>
          </cell>
          <cell r="W604">
            <v>3.5320612787745321E-3</v>
          </cell>
          <cell r="X604">
            <v>0.23788821729409379</v>
          </cell>
          <cell r="Y604">
            <v>0.23819253180407668</v>
          </cell>
          <cell r="Z604" t="e">
            <v>#N/A</v>
          </cell>
        </row>
        <row r="605">
          <cell r="P605">
            <v>6.0099999999999997E-3</v>
          </cell>
          <cell r="W605">
            <v>3.5320612788727625E-3</v>
          </cell>
          <cell r="X605">
            <v>0.23788821729554593</v>
          </cell>
          <cell r="Y605">
            <v>0.23819253181074385</v>
          </cell>
          <cell r="Z605" t="e">
            <v>#N/A</v>
          </cell>
        </row>
        <row r="606">
          <cell r="P606">
            <v>6.0200000000000002E-3</v>
          </cell>
          <cell r="W606">
            <v>3.5320612789642232E-3</v>
          </cell>
          <cell r="X606">
            <v>0.23788821729689069</v>
          </cell>
          <cell r="Y606">
            <v>0.23819253181695152</v>
          </cell>
          <cell r="Z606" t="e">
            <v>#N/A</v>
          </cell>
        </row>
        <row r="607">
          <cell r="P607">
            <v>6.0299999999999998E-3</v>
          </cell>
          <cell r="W607">
            <v>3.53206127904937E-3</v>
          </cell>
          <cell r="X607">
            <v>0.23788821729813583</v>
          </cell>
          <cell r="Y607">
            <v>0.23819253182273062</v>
          </cell>
          <cell r="Z607" t="e">
            <v>#N/A</v>
          </cell>
        </row>
        <row r="608">
          <cell r="P608">
            <v>6.0400000000000002E-3</v>
          </cell>
          <cell r="W608">
            <v>3.5320612791286286E-3</v>
          </cell>
          <cell r="X608">
            <v>0.23788821729928861</v>
          </cell>
          <cell r="Y608">
            <v>0.23819253182811004</v>
          </cell>
          <cell r="Z608" t="e">
            <v>#N/A</v>
          </cell>
        </row>
        <row r="609">
          <cell r="P609">
            <v>6.0499999999999998E-3</v>
          </cell>
          <cell r="W609">
            <v>3.5320612792023964E-3</v>
          </cell>
          <cell r="X609">
            <v>0.2378882173003557</v>
          </cell>
          <cell r="Y609">
            <v>0.23819253183311676</v>
          </cell>
          <cell r="Z609" t="e">
            <v>#N/A</v>
          </cell>
        </row>
        <row r="610">
          <cell r="P610">
            <v>6.0600000000000003E-3</v>
          </cell>
          <cell r="W610">
            <v>3.5320612792710451E-3</v>
          </cell>
          <cell r="X610">
            <v>0.23788821730134332</v>
          </cell>
          <cell r="Y610">
            <v>0.23819253183777603</v>
          </cell>
          <cell r="Z610" t="e">
            <v>#N/A</v>
          </cell>
        </row>
        <row r="611">
          <cell r="P611">
            <v>6.0699999999999999E-3</v>
          </cell>
          <cell r="W611">
            <v>3.5320612793349215E-3</v>
          </cell>
          <cell r="X611">
            <v>0.23788821730225729</v>
          </cell>
          <cell r="Y611">
            <v>0.23819253184211137</v>
          </cell>
          <cell r="Z611" t="e">
            <v>#N/A</v>
          </cell>
        </row>
        <row r="612">
          <cell r="P612">
            <v>6.0800000000000003E-3</v>
          </cell>
          <cell r="W612">
            <v>3.5320612793943501E-3</v>
          </cell>
          <cell r="X612">
            <v>0.23788821730310297</v>
          </cell>
          <cell r="Y612">
            <v>0.23819253184614481</v>
          </cell>
          <cell r="Z612" t="e">
            <v>#N/A</v>
          </cell>
        </row>
        <row r="613">
          <cell r="P613">
            <v>6.0899999999999999E-3</v>
          </cell>
          <cell r="W613">
            <v>3.5320612794496331E-3</v>
          </cell>
          <cell r="X613">
            <v>0.23788821730388537</v>
          </cell>
          <cell r="Y613">
            <v>0.23819253184989686</v>
          </cell>
          <cell r="Z613" t="e">
            <v>#N/A</v>
          </cell>
        </row>
        <row r="614">
          <cell r="P614">
            <v>6.1000000000000004E-3</v>
          </cell>
          <cell r="W614">
            <v>3.5320612795010533E-3</v>
          </cell>
          <cell r="X614">
            <v>0.2378882173046091</v>
          </cell>
          <cell r="Y614">
            <v>0.23819253185338674</v>
          </cell>
          <cell r="Z614" t="e">
            <v>#N/A</v>
          </cell>
        </row>
        <row r="615">
          <cell r="P615">
            <v>6.11E-3</v>
          </cell>
          <cell r="W615">
            <v>3.5320612795488745E-3</v>
          </cell>
          <cell r="X615">
            <v>0.23788821730527848</v>
          </cell>
          <cell r="Y615">
            <v>0.23819253185663231</v>
          </cell>
          <cell r="Z615" t="e">
            <v>#N/A</v>
          </cell>
        </row>
        <row r="616">
          <cell r="P616">
            <v>6.1199999999999996E-3</v>
          </cell>
          <cell r="W616">
            <v>3.5320612795933424E-3</v>
          </cell>
          <cell r="X616">
            <v>0.23788821730589751</v>
          </cell>
          <cell r="Y616">
            <v>0.23819253185965031</v>
          </cell>
          <cell r="Z616" t="e">
            <v>#N/A</v>
          </cell>
        </row>
        <row r="617">
          <cell r="P617">
            <v>6.13E-3</v>
          </cell>
          <cell r="W617">
            <v>3.5320612796346873E-3</v>
          </cell>
          <cell r="X617">
            <v>0.23788821730646989</v>
          </cell>
          <cell r="Y617">
            <v>0.23819253186245631</v>
          </cell>
          <cell r="Z617" t="e">
            <v>#N/A</v>
          </cell>
        </row>
        <row r="618">
          <cell r="P618">
            <v>6.1399999999999996E-3</v>
          </cell>
          <cell r="W618">
            <v>3.5320612796731232E-3</v>
          </cell>
          <cell r="X618">
            <v>0.23788821730699908</v>
          </cell>
          <cell r="Y618">
            <v>0.23819253186506489</v>
          </cell>
          <cell r="Z618" t="e">
            <v>#N/A</v>
          </cell>
        </row>
        <row r="619">
          <cell r="P619">
            <v>6.1500000000000001E-3</v>
          </cell>
          <cell r="W619">
            <v>3.5320612797088502E-3</v>
          </cell>
          <cell r="X619">
            <v>0.23788821730748824</v>
          </cell>
          <cell r="Y619">
            <v>0.23819253186748962</v>
          </cell>
          <cell r="Z619" t="e">
            <v>#N/A</v>
          </cell>
        </row>
        <row r="620">
          <cell r="P620">
            <v>6.1599999999999997E-3</v>
          </cell>
          <cell r="W620">
            <v>3.5320612797420554E-3</v>
          </cell>
          <cell r="X620">
            <v>0.23788821730794038</v>
          </cell>
          <cell r="Y620">
            <v>0.23819253186974318</v>
          </cell>
          <cell r="Z620" t="e">
            <v>#N/A</v>
          </cell>
        </row>
        <row r="621">
          <cell r="P621">
            <v>6.1700000000000001E-3</v>
          </cell>
          <cell r="W621">
            <v>3.5320612797729123E-3</v>
          </cell>
          <cell r="X621">
            <v>0.23788821730835821</v>
          </cell>
          <cell r="Y621">
            <v>0.23819253187183737</v>
          </cell>
          <cell r="Z621" t="e">
            <v>#N/A</v>
          </cell>
        </row>
        <row r="622">
          <cell r="P622">
            <v>6.1799999999999997E-3</v>
          </cell>
          <cell r="W622">
            <v>3.5320612798015833E-3</v>
          </cell>
          <cell r="X622">
            <v>0.23788821730874429</v>
          </cell>
          <cell r="Y622">
            <v>0.2381925318737832</v>
          </cell>
          <cell r="Z622" t="e">
            <v>#N/A</v>
          </cell>
        </row>
        <row r="623">
          <cell r="P623">
            <v>6.1900000000000002E-3</v>
          </cell>
          <cell r="W623">
            <v>3.5320612798282205E-3</v>
          </cell>
          <cell r="X623">
            <v>0.23788821730910098</v>
          </cell>
          <cell r="Y623">
            <v>0.23819253187559095</v>
          </cell>
          <cell r="Z623" t="e">
            <v>#N/A</v>
          </cell>
        </row>
        <row r="624">
          <cell r="P624">
            <v>6.1999999999999998E-3</v>
          </cell>
          <cell r="W624">
            <v>3.5320612798529641E-3</v>
          </cell>
          <cell r="X624">
            <v>0.23788821730943047</v>
          </cell>
          <cell r="Y624">
            <v>0.23819253187727019</v>
          </cell>
          <cell r="Z624" t="e">
            <v>#N/A</v>
          </cell>
        </row>
        <row r="625">
          <cell r="P625">
            <v>6.2100000000000002E-3</v>
          </cell>
          <cell r="W625">
            <v>3.5320612798759462E-3</v>
          </cell>
          <cell r="X625">
            <v>0.23788821730973478</v>
          </cell>
          <cell r="Y625">
            <v>0.23819253187882988</v>
          </cell>
          <cell r="Z625" t="e">
            <v>#N/A</v>
          </cell>
        </row>
        <row r="626">
          <cell r="P626">
            <v>6.2199999999999998E-3</v>
          </cell>
          <cell r="W626">
            <v>3.5320612798972893E-3</v>
          </cell>
          <cell r="X626">
            <v>0.2378882173100158</v>
          </cell>
          <cell r="Y626">
            <v>0.23819253188027834</v>
          </cell>
          <cell r="Z626" t="e">
            <v>#N/A</v>
          </cell>
        </row>
        <row r="627">
          <cell r="P627">
            <v>6.2300000000000003E-3</v>
          </cell>
          <cell r="W627">
            <v>3.5320612799171081E-3</v>
          </cell>
          <cell r="X627">
            <v>0.23788821731027529</v>
          </cell>
          <cell r="Y627">
            <v>0.23819253188162332</v>
          </cell>
          <cell r="Z627" t="e">
            <v>#N/A</v>
          </cell>
        </row>
        <row r="628">
          <cell r="P628">
            <v>6.2399999999999999E-3</v>
          </cell>
          <cell r="W628">
            <v>3.5320612799355088E-3</v>
          </cell>
          <cell r="X628">
            <v>0.23788821731051488</v>
          </cell>
          <cell r="Y628">
            <v>0.23819253188287204</v>
          </cell>
          <cell r="Z628" t="e">
            <v>#N/A</v>
          </cell>
        </row>
        <row r="629">
          <cell r="P629">
            <v>6.2500000000000003E-3</v>
          </cell>
          <cell r="W629">
            <v>3.5320612799525906E-3</v>
          </cell>
          <cell r="X629">
            <v>0.23788821731073603</v>
          </cell>
          <cell r="Y629">
            <v>0.23819253188403125</v>
          </cell>
          <cell r="Z629" t="e">
            <v>#N/A</v>
          </cell>
        </row>
        <row r="630">
          <cell r="P630">
            <v>6.2599999999999999E-3</v>
          </cell>
          <cell r="W630">
            <v>3.532061279968446E-3</v>
          </cell>
          <cell r="X630">
            <v>0.23788821731094015</v>
          </cell>
          <cell r="Y630">
            <v>0.23819253188510725</v>
          </cell>
          <cell r="Z630" t="e">
            <v>#N/A</v>
          </cell>
        </row>
        <row r="631">
          <cell r="P631">
            <v>6.2700000000000004E-3</v>
          </cell>
          <cell r="W631">
            <v>3.5320612799831612E-3</v>
          </cell>
          <cell r="X631">
            <v>0.23788821731112852</v>
          </cell>
          <cell r="Y631">
            <v>0.23819253188610584</v>
          </cell>
          <cell r="Z631" t="e">
            <v>#N/A</v>
          </cell>
        </row>
        <row r="632">
          <cell r="P632">
            <v>6.28E-3</v>
          </cell>
          <cell r="W632">
            <v>3.5320612799968165E-3</v>
          </cell>
          <cell r="X632">
            <v>0.23788821731130236</v>
          </cell>
          <cell r="Y632">
            <v>0.23819253188703252</v>
          </cell>
          <cell r="Z632" t="e">
            <v>#N/A</v>
          </cell>
        </row>
        <row r="633">
          <cell r="P633">
            <v>6.2899999999999996E-3</v>
          </cell>
          <cell r="W633">
            <v>3.5320612800094865E-3</v>
          </cell>
          <cell r="X633">
            <v>0.23788821731146273</v>
          </cell>
          <cell r="Y633">
            <v>0.2381925318878923</v>
          </cell>
          <cell r="Z633" t="e">
            <v>#N/A</v>
          </cell>
        </row>
        <row r="634">
          <cell r="P634">
            <v>6.3E-3</v>
          </cell>
          <cell r="W634">
            <v>3.5320612800212405E-3</v>
          </cell>
          <cell r="X634">
            <v>0.23788821731161067</v>
          </cell>
          <cell r="Y634">
            <v>0.23819253188868994</v>
          </cell>
          <cell r="Z634" t="e">
            <v>#N/A</v>
          </cell>
        </row>
        <row r="635">
          <cell r="P635">
            <v>6.3099999999999996E-3</v>
          </cell>
          <cell r="W635">
            <v>3.5320612800321437E-3</v>
          </cell>
          <cell r="X635">
            <v>0.23788821731174711</v>
          </cell>
          <cell r="Y635">
            <v>0.23819253188942985</v>
          </cell>
          <cell r="Z635" t="e">
            <v>#N/A</v>
          </cell>
        </row>
        <row r="636">
          <cell r="P636">
            <v>6.3200000000000001E-3</v>
          </cell>
          <cell r="W636">
            <v>3.5320612800422563E-3</v>
          </cell>
          <cell r="X636">
            <v>0.23788821731187296</v>
          </cell>
          <cell r="Y636">
            <v>0.2381925318901161</v>
          </cell>
          <cell r="Z636" t="e">
            <v>#N/A</v>
          </cell>
        </row>
        <row r="637">
          <cell r="P637">
            <v>6.3299999999999997E-3</v>
          </cell>
          <cell r="W637">
            <v>3.5320612800516346E-3</v>
          </cell>
          <cell r="X637">
            <v>0.23788821731198898</v>
          </cell>
          <cell r="Y637">
            <v>0.23819253189075251</v>
          </cell>
          <cell r="Z637" t="e">
            <v>#N/A</v>
          </cell>
        </row>
        <row r="638">
          <cell r="P638">
            <v>6.3400000000000001E-3</v>
          </cell>
          <cell r="W638">
            <v>3.5320612800603304E-3</v>
          </cell>
          <cell r="X638">
            <v>0.23788821731209595</v>
          </cell>
          <cell r="Y638">
            <v>0.2381925318913426</v>
          </cell>
          <cell r="Z638" t="e">
            <v>#N/A</v>
          </cell>
        </row>
        <row r="639">
          <cell r="P639">
            <v>6.3499999999999997E-3</v>
          </cell>
          <cell r="W639">
            <v>3.5320612800683925E-3</v>
          </cell>
          <cell r="X639">
            <v>0.23788821731219456</v>
          </cell>
          <cell r="Y639">
            <v>0.23819253189188969</v>
          </cell>
          <cell r="Z639" t="e">
            <v>#N/A</v>
          </cell>
        </row>
        <row r="640">
          <cell r="P640">
            <v>6.3600000000000002E-3</v>
          </cell>
          <cell r="W640">
            <v>3.5320612800758661E-3</v>
          </cell>
          <cell r="X640">
            <v>0.23788821731228543</v>
          </cell>
          <cell r="Y640">
            <v>0.23819253189239684</v>
          </cell>
          <cell r="Z640" t="e">
            <v>#N/A</v>
          </cell>
        </row>
        <row r="641">
          <cell r="P641">
            <v>6.3699999999999998E-3</v>
          </cell>
          <cell r="W641">
            <v>3.5320612800827933E-3</v>
          </cell>
          <cell r="X641">
            <v>0.2378882173123692</v>
          </cell>
          <cell r="Y641">
            <v>0.2381925318928669</v>
          </cell>
          <cell r="Z641" t="e">
            <v>#N/A</v>
          </cell>
        </row>
        <row r="642">
          <cell r="P642">
            <v>6.3800000000000003E-3</v>
          </cell>
          <cell r="W642">
            <v>3.5320612800892135E-3</v>
          </cell>
          <cell r="X642">
            <v>0.23788821731244639</v>
          </cell>
          <cell r="Y642">
            <v>0.23819253189330256</v>
          </cell>
          <cell r="Z642" t="e">
            <v>#N/A</v>
          </cell>
        </row>
        <row r="643">
          <cell r="P643">
            <v>6.3899999999999998E-3</v>
          </cell>
          <cell r="W643">
            <v>3.5320612800951627E-3</v>
          </cell>
          <cell r="X643">
            <v>0.2378882173125175</v>
          </cell>
          <cell r="Y643">
            <v>0.23819253189370623</v>
          </cell>
          <cell r="Z643" t="e">
            <v>#N/A</v>
          </cell>
        </row>
        <row r="644">
          <cell r="P644">
            <v>6.4000000000000003E-3</v>
          </cell>
          <cell r="W644">
            <v>3.5320612801006748E-3</v>
          </cell>
          <cell r="X644">
            <v>0.237888217312583</v>
          </cell>
          <cell r="Y644">
            <v>0.23819253189408027</v>
          </cell>
          <cell r="Z644" t="e">
            <v>#N/A</v>
          </cell>
        </row>
        <row r="645">
          <cell r="P645">
            <v>6.4099999999999999E-3</v>
          </cell>
          <cell r="W645">
            <v>3.5320612801057814E-3</v>
          </cell>
          <cell r="X645">
            <v>0.23788821731264334</v>
          </cell>
          <cell r="Y645">
            <v>0.23819253189442677</v>
          </cell>
          <cell r="Z645" t="e">
            <v>#N/A</v>
          </cell>
        </row>
        <row r="646">
          <cell r="P646">
            <v>6.4200000000000004E-3</v>
          </cell>
          <cell r="W646">
            <v>3.5320612801105116E-3</v>
          </cell>
          <cell r="X646">
            <v>0.23788821731269891</v>
          </cell>
          <cell r="Y646">
            <v>0.23819253189474773</v>
          </cell>
          <cell r="Z646" t="e">
            <v>#N/A</v>
          </cell>
        </row>
        <row r="647">
          <cell r="P647">
            <v>6.43E-3</v>
          </cell>
          <cell r="W647">
            <v>3.5320612801148922E-3</v>
          </cell>
          <cell r="X647">
            <v>0.23788821731275006</v>
          </cell>
          <cell r="Y647">
            <v>0.238192531895045</v>
          </cell>
          <cell r="Z647" t="e">
            <v>#N/A</v>
          </cell>
        </row>
        <row r="648">
          <cell r="P648">
            <v>6.4400000000000004E-3</v>
          </cell>
          <cell r="W648">
            <v>3.5320612801189493E-3</v>
          </cell>
          <cell r="X648">
            <v>0.23788821731279716</v>
          </cell>
          <cell r="Y648">
            <v>0.23819253189532028</v>
          </cell>
          <cell r="Z648" t="e">
            <v>#N/A</v>
          </cell>
        </row>
        <row r="649">
          <cell r="P649">
            <v>6.45E-3</v>
          </cell>
          <cell r="W649">
            <v>3.5320612801227058E-3</v>
          </cell>
          <cell r="X649">
            <v>0.23788821731284052</v>
          </cell>
          <cell r="Y649">
            <v>0.23819253189557515</v>
          </cell>
          <cell r="Z649" t="e">
            <v>#N/A</v>
          </cell>
        </row>
        <row r="650">
          <cell r="P650">
            <v>6.4599999999999996E-3</v>
          </cell>
          <cell r="W650">
            <v>3.5320612801261835E-3</v>
          </cell>
          <cell r="X650">
            <v>0.23788821731288043</v>
          </cell>
          <cell r="Y650">
            <v>0.23819253189581113</v>
          </cell>
          <cell r="Z650" t="e">
            <v>#N/A</v>
          </cell>
        </row>
        <row r="651">
          <cell r="P651">
            <v>6.4700000000000001E-3</v>
          </cell>
          <cell r="W651">
            <v>3.5320612801294027E-3</v>
          </cell>
          <cell r="X651">
            <v>0.23788821731291715</v>
          </cell>
          <cell r="Y651">
            <v>0.23819253189602957</v>
          </cell>
          <cell r="Z651" t="e">
            <v>#N/A</v>
          </cell>
        </row>
        <row r="652">
          <cell r="P652">
            <v>6.4799999999999996E-3</v>
          </cell>
          <cell r="W652">
            <v>3.5320612801323825E-3</v>
          </cell>
          <cell r="X652">
            <v>0.23788821731295096</v>
          </cell>
          <cell r="Y652">
            <v>0.23819253189623174</v>
          </cell>
          <cell r="Z652" t="e">
            <v>#N/A</v>
          </cell>
        </row>
        <row r="653">
          <cell r="P653">
            <v>6.4900000000000001E-3</v>
          </cell>
          <cell r="W653">
            <v>3.5320612801351403E-3</v>
          </cell>
          <cell r="X653">
            <v>0.23788821731298204</v>
          </cell>
          <cell r="Y653">
            <v>0.23819253189641884</v>
          </cell>
          <cell r="Z653" t="e">
            <v>#N/A</v>
          </cell>
        </row>
        <row r="654">
          <cell r="P654">
            <v>6.4999999999999997E-3</v>
          </cell>
          <cell r="W654">
            <v>3.5320612801376921E-3</v>
          </cell>
          <cell r="X654">
            <v>0.23788821731301066</v>
          </cell>
          <cell r="Y654">
            <v>0.23819253189659198</v>
          </cell>
          <cell r="Z654" t="e">
            <v>#N/A</v>
          </cell>
        </row>
        <row r="655">
          <cell r="P655">
            <v>6.5100000000000002E-3</v>
          </cell>
          <cell r="W655">
            <v>3.5320612801400531E-3</v>
          </cell>
          <cell r="X655">
            <v>0.23788821731303697</v>
          </cell>
          <cell r="Y655">
            <v>0.23819253189675216</v>
          </cell>
          <cell r="Z655" t="e">
            <v>#N/A</v>
          </cell>
        </row>
        <row r="656">
          <cell r="P656">
            <v>6.5199999999999998E-3</v>
          </cell>
          <cell r="W656">
            <v>3.5320612801422371E-3</v>
          </cell>
          <cell r="X656">
            <v>0.23788821731306117</v>
          </cell>
          <cell r="Y656">
            <v>0.23819253189690034</v>
          </cell>
          <cell r="Z656" t="e">
            <v>#N/A</v>
          </cell>
        </row>
        <row r="657">
          <cell r="P657">
            <v>6.5300000000000002E-3</v>
          </cell>
          <cell r="W657">
            <v>3.5320612801442572E-3</v>
          </cell>
          <cell r="X657">
            <v>0.23788821731308341</v>
          </cell>
          <cell r="Y657">
            <v>0.2381925318970374</v>
          </cell>
          <cell r="Z657" t="e">
            <v>#N/A</v>
          </cell>
        </row>
        <row r="658">
          <cell r="P658">
            <v>6.5399999999999998E-3</v>
          </cell>
          <cell r="W658">
            <v>3.5320612801461254E-3</v>
          </cell>
          <cell r="X658">
            <v>0.23788821731310386</v>
          </cell>
          <cell r="Y658">
            <v>0.23819253189716416</v>
          </cell>
          <cell r="Z658" t="e">
            <v>#N/A</v>
          </cell>
        </row>
        <row r="659">
          <cell r="P659">
            <v>6.5500000000000003E-3</v>
          </cell>
          <cell r="W659">
            <v>3.5320612801478532E-3</v>
          </cell>
          <cell r="X659">
            <v>0.23788821731312265</v>
          </cell>
          <cell r="Y659">
            <v>0.23819253189728137</v>
          </cell>
          <cell r="Z659" t="e">
            <v>#N/A</v>
          </cell>
        </row>
        <row r="660">
          <cell r="P660">
            <v>6.5599999999999999E-3</v>
          </cell>
          <cell r="W660">
            <v>3.5320612801494505E-3</v>
          </cell>
          <cell r="X660">
            <v>0.23788821731313994</v>
          </cell>
          <cell r="Y660">
            <v>0.23819253189738976</v>
          </cell>
          <cell r="Z660" t="e">
            <v>#N/A</v>
          </cell>
        </row>
        <row r="661">
          <cell r="P661">
            <v>6.5700000000000003E-3</v>
          </cell>
          <cell r="W661">
            <v>3.5320612801509272E-3</v>
          </cell>
          <cell r="X661">
            <v>0.23788821731315582</v>
          </cell>
          <cell r="Y661">
            <v>0.23819253189748996</v>
          </cell>
          <cell r="Z661" t="e">
            <v>#N/A</v>
          </cell>
        </row>
        <row r="662">
          <cell r="P662">
            <v>6.5799999999999999E-3</v>
          </cell>
          <cell r="W662">
            <v>3.5320612801522924E-3</v>
          </cell>
          <cell r="X662">
            <v>0.23788821731317042</v>
          </cell>
          <cell r="Y662">
            <v>0.23819253189758258</v>
          </cell>
          <cell r="Z662" t="e">
            <v>#N/A</v>
          </cell>
        </row>
        <row r="663">
          <cell r="P663">
            <v>6.5900000000000004E-3</v>
          </cell>
          <cell r="W663">
            <v>3.532061280153554E-3</v>
          </cell>
          <cell r="X663">
            <v>0.23788821731318383</v>
          </cell>
          <cell r="Y663">
            <v>0.23819253189766817</v>
          </cell>
          <cell r="Z663" t="e">
            <v>#N/A</v>
          </cell>
        </row>
        <row r="664">
          <cell r="P664">
            <v>6.6E-3</v>
          </cell>
          <cell r="W664">
            <v>3.5320612801547201E-3</v>
          </cell>
          <cell r="X664">
            <v>0.23788821731319615</v>
          </cell>
          <cell r="Y664">
            <v>0.23819253189774728</v>
          </cell>
          <cell r="Z664" t="e">
            <v>#N/A</v>
          </cell>
        </row>
        <row r="665">
          <cell r="P665">
            <v>6.6100000000000004E-3</v>
          </cell>
          <cell r="W665">
            <v>3.5320612801557974E-3</v>
          </cell>
          <cell r="X665">
            <v>0.23788821731320747</v>
          </cell>
          <cell r="Y665">
            <v>0.23819253189782039</v>
          </cell>
          <cell r="Z665" t="e">
            <v>#N/A</v>
          </cell>
        </row>
        <row r="666">
          <cell r="P666">
            <v>6.62E-3</v>
          </cell>
          <cell r="W666">
            <v>3.5320612801567927E-3</v>
          </cell>
          <cell r="X666">
            <v>0.23788821731321785</v>
          </cell>
          <cell r="Y666">
            <v>0.23819253189788792</v>
          </cell>
          <cell r="Z666" t="e">
            <v>#N/A</v>
          </cell>
        </row>
        <row r="667">
          <cell r="P667">
            <v>6.6299999999999996E-3</v>
          </cell>
          <cell r="W667">
            <v>3.5320612801577125E-3</v>
          </cell>
          <cell r="X667">
            <v>0.2378882173132274</v>
          </cell>
          <cell r="Y667">
            <v>0.23819253189795031</v>
          </cell>
          <cell r="Z667" t="e">
            <v>#N/A</v>
          </cell>
        </row>
        <row r="668">
          <cell r="P668">
            <v>6.6400000000000001E-3</v>
          </cell>
          <cell r="W668">
            <v>3.5320612801585621E-3</v>
          </cell>
          <cell r="X668">
            <v>0.23788821731323617</v>
          </cell>
          <cell r="Y668">
            <v>0.23819253189800793</v>
          </cell>
          <cell r="Z668" t="e">
            <v>#N/A</v>
          </cell>
        </row>
        <row r="669">
          <cell r="P669">
            <v>6.6499999999999997E-3</v>
          </cell>
          <cell r="W669">
            <v>3.5320612801593466E-3</v>
          </cell>
          <cell r="X669">
            <v>0.23788821731324422</v>
          </cell>
          <cell r="Y669">
            <v>0.23819253189806114</v>
          </cell>
          <cell r="Z669" t="e">
            <v>#N/A</v>
          </cell>
        </row>
        <row r="670">
          <cell r="P670">
            <v>6.6600000000000001E-3</v>
          </cell>
          <cell r="W670">
            <v>3.5320612801600709E-3</v>
          </cell>
          <cell r="X670">
            <v>0.2378882173132516</v>
          </cell>
          <cell r="Y670">
            <v>0.23819253189811027</v>
          </cell>
          <cell r="Z670" t="e">
            <v>#N/A</v>
          </cell>
        </row>
        <row r="671">
          <cell r="P671">
            <v>6.6699999999999997E-3</v>
          </cell>
          <cell r="W671">
            <v>3.5320612801607396E-3</v>
          </cell>
          <cell r="X671">
            <v>0.23788821731325838</v>
          </cell>
          <cell r="Y671">
            <v>0.23819253189815565</v>
          </cell>
          <cell r="Z671" t="e">
            <v>#N/A</v>
          </cell>
        </row>
        <row r="672">
          <cell r="P672">
            <v>6.6800000000000002E-3</v>
          </cell>
          <cell r="W672">
            <v>3.5320612801613572E-3</v>
          </cell>
          <cell r="X672">
            <v>0.23788821731326459</v>
          </cell>
          <cell r="Y672">
            <v>0.23819253189819753</v>
          </cell>
          <cell r="Z672" t="e">
            <v>#N/A</v>
          </cell>
        </row>
        <row r="673">
          <cell r="P673">
            <v>6.6899999999999998E-3</v>
          </cell>
          <cell r="W673">
            <v>3.532061280161927E-3</v>
          </cell>
          <cell r="X673">
            <v>0.23788821731327028</v>
          </cell>
          <cell r="Y673">
            <v>0.23819253189823619</v>
          </cell>
          <cell r="Z673" t="e">
            <v>#N/A</v>
          </cell>
        </row>
        <row r="674">
          <cell r="P674">
            <v>6.7000000000000002E-3</v>
          </cell>
          <cell r="W674">
            <v>3.5320612801624531E-3</v>
          </cell>
          <cell r="X674">
            <v>0.2378882173132755</v>
          </cell>
          <cell r="Y674">
            <v>0.23819253189827186</v>
          </cell>
          <cell r="Z674" t="e">
            <v>#N/A</v>
          </cell>
        </row>
        <row r="675">
          <cell r="P675">
            <v>6.7099999999999998E-3</v>
          </cell>
          <cell r="W675">
            <v>3.5320612801629384E-3</v>
          </cell>
          <cell r="X675">
            <v>0.2378882173132803</v>
          </cell>
          <cell r="Y675">
            <v>0.23819253189830478</v>
          </cell>
          <cell r="Z675" t="e">
            <v>#N/A</v>
          </cell>
        </row>
        <row r="676">
          <cell r="P676">
            <v>6.7200000000000003E-3</v>
          </cell>
          <cell r="W676">
            <v>3.5320612801633864E-3</v>
          </cell>
          <cell r="X676">
            <v>0.23788821731328472</v>
          </cell>
          <cell r="Y676">
            <v>0.23819253189833517</v>
          </cell>
          <cell r="Z676" t="e">
            <v>#N/A</v>
          </cell>
        </row>
        <row r="677">
          <cell r="P677">
            <v>6.7299999999999999E-3</v>
          </cell>
          <cell r="W677">
            <v>3.5320612801637997E-3</v>
          </cell>
          <cell r="X677">
            <v>0.23788821731328874</v>
          </cell>
          <cell r="Y677">
            <v>0.2381925318983632</v>
          </cell>
          <cell r="Z677" t="e">
            <v>#N/A</v>
          </cell>
        </row>
        <row r="678">
          <cell r="P678">
            <v>6.7400000000000003E-3</v>
          </cell>
          <cell r="W678">
            <v>3.5320612801641809E-3</v>
          </cell>
          <cell r="X678">
            <v>0.23788821731329243</v>
          </cell>
          <cell r="Y678">
            <v>0.23819253189838907</v>
          </cell>
          <cell r="Z678" t="e">
            <v>#N/A</v>
          </cell>
        </row>
        <row r="679">
          <cell r="P679">
            <v>6.7499999999999999E-3</v>
          </cell>
          <cell r="W679">
            <v>3.5320612801645326E-3</v>
          </cell>
          <cell r="X679">
            <v>0.23788821731329582</v>
          </cell>
          <cell r="Y679">
            <v>0.23819253189841291</v>
          </cell>
          <cell r="Z679" t="e">
            <v>#N/A</v>
          </cell>
        </row>
        <row r="680">
          <cell r="P680">
            <v>6.7600000000000004E-3</v>
          </cell>
          <cell r="W680">
            <v>3.532061280164857E-3</v>
          </cell>
          <cell r="X680">
            <v>0.23788821731329893</v>
          </cell>
          <cell r="Y680">
            <v>0.23819253189843489</v>
          </cell>
          <cell r="Z680" t="e">
            <v>#N/A</v>
          </cell>
        </row>
        <row r="681">
          <cell r="P681">
            <v>6.77E-3</v>
          </cell>
          <cell r="W681">
            <v>3.5320612801651558E-3</v>
          </cell>
          <cell r="X681">
            <v>0.23788821731330179</v>
          </cell>
          <cell r="Y681">
            <v>0.23819253189845518</v>
          </cell>
          <cell r="Z681" t="e">
            <v>#N/A</v>
          </cell>
        </row>
        <row r="682">
          <cell r="P682">
            <v>6.7799999999999996E-3</v>
          </cell>
          <cell r="W682">
            <v>3.5320612801654316E-3</v>
          </cell>
          <cell r="X682">
            <v>0.2378882173133044</v>
          </cell>
          <cell r="Y682">
            <v>0.23819253189847389</v>
          </cell>
          <cell r="Z682" t="e">
            <v>#N/A</v>
          </cell>
        </row>
        <row r="683">
          <cell r="P683">
            <v>6.79E-3</v>
          </cell>
          <cell r="W683">
            <v>3.5320612801656858E-3</v>
          </cell>
          <cell r="X683">
            <v>0.23788821731330678</v>
          </cell>
          <cell r="Y683">
            <v>0.23819253189849113</v>
          </cell>
          <cell r="Z683" t="e">
            <v>#N/A</v>
          </cell>
        </row>
        <row r="684">
          <cell r="P684">
            <v>6.7999999999999996E-3</v>
          </cell>
          <cell r="W684">
            <v>3.5320612801659199E-3</v>
          </cell>
          <cell r="X684">
            <v>0.23788821731330898</v>
          </cell>
          <cell r="Y684">
            <v>0.238192531898507</v>
          </cell>
          <cell r="Z684" t="e">
            <v>#N/A</v>
          </cell>
        </row>
        <row r="685">
          <cell r="P685">
            <v>6.8100000000000001E-3</v>
          </cell>
          <cell r="W685">
            <v>3.5320612801661359E-3</v>
          </cell>
          <cell r="X685">
            <v>0.23788821731331097</v>
          </cell>
          <cell r="Y685">
            <v>0.23819253189852166</v>
          </cell>
          <cell r="Z685" t="e">
            <v>#N/A</v>
          </cell>
        </row>
        <row r="686">
          <cell r="P686">
            <v>6.8199999999999997E-3</v>
          </cell>
          <cell r="W686">
            <v>3.532061280166335E-3</v>
          </cell>
          <cell r="X686">
            <v>0.23788821731331281</v>
          </cell>
          <cell r="Y686">
            <v>0.23819253189853515</v>
          </cell>
          <cell r="Z686" t="e">
            <v>#N/A</v>
          </cell>
        </row>
        <row r="687">
          <cell r="P687">
            <v>6.8300000000000001E-3</v>
          </cell>
          <cell r="W687">
            <v>3.5320612801665184E-3</v>
          </cell>
          <cell r="X687">
            <v>0.2378882173133145</v>
          </cell>
          <cell r="Y687">
            <v>0.23819253189854758</v>
          </cell>
          <cell r="Z687" t="e">
            <v>#N/A</v>
          </cell>
        </row>
        <row r="688">
          <cell r="P688">
            <v>6.8399999999999997E-3</v>
          </cell>
          <cell r="W688">
            <v>3.5320612801666871E-3</v>
          </cell>
          <cell r="X688">
            <v>0.23788821731331602</v>
          </cell>
          <cell r="Y688">
            <v>0.23819253189855905</v>
          </cell>
          <cell r="Z688" t="e">
            <v>#N/A</v>
          </cell>
        </row>
        <row r="689">
          <cell r="P689">
            <v>6.8500000000000002E-3</v>
          </cell>
          <cell r="W689">
            <v>3.5320612801668428E-3</v>
          </cell>
          <cell r="X689">
            <v>0.23788821731331744</v>
          </cell>
          <cell r="Y689">
            <v>0.23819253189856959</v>
          </cell>
          <cell r="Z689" t="e">
            <v>#N/A</v>
          </cell>
        </row>
        <row r="690">
          <cell r="P690">
            <v>6.8599999999999998E-3</v>
          </cell>
          <cell r="W690">
            <v>3.5320612801669859E-3</v>
          </cell>
          <cell r="X690">
            <v>0.23788821731331874</v>
          </cell>
          <cell r="Y690">
            <v>0.23819253189857931</v>
          </cell>
          <cell r="Z690" t="e">
            <v>#N/A</v>
          </cell>
        </row>
        <row r="691">
          <cell r="P691">
            <v>6.8700000000000002E-3</v>
          </cell>
          <cell r="W691">
            <v>3.5320612801671178E-3</v>
          </cell>
          <cell r="X691">
            <v>0.23788821731331994</v>
          </cell>
          <cell r="Y691">
            <v>0.23819253189858824</v>
          </cell>
          <cell r="Z691" t="e">
            <v>#N/A</v>
          </cell>
        </row>
        <row r="692">
          <cell r="P692">
            <v>6.8799999999999998E-3</v>
          </cell>
          <cell r="W692">
            <v>3.5320612801672392E-3</v>
          </cell>
          <cell r="X692">
            <v>0.23788821731332102</v>
          </cell>
          <cell r="Y692">
            <v>0.23819253189859649</v>
          </cell>
          <cell r="Z692" t="e">
            <v>#N/A</v>
          </cell>
        </row>
        <row r="693">
          <cell r="P693">
            <v>6.8900000000000003E-3</v>
          </cell>
          <cell r="W693">
            <v>3.5320612801673511E-3</v>
          </cell>
          <cell r="X693">
            <v>0.23788821731332202</v>
          </cell>
          <cell r="Y693">
            <v>0.23819253189860407</v>
          </cell>
          <cell r="Z693" t="e">
            <v>#N/A</v>
          </cell>
        </row>
        <row r="694">
          <cell r="P694">
            <v>6.8999999999999999E-3</v>
          </cell>
          <cell r="W694">
            <v>3.5320612801674539E-3</v>
          </cell>
          <cell r="X694">
            <v>0.23788821731332294</v>
          </cell>
          <cell r="Y694">
            <v>0.23819253189861106</v>
          </cell>
          <cell r="Z694" t="e">
            <v>#N/A</v>
          </cell>
        </row>
        <row r="695">
          <cell r="P695">
            <v>6.9100000000000003E-3</v>
          </cell>
          <cell r="W695">
            <v>3.5320612801675484E-3</v>
          </cell>
          <cell r="X695">
            <v>0.23788821731332377</v>
          </cell>
          <cell r="Y695">
            <v>0.2381925318986175</v>
          </cell>
          <cell r="Z695" t="e">
            <v>#N/A</v>
          </cell>
        </row>
        <row r="696">
          <cell r="P696">
            <v>6.9199999999999999E-3</v>
          </cell>
          <cell r="W696">
            <v>3.5320612801676356E-3</v>
          </cell>
          <cell r="X696">
            <v>0.23788821731332452</v>
          </cell>
          <cell r="Y696">
            <v>0.23819253189862341</v>
          </cell>
          <cell r="Z696" t="e">
            <v>#N/A</v>
          </cell>
        </row>
        <row r="697">
          <cell r="P697">
            <v>6.9300000000000004E-3</v>
          </cell>
          <cell r="W697">
            <v>3.5320612801677158E-3</v>
          </cell>
          <cell r="X697">
            <v>0.23788821731332521</v>
          </cell>
          <cell r="Y697">
            <v>0.23819253189862885</v>
          </cell>
          <cell r="Z697" t="e">
            <v>#N/A</v>
          </cell>
        </row>
        <row r="698">
          <cell r="P698">
            <v>6.94E-3</v>
          </cell>
          <cell r="W698">
            <v>3.5320612801677895E-3</v>
          </cell>
          <cell r="X698">
            <v>0.23788821731332585</v>
          </cell>
          <cell r="Y698">
            <v>0.23819253189863385</v>
          </cell>
          <cell r="Z698" t="e">
            <v>#N/A</v>
          </cell>
        </row>
        <row r="699">
          <cell r="P699">
            <v>6.9499999999999996E-3</v>
          </cell>
          <cell r="W699">
            <v>3.5320612801678576E-3</v>
          </cell>
          <cell r="X699">
            <v>0.23788821731332643</v>
          </cell>
          <cell r="Y699">
            <v>0.23819253189863845</v>
          </cell>
          <cell r="Z699" t="e">
            <v>#N/A</v>
          </cell>
        </row>
        <row r="700">
          <cell r="P700">
            <v>6.96E-3</v>
          </cell>
          <cell r="W700">
            <v>3.5320612801679201E-3</v>
          </cell>
          <cell r="X700">
            <v>0.23788821731332696</v>
          </cell>
          <cell r="Y700">
            <v>0.2381925318986427</v>
          </cell>
          <cell r="Z700" t="e">
            <v>#N/A</v>
          </cell>
        </row>
        <row r="701">
          <cell r="P701">
            <v>6.9699999999999996E-3</v>
          </cell>
          <cell r="W701">
            <v>3.5320612801679778E-3</v>
          </cell>
          <cell r="X701">
            <v>0.23788821731332743</v>
          </cell>
          <cell r="Y701">
            <v>0.23819253189864659</v>
          </cell>
          <cell r="Z701" t="e">
            <v>#N/A</v>
          </cell>
        </row>
        <row r="702">
          <cell r="P702">
            <v>6.9800000000000001E-3</v>
          </cell>
          <cell r="W702">
            <v>3.5320612801680307E-3</v>
          </cell>
          <cell r="X702">
            <v>0.23788821731332788</v>
          </cell>
          <cell r="Y702">
            <v>0.23819253189865017</v>
          </cell>
          <cell r="Z702" t="e">
            <v>#N/A</v>
          </cell>
        </row>
        <row r="703">
          <cell r="P703">
            <v>6.9899999999999997E-3</v>
          </cell>
          <cell r="W703">
            <v>3.5320612801680792E-3</v>
          </cell>
          <cell r="X703">
            <v>0.23788821731332827</v>
          </cell>
          <cell r="Y703">
            <v>0.23819253189865347</v>
          </cell>
          <cell r="Z703" t="e">
            <v>#N/A</v>
          </cell>
        </row>
        <row r="704">
          <cell r="P704">
            <v>7.0000000000000001E-3</v>
          </cell>
          <cell r="W704">
            <v>3.5320612801681239E-3</v>
          </cell>
          <cell r="X704">
            <v>0.23788821731332863</v>
          </cell>
          <cell r="Y704">
            <v>0.2381925318986565</v>
          </cell>
          <cell r="Z704" t="e">
            <v>#N/A</v>
          </cell>
        </row>
        <row r="705">
          <cell r="P705">
            <v>7.0099999999999997E-3</v>
          </cell>
          <cell r="W705">
            <v>3.5320612801681651E-3</v>
          </cell>
          <cell r="X705">
            <v>0.23788821731332896</v>
          </cell>
          <cell r="Y705">
            <v>0.23819253189865927</v>
          </cell>
          <cell r="Z705" t="e">
            <v>#N/A</v>
          </cell>
        </row>
        <row r="706">
          <cell r="P706">
            <v>7.0200000000000002E-3</v>
          </cell>
          <cell r="W706">
            <v>3.5320612801682028E-3</v>
          </cell>
          <cell r="X706">
            <v>0.23788821731332926</v>
          </cell>
          <cell r="Y706">
            <v>0.23819253189866182</v>
          </cell>
          <cell r="Z706" t="e">
            <v>#N/A</v>
          </cell>
        </row>
        <row r="707">
          <cell r="P707">
            <v>7.0299999999999998E-3</v>
          </cell>
          <cell r="W707">
            <v>3.5320612801682375E-3</v>
          </cell>
          <cell r="X707">
            <v>0.23788821731332954</v>
          </cell>
          <cell r="Y707">
            <v>0.23819253189866418</v>
          </cell>
          <cell r="Z707" t="e">
            <v>#N/A</v>
          </cell>
        </row>
        <row r="708">
          <cell r="P708">
            <v>7.0400000000000003E-3</v>
          </cell>
          <cell r="W708">
            <v>3.5320612801682692E-3</v>
          </cell>
          <cell r="X708">
            <v>0.23788821731332979</v>
          </cell>
          <cell r="Y708">
            <v>0.23819253189866635</v>
          </cell>
          <cell r="Z708" t="e">
            <v>#N/A</v>
          </cell>
        </row>
        <row r="709">
          <cell r="P709">
            <v>7.0499999999999998E-3</v>
          </cell>
          <cell r="W709">
            <v>3.5320612801682987E-3</v>
          </cell>
          <cell r="X709">
            <v>0.23788821731333001</v>
          </cell>
          <cell r="Y709">
            <v>0.23819253189866835</v>
          </cell>
          <cell r="Z709" t="e">
            <v>#N/A</v>
          </cell>
        </row>
        <row r="710">
          <cell r="P710">
            <v>7.0600000000000003E-3</v>
          </cell>
          <cell r="W710">
            <v>3.5320612801683256E-3</v>
          </cell>
          <cell r="X710">
            <v>0.23788821731333024</v>
          </cell>
          <cell r="Y710">
            <v>0.23819253189867018</v>
          </cell>
          <cell r="Z710" t="e">
            <v>#N/A</v>
          </cell>
        </row>
        <row r="711">
          <cell r="P711">
            <v>7.0699999999999999E-3</v>
          </cell>
          <cell r="W711">
            <v>3.5320612801683503E-3</v>
          </cell>
          <cell r="X711">
            <v>0.23788821731333043</v>
          </cell>
          <cell r="Y711">
            <v>0.23819253189867184</v>
          </cell>
          <cell r="Z711" t="e">
            <v>#N/A</v>
          </cell>
        </row>
        <row r="712">
          <cell r="P712">
            <v>7.0800000000000004E-3</v>
          </cell>
          <cell r="W712">
            <v>3.5320612801683728E-3</v>
          </cell>
          <cell r="X712">
            <v>0.2378882173133306</v>
          </cell>
          <cell r="Y712">
            <v>0.23819253189867337</v>
          </cell>
          <cell r="Z712" t="e">
            <v>#N/A</v>
          </cell>
        </row>
        <row r="713">
          <cell r="P713">
            <v>7.0899999999999999E-3</v>
          </cell>
          <cell r="W713">
            <v>3.5320612801683937E-3</v>
          </cell>
          <cell r="X713">
            <v>0.23788821731333076</v>
          </cell>
          <cell r="Y713">
            <v>0.23819253189867479</v>
          </cell>
          <cell r="Z713" t="e">
            <v>#N/A</v>
          </cell>
        </row>
        <row r="714">
          <cell r="P714">
            <v>7.1000000000000004E-3</v>
          </cell>
          <cell r="W714">
            <v>3.5320612801684127E-3</v>
          </cell>
          <cell r="X714">
            <v>0.2378882173133309</v>
          </cell>
          <cell r="Y714">
            <v>0.23819253189867609</v>
          </cell>
          <cell r="Z714" t="e">
            <v>#N/A</v>
          </cell>
        </row>
        <row r="715">
          <cell r="P715">
            <v>7.11E-3</v>
          </cell>
          <cell r="W715">
            <v>3.5320612801684301E-3</v>
          </cell>
          <cell r="X715">
            <v>0.23788821731333104</v>
          </cell>
          <cell r="Y715">
            <v>0.23819253189867728</v>
          </cell>
          <cell r="Z715" t="e">
            <v>#N/A</v>
          </cell>
        </row>
        <row r="716">
          <cell r="P716">
            <v>7.1199999999999996E-3</v>
          </cell>
          <cell r="W716">
            <v>3.5320612801684461E-3</v>
          </cell>
          <cell r="X716">
            <v>0.23788821731333118</v>
          </cell>
          <cell r="Y716">
            <v>0.23819253189867837</v>
          </cell>
          <cell r="Z716" t="e">
            <v>#N/A</v>
          </cell>
        </row>
        <row r="717">
          <cell r="P717">
            <v>7.1300000000000001E-3</v>
          </cell>
          <cell r="W717">
            <v>3.5320612801684609E-3</v>
          </cell>
          <cell r="X717">
            <v>0.23788821731333129</v>
          </cell>
          <cell r="Y717">
            <v>0.23819253189867937</v>
          </cell>
          <cell r="Z717" t="e">
            <v>#N/A</v>
          </cell>
        </row>
        <row r="718">
          <cell r="P718">
            <v>7.1399999999999996E-3</v>
          </cell>
          <cell r="W718">
            <v>3.5320612801684743E-3</v>
          </cell>
          <cell r="X718">
            <v>0.2378882173133314</v>
          </cell>
          <cell r="Y718">
            <v>0.23819253189868028</v>
          </cell>
          <cell r="Z718" t="e">
            <v>#N/A</v>
          </cell>
        </row>
        <row r="719">
          <cell r="P719">
            <v>7.1500000000000001E-3</v>
          </cell>
          <cell r="W719">
            <v>3.5320612801684869E-3</v>
          </cell>
          <cell r="X719">
            <v>0.23788821731333148</v>
          </cell>
          <cell r="Y719">
            <v>0.23819253189868111</v>
          </cell>
          <cell r="Z719" t="e">
            <v>#N/A</v>
          </cell>
        </row>
        <row r="720">
          <cell r="P720">
            <v>7.1599999999999997E-3</v>
          </cell>
          <cell r="W720">
            <v>3.5320612801684982E-3</v>
          </cell>
          <cell r="X720">
            <v>0.23788821731333157</v>
          </cell>
          <cell r="Y720">
            <v>0.23819253189868189</v>
          </cell>
          <cell r="Z720" t="e">
            <v>#N/A</v>
          </cell>
        </row>
        <row r="721">
          <cell r="P721">
            <v>7.1700000000000002E-3</v>
          </cell>
          <cell r="W721">
            <v>3.5320612801685086E-3</v>
          </cell>
          <cell r="X721">
            <v>0.23788821731333165</v>
          </cell>
          <cell r="Y721">
            <v>0.23819253189868261</v>
          </cell>
          <cell r="Z721" t="e">
            <v>#N/A</v>
          </cell>
        </row>
        <row r="722">
          <cell r="P722">
            <v>7.1799999999999998E-3</v>
          </cell>
          <cell r="W722">
            <v>3.5320612801685181E-3</v>
          </cell>
          <cell r="X722">
            <v>0.23788821731333173</v>
          </cell>
          <cell r="Y722">
            <v>0.23819253189868325</v>
          </cell>
          <cell r="Z722" t="e">
            <v>#N/A</v>
          </cell>
        </row>
        <row r="723">
          <cell r="P723">
            <v>7.1900000000000002E-3</v>
          </cell>
          <cell r="W723">
            <v>3.5320612801685268E-3</v>
          </cell>
          <cell r="X723">
            <v>0.23788821731333179</v>
          </cell>
          <cell r="Y723">
            <v>0.23819253189868386</v>
          </cell>
          <cell r="Z723" t="e">
            <v>#N/A</v>
          </cell>
        </row>
        <row r="724">
          <cell r="P724">
            <v>7.1999999999999998E-3</v>
          </cell>
          <cell r="W724">
            <v>3.532061280168535E-3</v>
          </cell>
          <cell r="X724">
            <v>0.23788821731333185</v>
          </cell>
          <cell r="Y724">
            <v>0.23819253189868442</v>
          </cell>
          <cell r="Z724" t="e">
            <v>#N/A</v>
          </cell>
        </row>
        <row r="725">
          <cell r="P725">
            <v>7.2100000000000003E-3</v>
          </cell>
          <cell r="W725">
            <v>3.5320612801685424E-3</v>
          </cell>
          <cell r="X725">
            <v>0.2378882173133319</v>
          </cell>
          <cell r="Y725">
            <v>0.23819253189868492</v>
          </cell>
          <cell r="Z725" t="e">
            <v>#N/A</v>
          </cell>
        </row>
        <row r="726">
          <cell r="P726">
            <v>7.2199999999999999E-3</v>
          </cell>
          <cell r="W726">
            <v>3.5320612801685494E-3</v>
          </cell>
          <cell r="X726">
            <v>0.23788821731333196</v>
          </cell>
          <cell r="Y726">
            <v>0.23819253189868539</v>
          </cell>
          <cell r="Z726" t="e">
            <v>#N/A</v>
          </cell>
        </row>
        <row r="727">
          <cell r="P727">
            <v>7.2300000000000003E-3</v>
          </cell>
          <cell r="W727">
            <v>3.5320612801685554E-3</v>
          </cell>
          <cell r="X727">
            <v>0.23788821731333201</v>
          </cell>
          <cell r="Y727">
            <v>0.23819253189868581</v>
          </cell>
          <cell r="Z727" t="e">
            <v>#N/A</v>
          </cell>
        </row>
        <row r="728">
          <cell r="P728">
            <v>7.2399999999999999E-3</v>
          </cell>
          <cell r="W728">
            <v>3.5320612801685611E-3</v>
          </cell>
          <cell r="X728">
            <v>0.23788821731333204</v>
          </cell>
          <cell r="Y728">
            <v>0.23819253189868619</v>
          </cell>
          <cell r="Z728" t="e">
            <v>#N/A</v>
          </cell>
        </row>
        <row r="729">
          <cell r="P729">
            <v>7.2500000000000004E-3</v>
          </cell>
          <cell r="W729">
            <v>3.5320612801685663E-3</v>
          </cell>
          <cell r="X729">
            <v>0.23788821731333207</v>
          </cell>
          <cell r="Y729">
            <v>0.23819253189868655</v>
          </cell>
          <cell r="Z729" t="e">
            <v>#N/A</v>
          </cell>
        </row>
        <row r="730">
          <cell r="P730">
            <v>7.26E-3</v>
          </cell>
          <cell r="W730">
            <v>3.532061280168571E-3</v>
          </cell>
          <cell r="X730">
            <v>0.2378882173133321</v>
          </cell>
          <cell r="Y730">
            <v>0.23819253189868689</v>
          </cell>
          <cell r="Z730" t="e">
            <v>#N/A</v>
          </cell>
        </row>
        <row r="731">
          <cell r="P731">
            <v>7.2700000000000004E-3</v>
          </cell>
          <cell r="W731">
            <v>3.5320612801685754E-3</v>
          </cell>
          <cell r="X731">
            <v>0.23788821731333212</v>
          </cell>
          <cell r="Y731">
            <v>0.23819253189868719</v>
          </cell>
          <cell r="Z731" t="e">
            <v>#N/A</v>
          </cell>
        </row>
        <row r="732">
          <cell r="P732">
            <v>7.28E-3</v>
          </cell>
          <cell r="W732">
            <v>3.5320612801685793E-3</v>
          </cell>
          <cell r="X732">
            <v>0.23788821731333215</v>
          </cell>
          <cell r="Y732">
            <v>0.23819253189868747</v>
          </cell>
          <cell r="Z732" t="e">
            <v>#N/A</v>
          </cell>
        </row>
        <row r="733">
          <cell r="P733">
            <v>7.2899999999999996E-3</v>
          </cell>
          <cell r="W733">
            <v>3.5320612801685832E-3</v>
          </cell>
          <cell r="X733">
            <v>0.23788821731333218</v>
          </cell>
          <cell r="Y733">
            <v>0.23819253189868772</v>
          </cell>
          <cell r="Z733" t="e">
            <v>#N/A</v>
          </cell>
        </row>
        <row r="734">
          <cell r="P734">
            <v>7.3000000000000001E-3</v>
          </cell>
          <cell r="W734">
            <v>3.5320612801685866E-3</v>
          </cell>
          <cell r="X734">
            <v>0.23788821731333221</v>
          </cell>
          <cell r="Y734">
            <v>0.23819253189868794</v>
          </cell>
          <cell r="Z734" t="e">
            <v>#N/A</v>
          </cell>
        </row>
        <row r="735">
          <cell r="P735">
            <v>7.3099999999999997E-3</v>
          </cell>
          <cell r="W735">
            <v>3.5320612801685897E-3</v>
          </cell>
          <cell r="X735">
            <v>0.23788821731333223</v>
          </cell>
          <cell r="Y735">
            <v>0.23819253189868814</v>
          </cell>
          <cell r="Z735" t="e">
            <v>#N/A</v>
          </cell>
        </row>
        <row r="736">
          <cell r="P736">
            <v>7.3200000000000001E-3</v>
          </cell>
          <cell r="W736">
            <v>3.5320612801685927E-3</v>
          </cell>
          <cell r="X736">
            <v>0.23788821731333226</v>
          </cell>
          <cell r="Y736">
            <v>0.23819253189868833</v>
          </cell>
          <cell r="Z736" t="e">
            <v>#N/A</v>
          </cell>
        </row>
        <row r="737">
          <cell r="P737">
            <v>7.3299999999999997E-3</v>
          </cell>
          <cell r="W737">
            <v>3.5320612801685953E-3</v>
          </cell>
          <cell r="X737">
            <v>0.23788821731333229</v>
          </cell>
          <cell r="Y737">
            <v>0.2381925318986885</v>
          </cell>
          <cell r="Z737" t="e">
            <v>#N/A</v>
          </cell>
        </row>
        <row r="738">
          <cell r="P738">
            <v>7.3400000000000002E-3</v>
          </cell>
          <cell r="W738">
            <v>3.5320612801685979E-3</v>
          </cell>
          <cell r="X738">
            <v>0.23788821731333229</v>
          </cell>
          <cell r="Y738">
            <v>0.23819253189868866</v>
          </cell>
          <cell r="Z738" t="e">
            <v>#N/A</v>
          </cell>
        </row>
        <row r="739">
          <cell r="P739">
            <v>7.3499999999999998E-3</v>
          </cell>
          <cell r="W739">
            <v>3.5320612801686001E-3</v>
          </cell>
          <cell r="X739">
            <v>0.23788821731333229</v>
          </cell>
          <cell r="Y739">
            <v>0.2381925318986888</v>
          </cell>
          <cell r="Z739" t="e">
            <v>#N/A</v>
          </cell>
        </row>
        <row r="740">
          <cell r="P740">
            <v>7.3600000000000002E-3</v>
          </cell>
          <cell r="W740">
            <v>3.5320612801686023E-3</v>
          </cell>
          <cell r="X740">
            <v>0.23788821731333229</v>
          </cell>
          <cell r="Y740">
            <v>0.23819253189868894</v>
          </cell>
          <cell r="Z740" t="e">
            <v>#N/A</v>
          </cell>
        </row>
        <row r="741">
          <cell r="P741">
            <v>7.3699999999999998E-3</v>
          </cell>
          <cell r="W741">
            <v>3.532061280168604E-3</v>
          </cell>
          <cell r="X741">
            <v>0.23788821731333229</v>
          </cell>
          <cell r="Y741">
            <v>0.23819253189868905</v>
          </cell>
          <cell r="Z741" t="e">
            <v>#N/A</v>
          </cell>
        </row>
        <row r="742">
          <cell r="P742">
            <v>7.3800000000000003E-3</v>
          </cell>
          <cell r="W742">
            <v>3.5320612801686057E-3</v>
          </cell>
          <cell r="X742">
            <v>0.23788821731333229</v>
          </cell>
          <cell r="Y742">
            <v>0.23819253189868916</v>
          </cell>
          <cell r="Z742" t="e">
            <v>#N/A</v>
          </cell>
        </row>
        <row r="743">
          <cell r="P743">
            <v>7.3899999999999999E-3</v>
          </cell>
          <cell r="W743">
            <v>3.5320612801686075E-3</v>
          </cell>
          <cell r="X743">
            <v>0.23788821731333229</v>
          </cell>
          <cell r="Y743">
            <v>0.23819253189868927</v>
          </cell>
          <cell r="Z743" t="e">
            <v>#N/A</v>
          </cell>
        </row>
        <row r="744">
          <cell r="P744">
            <v>7.4000000000000003E-3</v>
          </cell>
          <cell r="W744">
            <v>3.5320612801686088E-3</v>
          </cell>
          <cell r="X744">
            <v>0.23788821731333229</v>
          </cell>
          <cell r="Y744">
            <v>0.23819253189868936</v>
          </cell>
          <cell r="Z744" t="e">
            <v>#N/A</v>
          </cell>
        </row>
        <row r="745">
          <cell r="P745">
            <v>7.4099999999999999E-3</v>
          </cell>
          <cell r="W745">
            <v>3.5320612801686101E-3</v>
          </cell>
          <cell r="X745">
            <v>0.23788821731333229</v>
          </cell>
          <cell r="Y745">
            <v>0.23819253189868944</v>
          </cell>
          <cell r="Z745" t="e">
            <v>#N/A</v>
          </cell>
        </row>
        <row r="746">
          <cell r="P746">
            <v>7.4200000000000004E-3</v>
          </cell>
          <cell r="W746">
            <v>3.5320612801686114E-3</v>
          </cell>
          <cell r="X746">
            <v>0.23788821731333229</v>
          </cell>
          <cell r="Y746">
            <v>0.23819253189868952</v>
          </cell>
          <cell r="Z746" t="e">
            <v>#N/A</v>
          </cell>
        </row>
        <row r="747">
          <cell r="P747">
            <v>7.43E-3</v>
          </cell>
          <cell r="W747">
            <v>3.5320612801686122E-3</v>
          </cell>
          <cell r="X747">
            <v>0.23788821731333229</v>
          </cell>
          <cell r="Y747">
            <v>0.23819253189868961</v>
          </cell>
          <cell r="Z747" t="e">
            <v>#N/A</v>
          </cell>
        </row>
        <row r="748">
          <cell r="P748">
            <v>7.4400000000000004E-3</v>
          </cell>
          <cell r="W748">
            <v>3.5320612801686131E-3</v>
          </cell>
          <cell r="X748">
            <v>0.23788821731333229</v>
          </cell>
          <cell r="Y748">
            <v>0.23819253189868966</v>
          </cell>
          <cell r="Z748" t="e">
            <v>#N/A</v>
          </cell>
        </row>
        <row r="749">
          <cell r="P749">
            <v>7.45E-3</v>
          </cell>
          <cell r="W749">
            <v>3.532061280168614E-3</v>
          </cell>
          <cell r="X749">
            <v>0.23788821731333229</v>
          </cell>
          <cell r="Y749">
            <v>0.23819253189868972</v>
          </cell>
          <cell r="Z749" t="e">
            <v>#N/A</v>
          </cell>
        </row>
        <row r="750">
          <cell r="P750">
            <v>7.4599999999999996E-3</v>
          </cell>
          <cell r="W750">
            <v>3.5320612801686148E-3</v>
          </cell>
          <cell r="X750">
            <v>0.23788821731333229</v>
          </cell>
          <cell r="Y750">
            <v>0.23819253189868977</v>
          </cell>
          <cell r="Z750" t="e">
            <v>#N/A</v>
          </cell>
        </row>
        <row r="751">
          <cell r="P751">
            <v>7.4700000000000001E-3</v>
          </cell>
          <cell r="W751">
            <v>3.5320612801686157E-3</v>
          </cell>
          <cell r="X751">
            <v>0.23788821731333229</v>
          </cell>
          <cell r="Y751">
            <v>0.23819253189868983</v>
          </cell>
          <cell r="Z751" t="e">
            <v>#N/A</v>
          </cell>
        </row>
        <row r="752">
          <cell r="P752">
            <v>7.4799999999999997E-3</v>
          </cell>
          <cell r="W752">
            <v>3.5320612801686166E-3</v>
          </cell>
          <cell r="X752">
            <v>0.23788821731333229</v>
          </cell>
          <cell r="Y752">
            <v>0.23819253189868989</v>
          </cell>
          <cell r="Z752" t="e">
            <v>#N/A</v>
          </cell>
        </row>
        <row r="753">
          <cell r="P753">
            <v>7.4900000000000001E-3</v>
          </cell>
          <cell r="W753">
            <v>3.532061280168617E-3</v>
          </cell>
          <cell r="X753">
            <v>0.23788821731333229</v>
          </cell>
          <cell r="Y753">
            <v>0.23819253189868991</v>
          </cell>
          <cell r="Z753" t="e">
            <v>#N/A</v>
          </cell>
        </row>
        <row r="754">
          <cell r="P754">
            <v>7.4999999999999997E-3</v>
          </cell>
          <cell r="W754">
            <v>3.5320612801686174E-3</v>
          </cell>
          <cell r="X754">
            <v>0.23788821731333229</v>
          </cell>
          <cell r="Y754">
            <v>0.23819253189868994</v>
          </cell>
          <cell r="Z754" t="e">
            <v>#N/A</v>
          </cell>
        </row>
        <row r="755">
          <cell r="P755">
            <v>7.5100000000000002E-3</v>
          </cell>
          <cell r="W755">
            <v>3.5320612801686179E-3</v>
          </cell>
          <cell r="X755">
            <v>0.23788821731333229</v>
          </cell>
          <cell r="Y755">
            <v>0.23819253189868997</v>
          </cell>
          <cell r="Z755" t="e">
            <v>#N/A</v>
          </cell>
        </row>
        <row r="756">
          <cell r="P756">
            <v>7.5199999999999998E-3</v>
          </cell>
          <cell r="W756">
            <v>3.5320612801686183E-3</v>
          </cell>
          <cell r="X756">
            <v>0.23788821731333229</v>
          </cell>
          <cell r="Y756">
            <v>0.23819253189869</v>
          </cell>
          <cell r="Z756" t="e">
            <v>#N/A</v>
          </cell>
        </row>
        <row r="757">
          <cell r="P757">
            <v>7.5300000000000002E-3</v>
          </cell>
          <cell r="W757">
            <v>3.5320612801686187E-3</v>
          </cell>
          <cell r="X757">
            <v>0.23788821731333229</v>
          </cell>
          <cell r="Y757">
            <v>0.23819253189869002</v>
          </cell>
          <cell r="Z757" t="e">
            <v>#N/A</v>
          </cell>
        </row>
        <row r="758">
          <cell r="P758">
            <v>7.5399999999999998E-3</v>
          </cell>
          <cell r="W758">
            <v>3.5320612801686192E-3</v>
          </cell>
          <cell r="X758">
            <v>0.23788821731333229</v>
          </cell>
          <cell r="Y758">
            <v>0.23819253189869005</v>
          </cell>
          <cell r="Z758" t="e">
            <v>#N/A</v>
          </cell>
        </row>
        <row r="759">
          <cell r="P759">
            <v>7.5500000000000003E-3</v>
          </cell>
          <cell r="W759">
            <v>3.5320612801686196E-3</v>
          </cell>
          <cell r="X759">
            <v>0.23788821731333229</v>
          </cell>
          <cell r="Y759">
            <v>0.23819253189869008</v>
          </cell>
          <cell r="Z759" t="e">
            <v>#N/A</v>
          </cell>
        </row>
        <row r="760">
          <cell r="P760">
            <v>7.5599999999999999E-3</v>
          </cell>
          <cell r="W760">
            <v>3.53206128016862E-3</v>
          </cell>
          <cell r="X760">
            <v>0.23788821731333229</v>
          </cell>
          <cell r="Y760">
            <v>0.23819253189869011</v>
          </cell>
          <cell r="Z760" t="e">
            <v>#N/A</v>
          </cell>
        </row>
        <row r="761">
          <cell r="P761">
            <v>7.5700000000000003E-3</v>
          </cell>
          <cell r="W761">
            <v>3.5320612801686205E-3</v>
          </cell>
          <cell r="X761">
            <v>0.23788821731333229</v>
          </cell>
          <cell r="Y761">
            <v>0.23819253189869014</v>
          </cell>
          <cell r="Z761" t="e">
            <v>#N/A</v>
          </cell>
        </row>
        <row r="762">
          <cell r="P762">
            <v>7.5799999999999999E-3</v>
          </cell>
          <cell r="W762">
            <v>3.5320612801686209E-3</v>
          </cell>
          <cell r="X762">
            <v>0.23788821731333229</v>
          </cell>
          <cell r="Y762">
            <v>0.23819253189869016</v>
          </cell>
          <cell r="Z762" t="e">
            <v>#N/A</v>
          </cell>
        </row>
        <row r="763">
          <cell r="P763">
            <v>7.5900000000000004E-3</v>
          </cell>
          <cell r="W763">
            <v>3.5320612801686209E-3</v>
          </cell>
          <cell r="X763">
            <v>0.23788821731333229</v>
          </cell>
          <cell r="Y763">
            <v>0.23819253189869019</v>
          </cell>
          <cell r="Z763" t="e">
            <v>#N/A</v>
          </cell>
        </row>
        <row r="764">
          <cell r="P764">
            <v>7.6E-3</v>
          </cell>
          <cell r="W764">
            <v>3.5320612801686209E-3</v>
          </cell>
          <cell r="X764">
            <v>0.23788821731333229</v>
          </cell>
          <cell r="Y764">
            <v>0.23819253189869019</v>
          </cell>
          <cell r="Z764" t="e">
            <v>#N/A</v>
          </cell>
        </row>
        <row r="765">
          <cell r="P765">
            <v>7.6099999999999996E-3</v>
          </cell>
          <cell r="W765">
            <v>3.5320612801686209E-3</v>
          </cell>
          <cell r="X765">
            <v>0.23788821731333229</v>
          </cell>
          <cell r="Y765">
            <v>0.23819253189869019</v>
          </cell>
          <cell r="Z765" t="e">
            <v>#N/A</v>
          </cell>
        </row>
        <row r="766">
          <cell r="P766">
            <v>7.62E-3</v>
          </cell>
          <cell r="W766">
            <v>3.5320612801686209E-3</v>
          </cell>
          <cell r="X766">
            <v>0.23788821731333229</v>
          </cell>
          <cell r="Y766">
            <v>0.23819253189869019</v>
          </cell>
          <cell r="Z766" t="e">
            <v>#N/A</v>
          </cell>
        </row>
        <row r="767">
          <cell r="P767">
            <v>7.6299999999999996E-3</v>
          </cell>
          <cell r="W767">
            <v>3.5320612801686209E-3</v>
          </cell>
          <cell r="X767">
            <v>0.23788821731333229</v>
          </cell>
          <cell r="Y767">
            <v>0.23819253189869019</v>
          </cell>
          <cell r="Z767" t="e">
            <v>#N/A</v>
          </cell>
        </row>
        <row r="768">
          <cell r="P768">
            <v>7.6400000000000001E-3</v>
          </cell>
          <cell r="W768">
            <v>3.5320612801686209E-3</v>
          </cell>
          <cell r="X768">
            <v>0.23788821731333229</v>
          </cell>
          <cell r="Y768">
            <v>0.23819253189869019</v>
          </cell>
          <cell r="Z768" t="e">
            <v>#N/A</v>
          </cell>
        </row>
        <row r="769">
          <cell r="P769">
            <v>7.6499999999999997E-3</v>
          </cell>
          <cell r="W769">
            <v>3.5320612801686209E-3</v>
          </cell>
          <cell r="X769">
            <v>0.23788821731333229</v>
          </cell>
          <cell r="Y769">
            <v>0.23819253189869019</v>
          </cell>
          <cell r="Z769" t="e">
            <v>#N/A</v>
          </cell>
        </row>
        <row r="770">
          <cell r="P770">
            <v>7.6600000000000001E-3</v>
          </cell>
          <cell r="W770">
            <v>3.5320612801686209E-3</v>
          </cell>
          <cell r="X770">
            <v>0.23788821731333229</v>
          </cell>
          <cell r="Y770">
            <v>0.23819253189869019</v>
          </cell>
          <cell r="Z770" t="e">
            <v>#N/A</v>
          </cell>
        </row>
        <row r="771">
          <cell r="P771">
            <v>7.6699999999999997E-3</v>
          </cell>
          <cell r="W771">
            <v>3.5320612801686209E-3</v>
          </cell>
          <cell r="X771">
            <v>0.23788821731333229</v>
          </cell>
          <cell r="Y771">
            <v>0.23819253189869019</v>
          </cell>
          <cell r="Z771" t="e">
            <v>#N/A</v>
          </cell>
        </row>
        <row r="772">
          <cell r="P772">
            <v>7.6800000000000002E-3</v>
          </cell>
          <cell r="W772">
            <v>3.5320612801686209E-3</v>
          </cell>
          <cell r="X772">
            <v>0.23788821731333229</v>
          </cell>
          <cell r="Y772">
            <v>0.23819253189869019</v>
          </cell>
          <cell r="Z772" t="e">
            <v>#N/A</v>
          </cell>
        </row>
        <row r="773">
          <cell r="P773">
            <v>7.6899999999999998E-3</v>
          </cell>
          <cell r="W773">
            <v>3.5320612801686209E-3</v>
          </cell>
          <cell r="X773">
            <v>0.23788821731333229</v>
          </cell>
          <cell r="Y773">
            <v>0.23819253189869019</v>
          </cell>
          <cell r="Z773" t="e">
            <v>#N/A</v>
          </cell>
        </row>
        <row r="774">
          <cell r="P774">
            <v>7.7000000000000002E-3</v>
          </cell>
          <cell r="W774">
            <v>3.5320612801686209E-3</v>
          </cell>
          <cell r="X774">
            <v>0.23788821731333229</v>
          </cell>
          <cell r="Y774">
            <v>0.23819253189869019</v>
          </cell>
          <cell r="Z774" t="e">
            <v>#N/A</v>
          </cell>
        </row>
        <row r="775">
          <cell r="P775">
            <v>7.7099999999999998E-3</v>
          </cell>
          <cell r="W775">
            <v>3.5320612801686209E-3</v>
          </cell>
          <cell r="X775">
            <v>0.23788821731333229</v>
          </cell>
          <cell r="Y775">
            <v>0.23819253189869019</v>
          </cell>
          <cell r="Z775" t="e">
            <v>#N/A</v>
          </cell>
        </row>
        <row r="776">
          <cell r="P776">
            <v>7.7200000000000003E-3</v>
          </cell>
          <cell r="W776">
            <v>3.5320612801686209E-3</v>
          </cell>
          <cell r="X776">
            <v>0.23788821731333229</v>
          </cell>
          <cell r="Y776">
            <v>0.23819253189869019</v>
          </cell>
          <cell r="Z776" t="e">
            <v>#N/A</v>
          </cell>
        </row>
        <row r="777">
          <cell r="P777">
            <v>7.7299999999999999E-3</v>
          </cell>
          <cell r="W777">
            <v>3.5320612801686209E-3</v>
          </cell>
          <cell r="X777">
            <v>0.23788821731333229</v>
          </cell>
          <cell r="Y777">
            <v>0.23819253189869019</v>
          </cell>
          <cell r="Z777" t="e">
            <v>#N/A</v>
          </cell>
        </row>
        <row r="778">
          <cell r="P778">
            <v>7.7400000000000004E-3</v>
          </cell>
          <cell r="W778">
            <v>3.5320612801686209E-3</v>
          </cell>
          <cell r="X778">
            <v>0.23788821731333229</v>
          </cell>
          <cell r="Y778">
            <v>0.23819253189869019</v>
          </cell>
          <cell r="Z778" t="e">
            <v>#N/A</v>
          </cell>
        </row>
        <row r="779">
          <cell r="P779">
            <v>7.7499999999999999E-3</v>
          </cell>
          <cell r="W779">
            <v>3.5320612801686209E-3</v>
          </cell>
          <cell r="X779">
            <v>0.23788821731333229</v>
          </cell>
          <cell r="Y779">
            <v>0.23819253189869019</v>
          </cell>
          <cell r="Z779" t="e">
            <v>#N/A</v>
          </cell>
        </row>
        <row r="780">
          <cell r="P780">
            <v>7.7600000000000004E-3</v>
          </cell>
          <cell r="W780">
            <v>3.5320612801686209E-3</v>
          </cell>
          <cell r="X780">
            <v>0.23788821731333229</v>
          </cell>
          <cell r="Y780">
            <v>0.23819253189869019</v>
          </cell>
          <cell r="Z780" t="e">
            <v>#N/A</v>
          </cell>
        </row>
        <row r="781">
          <cell r="P781">
            <v>7.77E-3</v>
          </cell>
          <cell r="W781">
            <v>3.5320612801686209E-3</v>
          </cell>
          <cell r="X781">
            <v>0.23788821731333229</v>
          </cell>
          <cell r="Y781">
            <v>0.23819253189869019</v>
          </cell>
          <cell r="Z781" t="e">
            <v>#N/A</v>
          </cell>
        </row>
        <row r="782">
          <cell r="P782">
            <v>7.7799999999999996E-3</v>
          </cell>
          <cell r="W782">
            <v>3.5320612801686209E-3</v>
          </cell>
          <cell r="X782">
            <v>0.23788821731333229</v>
          </cell>
          <cell r="Y782">
            <v>0.23819253189869019</v>
          </cell>
          <cell r="Z782" t="e">
            <v>#N/A</v>
          </cell>
        </row>
        <row r="783">
          <cell r="P783">
            <v>7.79E-3</v>
          </cell>
          <cell r="W783">
            <v>3.5320612801686209E-3</v>
          </cell>
          <cell r="X783">
            <v>0.23788821731333229</v>
          </cell>
          <cell r="Y783">
            <v>0.23819253189869019</v>
          </cell>
          <cell r="Z783" t="e">
            <v>#N/A</v>
          </cell>
        </row>
        <row r="784">
          <cell r="P784">
            <v>7.7999999999999996E-3</v>
          </cell>
          <cell r="W784">
            <v>3.5320612801686209E-3</v>
          </cell>
          <cell r="X784">
            <v>0.23788821731333229</v>
          </cell>
          <cell r="Y784">
            <v>0.23819253189869019</v>
          </cell>
          <cell r="Z784" t="e">
            <v>#N/A</v>
          </cell>
        </row>
        <row r="785">
          <cell r="P785">
            <v>7.8100000000000001E-3</v>
          </cell>
          <cell r="W785">
            <v>3.5320612801686213E-3</v>
          </cell>
          <cell r="X785">
            <v>0.23788821731333232</v>
          </cell>
          <cell r="Y785">
            <v>0.23819253189869022</v>
          </cell>
          <cell r="Z785" t="e">
            <v>#N/A</v>
          </cell>
        </row>
        <row r="786">
          <cell r="P786">
            <v>7.8200000000000006E-3</v>
          </cell>
          <cell r="W786">
            <v>3.5320612801686218E-3</v>
          </cell>
          <cell r="X786">
            <v>0.23788821731333232</v>
          </cell>
          <cell r="Y786">
            <v>0.23819253189869022</v>
          </cell>
          <cell r="Z786" t="e">
            <v>#N/A</v>
          </cell>
        </row>
        <row r="787">
          <cell r="P787">
            <v>7.8300000000000002E-3</v>
          </cell>
          <cell r="W787">
            <v>3.5320612801686218E-3</v>
          </cell>
          <cell r="X787">
            <v>0.23788821731333232</v>
          </cell>
          <cell r="Y787">
            <v>0.23819253189869022</v>
          </cell>
          <cell r="Z787" t="e">
            <v>#N/A</v>
          </cell>
        </row>
        <row r="788">
          <cell r="P788">
            <v>7.8399999999999997E-3</v>
          </cell>
          <cell r="W788">
            <v>3.5320612801686218E-3</v>
          </cell>
          <cell r="X788">
            <v>0.23788821731333232</v>
          </cell>
          <cell r="Y788">
            <v>0.23819253189869022</v>
          </cell>
          <cell r="Z788" t="e">
            <v>#N/A</v>
          </cell>
        </row>
        <row r="789">
          <cell r="P789">
            <v>7.8499999999999993E-3</v>
          </cell>
          <cell r="W789">
            <v>3.5320612801686218E-3</v>
          </cell>
          <cell r="X789">
            <v>0.23788821731333232</v>
          </cell>
          <cell r="Y789">
            <v>0.23819253189869022</v>
          </cell>
          <cell r="Z789" t="e">
            <v>#N/A</v>
          </cell>
        </row>
        <row r="790">
          <cell r="P790">
            <v>7.8600000000000007E-3</v>
          </cell>
          <cell r="W790">
            <v>3.5320612801686218E-3</v>
          </cell>
          <cell r="X790">
            <v>0.23788821731333232</v>
          </cell>
          <cell r="Y790">
            <v>0.23819253189869022</v>
          </cell>
          <cell r="Z790" t="e">
            <v>#N/A</v>
          </cell>
        </row>
        <row r="791">
          <cell r="P791">
            <v>7.8700000000000003E-3</v>
          </cell>
          <cell r="W791">
            <v>3.5320612801686218E-3</v>
          </cell>
          <cell r="X791">
            <v>0.23788821731333232</v>
          </cell>
          <cell r="Y791">
            <v>0.23819253189869022</v>
          </cell>
          <cell r="Z791" t="e">
            <v>#N/A</v>
          </cell>
        </row>
        <row r="792">
          <cell r="P792">
            <v>7.8799999999999999E-3</v>
          </cell>
          <cell r="W792">
            <v>3.5320612801686218E-3</v>
          </cell>
          <cell r="X792">
            <v>0.23788821731333232</v>
          </cell>
          <cell r="Y792">
            <v>0.23819253189869022</v>
          </cell>
          <cell r="Z792" t="e">
            <v>#N/A</v>
          </cell>
        </row>
        <row r="793">
          <cell r="P793">
            <v>7.8899999999999994E-3</v>
          </cell>
          <cell r="W793">
            <v>3.5320612801686218E-3</v>
          </cell>
          <cell r="X793">
            <v>0.23788821731333232</v>
          </cell>
          <cell r="Y793">
            <v>0.23819253189869022</v>
          </cell>
          <cell r="Z793" t="e">
            <v>#N/A</v>
          </cell>
        </row>
        <row r="794">
          <cell r="P794">
            <v>7.9000000000000008E-3</v>
          </cell>
          <cell r="W794">
            <v>3.5320612801686218E-3</v>
          </cell>
          <cell r="X794">
            <v>0.23788821731333232</v>
          </cell>
          <cell r="Y794">
            <v>0.23819253189869022</v>
          </cell>
          <cell r="Z794" t="e">
            <v>#N/A</v>
          </cell>
        </row>
        <row r="795">
          <cell r="P795">
            <v>7.9100000000000004E-3</v>
          </cell>
          <cell r="W795">
            <v>3.5320612801686218E-3</v>
          </cell>
          <cell r="X795">
            <v>0.23788821731333232</v>
          </cell>
          <cell r="Y795">
            <v>0.23819253189869022</v>
          </cell>
          <cell r="Z795" t="e">
            <v>#N/A</v>
          </cell>
        </row>
        <row r="796">
          <cell r="P796">
            <v>7.92E-3</v>
          </cell>
          <cell r="W796">
            <v>3.5320612801686218E-3</v>
          </cell>
          <cell r="X796">
            <v>0.23788821731333232</v>
          </cell>
          <cell r="Y796">
            <v>0.23819253189869022</v>
          </cell>
          <cell r="Z796" t="e">
            <v>#N/A</v>
          </cell>
        </row>
        <row r="797">
          <cell r="P797">
            <v>7.9299999999999995E-3</v>
          </cell>
          <cell r="W797">
            <v>3.5320612801686218E-3</v>
          </cell>
          <cell r="X797">
            <v>0.23788821731333232</v>
          </cell>
          <cell r="Y797">
            <v>0.23819253189869022</v>
          </cell>
          <cell r="Z797" t="e">
            <v>#N/A</v>
          </cell>
        </row>
        <row r="798">
          <cell r="P798">
            <v>7.9399999999999991E-3</v>
          </cell>
          <cell r="W798">
            <v>3.5320612801686218E-3</v>
          </cell>
          <cell r="X798">
            <v>0.23788821731333232</v>
          </cell>
          <cell r="Y798">
            <v>0.23819253189869022</v>
          </cell>
          <cell r="Z798" t="e">
            <v>#N/A</v>
          </cell>
        </row>
        <row r="799">
          <cell r="P799">
            <v>7.9500000000000005E-3</v>
          </cell>
          <cell r="W799">
            <v>3.5320612801686218E-3</v>
          </cell>
          <cell r="X799">
            <v>0.23788821731333232</v>
          </cell>
          <cell r="Y799">
            <v>0.23819253189869022</v>
          </cell>
          <cell r="Z799" t="e">
            <v>#N/A</v>
          </cell>
        </row>
        <row r="800">
          <cell r="P800">
            <v>7.9600000000000001E-3</v>
          </cell>
          <cell r="W800">
            <v>3.5320612801686218E-3</v>
          </cell>
          <cell r="X800">
            <v>0.23788821731333232</v>
          </cell>
          <cell r="Y800">
            <v>0.23819253189869022</v>
          </cell>
          <cell r="Z800" t="e">
            <v>#N/A</v>
          </cell>
        </row>
        <row r="801">
          <cell r="P801">
            <v>7.9699999999999997E-3</v>
          </cell>
          <cell r="W801">
            <v>3.5320612801686218E-3</v>
          </cell>
          <cell r="X801">
            <v>0.23788821731333232</v>
          </cell>
          <cell r="Y801">
            <v>0.23819253189869022</v>
          </cell>
          <cell r="Z801" t="e">
            <v>#N/A</v>
          </cell>
        </row>
        <row r="802">
          <cell r="P802">
            <v>7.9799999999999992E-3</v>
          </cell>
          <cell r="W802">
            <v>3.5320612801686218E-3</v>
          </cell>
          <cell r="X802">
            <v>0.23788821731333232</v>
          </cell>
          <cell r="Y802">
            <v>0.23819253189869022</v>
          </cell>
          <cell r="Z802" t="e">
            <v>#N/A</v>
          </cell>
        </row>
        <row r="803">
          <cell r="P803">
            <v>7.9900000000000006E-3</v>
          </cell>
          <cell r="W803">
            <v>3.5320612801686218E-3</v>
          </cell>
          <cell r="X803">
            <v>0.23788821731333232</v>
          </cell>
          <cell r="Y803">
            <v>0.23819253189869022</v>
          </cell>
          <cell r="Z803" t="e">
            <v>#N/A</v>
          </cell>
        </row>
        <row r="804">
          <cell r="P804">
            <v>8.0000000000000002E-3</v>
          </cell>
          <cell r="W804">
            <v>3.5320612801686218E-3</v>
          </cell>
          <cell r="X804">
            <v>0.23788821731333232</v>
          </cell>
          <cell r="Y804">
            <v>0.23819253189869022</v>
          </cell>
          <cell r="Z804" t="e">
            <v>#N/A</v>
          </cell>
        </row>
        <row r="805">
          <cell r="P805">
            <v>8.0099999999999998E-3</v>
          </cell>
          <cell r="W805">
            <v>3.5320612801686218E-3</v>
          </cell>
          <cell r="X805">
            <v>0.23788821731333232</v>
          </cell>
          <cell r="Y805">
            <v>0.23819253189869022</v>
          </cell>
          <cell r="Z805" t="e">
            <v>#N/A</v>
          </cell>
        </row>
        <row r="806">
          <cell r="P806">
            <v>8.0199999999999994E-3</v>
          </cell>
          <cell r="W806">
            <v>3.5320612801686218E-3</v>
          </cell>
          <cell r="X806">
            <v>0.23788821731333232</v>
          </cell>
          <cell r="Y806">
            <v>0.23819253189869022</v>
          </cell>
          <cell r="Z806" t="e">
            <v>#N/A</v>
          </cell>
        </row>
        <row r="807">
          <cell r="P807">
            <v>8.0300000000000007E-3</v>
          </cell>
          <cell r="W807">
            <v>3.5320612801686218E-3</v>
          </cell>
          <cell r="X807">
            <v>0.23788821731333232</v>
          </cell>
          <cell r="Y807">
            <v>0.23819253189869022</v>
          </cell>
          <cell r="Z807" t="e">
            <v>#N/A</v>
          </cell>
        </row>
        <row r="808">
          <cell r="P808">
            <v>8.0400000000000003E-3</v>
          </cell>
          <cell r="W808">
            <v>3.5320612801686218E-3</v>
          </cell>
          <cell r="X808">
            <v>0.23788821731333232</v>
          </cell>
          <cell r="Y808">
            <v>0.23819253189869022</v>
          </cell>
          <cell r="Z808" t="e">
            <v>#N/A</v>
          </cell>
        </row>
        <row r="809">
          <cell r="P809">
            <v>8.0499999999999999E-3</v>
          </cell>
          <cell r="W809">
            <v>3.5320612801686218E-3</v>
          </cell>
          <cell r="X809">
            <v>0.23788821731333232</v>
          </cell>
          <cell r="Y809">
            <v>0.23819253189869022</v>
          </cell>
          <cell r="Z809" t="e">
            <v>#N/A</v>
          </cell>
        </row>
        <row r="810">
          <cell r="P810">
            <v>8.0599999999999995E-3</v>
          </cell>
          <cell r="W810">
            <v>3.5320612801686218E-3</v>
          </cell>
          <cell r="X810">
            <v>0.23788821731333232</v>
          </cell>
          <cell r="Y810">
            <v>0.23819253189869022</v>
          </cell>
          <cell r="Z810" t="e">
            <v>#N/A</v>
          </cell>
        </row>
        <row r="811">
          <cell r="P811">
            <v>8.0700000000000008E-3</v>
          </cell>
          <cell r="W811">
            <v>3.5320612801686218E-3</v>
          </cell>
          <cell r="X811">
            <v>0.23788821731333232</v>
          </cell>
          <cell r="Y811">
            <v>0.23819253189869022</v>
          </cell>
          <cell r="Z811" t="e">
            <v>#N/A</v>
          </cell>
        </row>
        <row r="812">
          <cell r="P812">
            <v>8.0800000000000004E-3</v>
          </cell>
          <cell r="W812">
            <v>3.5320612801686218E-3</v>
          </cell>
          <cell r="X812">
            <v>0.23788821731333232</v>
          </cell>
          <cell r="Y812">
            <v>0.23819253189869022</v>
          </cell>
          <cell r="Z812" t="e">
            <v>#N/A</v>
          </cell>
        </row>
        <row r="813">
          <cell r="P813">
            <v>8.09E-3</v>
          </cell>
          <cell r="W813">
            <v>3.5320612801686218E-3</v>
          </cell>
          <cell r="X813">
            <v>0.23788821731333232</v>
          </cell>
          <cell r="Y813">
            <v>0.23819253189869022</v>
          </cell>
          <cell r="Z813" t="e">
            <v>#N/A</v>
          </cell>
        </row>
        <row r="814">
          <cell r="P814">
            <v>8.0999999999999996E-3</v>
          </cell>
          <cell r="W814">
            <v>3.5320612801686218E-3</v>
          </cell>
          <cell r="X814">
            <v>0.23788821731333232</v>
          </cell>
          <cell r="Y814">
            <v>0.23819253189869022</v>
          </cell>
          <cell r="Z814" t="e">
            <v>#N/A</v>
          </cell>
        </row>
        <row r="815">
          <cell r="P815">
            <v>8.1099999999999992E-3</v>
          </cell>
          <cell r="W815">
            <v>3.5320612801686218E-3</v>
          </cell>
          <cell r="X815">
            <v>0.23788821731333232</v>
          </cell>
          <cell r="Y815">
            <v>0.23819253189869022</v>
          </cell>
          <cell r="Z815" t="e">
            <v>#N/A</v>
          </cell>
        </row>
        <row r="816">
          <cell r="P816">
            <v>8.1200000000000005E-3</v>
          </cell>
          <cell r="W816">
            <v>3.5320612801686218E-3</v>
          </cell>
          <cell r="X816">
            <v>0.23788821731333232</v>
          </cell>
          <cell r="Y816">
            <v>0.23819253189869022</v>
          </cell>
          <cell r="Z816" t="e">
            <v>#N/A</v>
          </cell>
        </row>
        <row r="817">
          <cell r="P817">
            <v>8.1300000000000001E-3</v>
          </cell>
          <cell r="W817">
            <v>3.5320612801686218E-3</v>
          </cell>
          <cell r="X817">
            <v>0.23788821731333232</v>
          </cell>
          <cell r="Y817">
            <v>0.23819253189869022</v>
          </cell>
          <cell r="Z817" t="e">
            <v>#N/A</v>
          </cell>
        </row>
        <row r="818">
          <cell r="P818">
            <v>8.1399999999999997E-3</v>
          </cell>
          <cell r="W818">
            <v>3.5320612801686218E-3</v>
          </cell>
          <cell r="X818">
            <v>0.23788821731333232</v>
          </cell>
          <cell r="Y818">
            <v>0.23819253189869022</v>
          </cell>
          <cell r="Z818" t="e">
            <v>#N/A</v>
          </cell>
        </row>
        <row r="819">
          <cell r="P819">
            <v>8.1499999999999993E-3</v>
          </cell>
          <cell r="W819">
            <v>3.5320612801686218E-3</v>
          </cell>
          <cell r="X819">
            <v>0.23788821731333232</v>
          </cell>
          <cell r="Y819">
            <v>0.23819253189869022</v>
          </cell>
          <cell r="Z819" t="e">
            <v>#N/A</v>
          </cell>
        </row>
        <row r="820">
          <cell r="P820">
            <v>8.1600000000000006E-3</v>
          </cell>
          <cell r="W820">
            <v>3.5320612801686218E-3</v>
          </cell>
          <cell r="X820">
            <v>0.23788821731333232</v>
          </cell>
          <cell r="Y820">
            <v>0.23819253189869022</v>
          </cell>
          <cell r="Z820" t="e">
            <v>#N/A</v>
          </cell>
        </row>
        <row r="821">
          <cell r="P821">
            <v>8.1700000000000002E-3</v>
          </cell>
          <cell r="W821">
            <v>3.5320612801686218E-3</v>
          </cell>
          <cell r="X821">
            <v>0.23788821731333232</v>
          </cell>
          <cell r="Y821">
            <v>0.23819253189869022</v>
          </cell>
          <cell r="Z821" t="e">
            <v>#N/A</v>
          </cell>
        </row>
        <row r="822">
          <cell r="P822">
            <v>8.1799999999999998E-3</v>
          </cell>
          <cell r="W822">
            <v>3.5320612801686218E-3</v>
          </cell>
          <cell r="X822">
            <v>0.23788821731333232</v>
          </cell>
          <cell r="Y822">
            <v>0.23819253189869022</v>
          </cell>
          <cell r="Z822" t="e">
            <v>#N/A</v>
          </cell>
        </row>
        <row r="823">
          <cell r="P823">
            <v>8.1899999999999994E-3</v>
          </cell>
          <cell r="W823">
            <v>3.5320612801686218E-3</v>
          </cell>
          <cell r="X823">
            <v>0.23788821731333232</v>
          </cell>
          <cell r="Y823">
            <v>0.23819253189869022</v>
          </cell>
          <cell r="Z823" t="e">
            <v>#N/A</v>
          </cell>
        </row>
        <row r="824">
          <cell r="P824">
            <v>8.2000000000000007E-3</v>
          </cell>
          <cell r="W824">
            <v>3.5320612801686218E-3</v>
          </cell>
          <cell r="X824">
            <v>0.23788821731333232</v>
          </cell>
          <cell r="Y824">
            <v>0.23819253189869022</v>
          </cell>
          <cell r="Z824" t="e">
            <v>#N/A</v>
          </cell>
        </row>
        <row r="825">
          <cell r="P825">
            <v>8.2100000000000003E-3</v>
          </cell>
          <cell r="W825">
            <v>3.5320612801686218E-3</v>
          </cell>
          <cell r="X825">
            <v>0.23788821731333232</v>
          </cell>
          <cell r="Y825">
            <v>0.23819253189869022</v>
          </cell>
          <cell r="Z825" t="e">
            <v>#N/A</v>
          </cell>
        </row>
        <row r="826">
          <cell r="P826">
            <v>8.2199999999999999E-3</v>
          </cell>
          <cell r="W826">
            <v>3.5320612801686218E-3</v>
          </cell>
          <cell r="X826">
            <v>0.23788821731333232</v>
          </cell>
          <cell r="Y826">
            <v>0.23819253189869022</v>
          </cell>
          <cell r="Z826" t="e">
            <v>#N/A</v>
          </cell>
        </row>
        <row r="827">
          <cell r="P827">
            <v>8.2299999999999995E-3</v>
          </cell>
          <cell r="W827">
            <v>3.5320612801686218E-3</v>
          </cell>
          <cell r="X827">
            <v>0.23788821731333232</v>
          </cell>
          <cell r="Y827">
            <v>0.23819253189869022</v>
          </cell>
          <cell r="Z827" t="e">
            <v>#N/A</v>
          </cell>
        </row>
        <row r="828">
          <cell r="P828">
            <v>8.2400000000000008E-3</v>
          </cell>
          <cell r="W828">
            <v>3.5320612801686218E-3</v>
          </cell>
          <cell r="X828">
            <v>0.23788821731333232</v>
          </cell>
          <cell r="Y828">
            <v>0.23819253189869022</v>
          </cell>
          <cell r="Z828" t="e">
            <v>#N/A</v>
          </cell>
        </row>
        <row r="829">
          <cell r="P829">
            <v>8.2500000000000004E-3</v>
          </cell>
          <cell r="W829">
            <v>3.5320612801686218E-3</v>
          </cell>
          <cell r="X829">
            <v>0.23788821731333232</v>
          </cell>
          <cell r="Y829">
            <v>0.23819253189869022</v>
          </cell>
          <cell r="Z829" t="e">
            <v>#N/A</v>
          </cell>
        </row>
        <row r="830">
          <cell r="P830">
            <v>8.26E-3</v>
          </cell>
          <cell r="W830">
            <v>3.5320612801686218E-3</v>
          </cell>
          <cell r="X830">
            <v>0.23788821731333232</v>
          </cell>
          <cell r="Y830">
            <v>0.23819253189869022</v>
          </cell>
          <cell r="Z830" t="e">
            <v>#N/A</v>
          </cell>
        </row>
        <row r="831">
          <cell r="P831">
            <v>8.2699999999999996E-3</v>
          </cell>
          <cell r="W831">
            <v>3.5320612801686218E-3</v>
          </cell>
          <cell r="X831">
            <v>0.23788821731333232</v>
          </cell>
          <cell r="Y831">
            <v>0.23819253189869022</v>
          </cell>
          <cell r="Z831" t="e">
            <v>#N/A</v>
          </cell>
        </row>
        <row r="832">
          <cell r="P832">
            <v>8.2799999999999992E-3</v>
          </cell>
          <cell r="W832">
            <v>3.5320612801686218E-3</v>
          </cell>
          <cell r="X832">
            <v>0.23788821731333232</v>
          </cell>
          <cell r="Y832">
            <v>0.23819253189869022</v>
          </cell>
          <cell r="Z832" t="e">
            <v>#N/A</v>
          </cell>
        </row>
        <row r="833">
          <cell r="P833">
            <v>8.2900000000000005E-3</v>
          </cell>
          <cell r="W833">
            <v>3.5320612801686218E-3</v>
          </cell>
          <cell r="X833">
            <v>0.23788821731333232</v>
          </cell>
          <cell r="Y833">
            <v>0.23819253189869022</v>
          </cell>
          <cell r="Z833" t="e">
            <v>#N/A</v>
          </cell>
        </row>
        <row r="834">
          <cell r="P834">
            <v>8.3000000000000001E-3</v>
          </cell>
          <cell r="W834">
            <v>3.5320612801686218E-3</v>
          </cell>
          <cell r="X834">
            <v>0.23788821731333232</v>
          </cell>
          <cell r="Y834">
            <v>0.23819253189869022</v>
          </cell>
          <cell r="Z834" t="e">
            <v>#N/A</v>
          </cell>
        </row>
        <row r="835">
          <cell r="P835">
            <v>8.3099999999999997E-3</v>
          </cell>
          <cell r="W835">
            <v>3.5320612801686218E-3</v>
          </cell>
          <cell r="X835">
            <v>0.23788821731333232</v>
          </cell>
          <cell r="Y835">
            <v>0.23819253189869022</v>
          </cell>
          <cell r="Z835" t="e">
            <v>#N/A</v>
          </cell>
        </row>
        <row r="836">
          <cell r="P836">
            <v>8.3199999999999993E-3</v>
          </cell>
          <cell r="W836">
            <v>3.5320612801686218E-3</v>
          </cell>
          <cell r="X836">
            <v>0.23788821731333232</v>
          </cell>
          <cell r="Y836">
            <v>0.23819253189869022</v>
          </cell>
          <cell r="Z836" t="e">
            <v>#N/A</v>
          </cell>
        </row>
        <row r="837">
          <cell r="P837">
            <v>8.3300000000000006E-3</v>
          </cell>
          <cell r="W837">
            <v>3.5320612801686218E-3</v>
          </cell>
          <cell r="X837">
            <v>0.23788821731333232</v>
          </cell>
          <cell r="Y837">
            <v>0.23819253189869022</v>
          </cell>
          <cell r="Z837" t="e">
            <v>#N/A</v>
          </cell>
        </row>
        <row r="838">
          <cell r="P838">
            <v>8.3400000000000002E-3</v>
          </cell>
          <cell r="W838">
            <v>3.5320612801686218E-3</v>
          </cell>
          <cell r="X838">
            <v>0.23788821731333232</v>
          </cell>
          <cell r="Y838">
            <v>0.23819253189869022</v>
          </cell>
          <cell r="Z838" t="e">
            <v>#N/A</v>
          </cell>
        </row>
        <row r="839">
          <cell r="P839">
            <v>8.3499999999999998E-3</v>
          </cell>
          <cell r="W839">
            <v>3.5320612801686218E-3</v>
          </cell>
          <cell r="X839">
            <v>0.23788821731333232</v>
          </cell>
          <cell r="Y839">
            <v>0.23819253189869022</v>
          </cell>
          <cell r="Z839" t="e">
            <v>#N/A</v>
          </cell>
        </row>
        <row r="840">
          <cell r="P840">
            <v>8.3599999999999994E-3</v>
          </cell>
          <cell r="W840">
            <v>3.5320612801686218E-3</v>
          </cell>
          <cell r="X840">
            <v>0.23788821731333232</v>
          </cell>
          <cell r="Y840">
            <v>0.23819253189869022</v>
          </cell>
          <cell r="Z840" t="e">
            <v>#N/A</v>
          </cell>
        </row>
        <row r="841">
          <cell r="P841">
            <v>8.3700000000000007E-3</v>
          </cell>
          <cell r="W841">
            <v>3.5320612801686218E-3</v>
          </cell>
          <cell r="X841">
            <v>0.23788821731333232</v>
          </cell>
          <cell r="Y841">
            <v>0.23819253189869022</v>
          </cell>
          <cell r="Z841" t="e">
            <v>#N/A</v>
          </cell>
        </row>
        <row r="842">
          <cell r="P842">
            <v>8.3800000000000003E-3</v>
          </cell>
          <cell r="W842">
            <v>3.5320612801686218E-3</v>
          </cell>
          <cell r="X842">
            <v>0.23788821731333232</v>
          </cell>
          <cell r="Y842">
            <v>0.23819253189869022</v>
          </cell>
          <cell r="Z842" t="e">
            <v>#N/A</v>
          </cell>
        </row>
        <row r="843">
          <cell r="P843">
            <v>8.3899999999999999E-3</v>
          </cell>
          <cell r="W843">
            <v>3.5320612801686218E-3</v>
          </cell>
          <cell r="X843">
            <v>0.23788821731333232</v>
          </cell>
          <cell r="Y843">
            <v>0.23819253189869022</v>
          </cell>
          <cell r="Z843" t="e">
            <v>#N/A</v>
          </cell>
        </row>
        <row r="844">
          <cell r="P844">
            <v>8.3999999999999995E-3</v>
          </cell>
          <cell r="W844">
            <v>3.5320612801686218E-3</v>
          </cell>
          <cell r="X844">
            <v>0.23788821731333232</v>
          </cell>
          <cell r="Y844">
            <v>0.23819253189869022</v>
          </cell>
          <cell r="Z844" t="e">
            <v>#N/A</v>
          </cell>
        </row>
        <row r="845">
          <cell r="P845">
            <v>8.4100000000000008E-3</v>
          </cell>
          <cell r="W845">
            <v>3.5320612801686218E-3</v>
          </cell>
          <cell r="X845">
            <v>0.23788821731333232</v>
          </cell>
          <cell r="Y845">
            <v>0.23819253189869022</v>
          </cell>
          <cell r="Z845" t="e">
            <v>#N/A</v>
          </cell>
        </row>
        <row r="846">
          <cell r="P846">
            <v>8.4200000000000004E-3</v>
          </cell>
          <cell r="W846">
            <v>3.5320612801686218E-3</v>
          </cell>
          <cell r="X846">
            <v>0.23788821731333232</v>
          </cell>
          <cell r="Y846">
            <v>0.23819253189869022</v>
          </cell>
          <cell r="Z846" t="e">
            <v>#N/A</v>
          </cell>
        </row>
        <row r="847">
          <cell r="P847">
            <v>8.43E-3</v>
          </cell>
          <cell r="W847">
            <v>3.5320612801686218E-3</v>
          </cell>
          <cell r="X847">
            <v>0.23788821731333232</v>
          </cell>
          <cell r="Y847">
            <v>0.23819253189869022</v>
          </cell>
          <cell r="Z847" t="e">
            <v>#N/A</v>
          </cell>
        </row>
        <row r="848">
          <cell r="P848">
            <v>8.4399999999999996E-3</v>
          </cell>
          <cell r="W848">
            <v>3.5320612801686218E-3</v>
          </cell>
          <cell r="X848">
            <v>0.23788821731333232</v>
          </cell>
          <cell r="Y848">
            <v>0.23819253189869022</v>
          </cell>
          <cell r="Z848" t="e">
            <v>#N/A</v>
          </cell>
        </row>
        <row r="849">
          <cell r="P849">
            <v>8.4499999999999992E-3</v>
          </cell>
          <cell r="W849">
            <v>3.5320612801686218E-3</v>
          </cell>
          <cell r="X849">
            <v>0.23788821731333232</v>
          </cell>
          <cell r="Y849">
            <v>0.23819253189869022</v>
          </cell>
          <cell r="Z849" t="e">
            <v>#N/A</v>
          </cell>
        </row>
        <row r="850">
          <cell r="P850">
            <v>8.4600000000000005E-3</v>
          </cell>
          <cell r="W850">
            <v>3.5320612801686218E-3</v>
          </cell>
          <cell r="X850">
            <v>0.23788821731333232</v>
          </cell>
          <cell r="Y850">
            <v>0.23819253189869022</v>
          </cell>
          <cell r="Z850" t="e">
            <v>#N/A</v>
          </cell>
        </row>
        <row r="851">
          <cell r="P851">
            <v>8.4700000000000001E-3</v>
          </cell>
          <cell r="W851">
            <v>3.5320612801686218E-3</v>
          </cell>
          <cell r="X851">
            <v>0.23788821731333232</v>
          </cell>
          <cell r="Y851">
            <v>0.23819253189869022</v>
          </cell>
          <cell r="Z851" t="e">
            <v>#N/A</v>
          </cell>
        </row>
        <row r="852">
          <cell r="P852">
            <v>8.4799999999999997E-3</v>
          </cell>
          <cell r="W852">
            <v>3.5320612801686218E-3</v>
          </cell>
          <cell r="X852">
            <v>0.23788821731333232</v>
          </cell>
          <cell r="Y852">
            <v>0.23819253189869022</v>
          </cell>
          <cell r="Z852" t="e">
            <v>#N/A</v>
          </cell>
        </row>
        <row r="853">
          <cell r="P853">
            <v>8.4899999999999993E-3</v>
          </cell>
          <cell r="W853">
            <v>3.5320612801686218E-3</v>
          </cell>
          <cell r="X853">
            <v>0.23788821731333232</v>
          </cell>
          <cell r="Y853">
            <v>0.23819253189869022</v>
          </cell>
          <cell r="Z853" t="e">
            <v>#N/A</v>
          </cell>
        </row>
        <row r="854">
          <cell r="P854">
            <v>8.5000000000000006E-3</v>
          </cell>
          <cell r="W854">
            <v>3.5320612801686218E-3</v>
          </cell>
          <cell r="X854">
            <v>0.23788821731333232</v>
          </cell>
          <cell r="Y854">
            <v>0.23819253189869022</v>
          </cell>
          <cell r="Z854" t="e">
            <v>#N/A</v>
          </cell>
        </row>
        <row r="855">
          <cell r="P855">
            <v>8.5100000000000002E-3</v>
          </cell>
          <cell r="W855">
            <v>3.5320612801686218E-3</v>
          </cell>
          <cell r="X855">
            <v>0.23788821731333232</v>
          </cell>
          <cell r="Y855">
            <v>0.23819253189869022</v>
          </cell>
          <cell r="Z855" t="e">
            <v>#N/A</v>
          </cell>
        </row>
        <row r="856">
          <cell r="P856">
            <v>8.5199999999999998E-3</v>
          </cell>
          <cell r="W856">
            <v>3.5320612801686218E-3</v>
          </cell>
          <cell r="X856">
            <v>0.23788821731333232</v>
          </cell>
          <cell r="Y856">
            <v>0.23819253189869022</v>
          </cell>
          <cell r="Z856" t="e">
            <v>#N/A</v>
          </cell>
        </row>
        <row r="857">
          <cell r="P857">
            <v>8.5299999999999994E-3</v>
          </cell>
          <cell r="W857">
            <v>3.5320612801686218E-3</v>
          </cell>
          <cell r="X857">
            <v>0.23788821731333232</v>
          </cell>
          <cell r="Y857">
            <v>0.23819253189869022</v>
          </cell>
          <cell r="Z857" t="e">
            <v>#N/A</v>
          </cell>
        </row>
        <row r="858">
          <cell r="P858">
            <v>8.5400000000000007E-3</v>
          </cell>
          <cell r="W858">
            <v>3.5320612801686218E-3</v>
          </cell>
          <cell r="X858">
            <v>0.23788821731333232</v>
          </cell>
          <cell r="Y858">
            <v>0.23819253189869022</v>
          </cell>
          <cell r="Z858" t="e">
            <v>#N/A</v>
          </cell>
        </row>
        <row r="859">
          <cell r="P859">
            <v>8.5500000000000003E-3</v>
          </cell>
          <cell r="W859">
            <v>3.5320612801686218E-3</v>
          </cell>
          <cell r="X859">
            <v>0.23788821731333232</v>
          </cell>
          <cell r="Y859">
            <v>0.23819253189869022</v>
          </cell>
          <cell r="Z859" t="e">
            <v>#N/A</v>
          </cell>
        </row>
        <row r="860">
          <cell r="P860">
            <v>8.5599999999999999E-3</v>
          </cell>
          <cell r="W860">
            <v>3.5320612801686218E-3</v>
          </cell>
          <cell r="X860">
            <v>0.23788821731333232</v>
          </cell>
          <cell r="Y860">
            <v>0.23819253189869022</v>
          </cell>
          <cell r="Z860" t="e">
            <v>#N/A</v>
          </cell>
        </row>
        <row r="861">
          <cell r="P861">
            <v>8.5699999999999995E-3</v>
          </cell>
          <cell r="W861">
            <v>3.5320612801686218E-3</v>
          </cell>
          <cell r="X861">
            <v>0.23788821731333232</v>
          </cell>
          <cell r="Y861">
            <v>0.23819253189869022</v>
          </cell>
          <cell r="Z861" t="e">
            <v>#N/A</v>
          </cell>
        </row>
        <row r="862">
          <cell r="P862">
            <v>8.5800000000000008E-3</v>
          </cell>
          <cell r="W862">
            <v>3.5320612801686218E-3</v>
          </cell>
          <cell r="X862">
            <v>0.23788821731333232</v>
          </cell>
          <cell r="Y862">
            <v>0.23819253189869022</v>
          </cell>
          <cell r="Z862" t="e">
            <v>#N/A</v>
          </cell>
        </row>
        <row r="863">
          <cell r="P863">
            <v>8.5900000000000004E-3</v>
          </cell>
          <cell r="W863">
            <v>3.5320612801686218E-3</v>
          </cell>
          <cell r="X863">
            <v>0.23788821731333232</v>
          </cell>
          <cell r="Y863">
            <v>0.23819253189869022</v>
          </cell>
          <cell r="Z863" t="e">
            <v>#N/A</v>
          </cell>
        </row>
        <row r="864">
          <cell r="P864">
            <v>8.6E-3</v>
          </cell>
          <cell r="W864">
            <v>3.5320612801686218E-3</v>
          </cell>
          <cell r="X864">
            <v>0.23788821731333232</v>
          </cell>
          <cell r="Y864">
            <v>0.23819253189869022</v>
          </cell>
          <cell r="Z864" t="e">
            <v>#N/A</v>
          </cell>
        </row>
        <row r="865">
          <cell r="P865">
            <v>8.6099999999999996E-3</v>
          </cell>
          <cell r="W865">
            <v>3.5320612801686218E-3</v>
          </cell>
          <cell r="X865">
            <v>0.23788821731333232</v>
          </cell>
          <cell r="Y865">
            <v>0.23819253189869022</v>
          </cell>
          <cell r="Z865" t="e">
            <v>#N/A</v>
          </cell>
        </row>
        <row r="866">
          <cell r="P866">
            <v>8.6199999999999992E-3</v>
          </cell>
          <cell r="W866">
            <v>3.5320612801686218E-3</v>
          </cell>
          <cell r="X866">
            <v>0.23788821731333232</v>
          </cell>
          <cell r="Y866">
            <v>0.23819253189869022</v>
          </cell>
          <cell r="Z866" t="e">
            <v>#N/A</v>
          </cell>
        </row>
        <row r="867">
          <cell r="P867">
            <v>8.6300000000000005E-3</v>
          </cell>
          <cell r="W867">
            <v>3.5320612801686218E-3</v>
          </cell>
          <cell r="X867">
            <v>0.23788821731333232</v>
          </cell>
          <cell r="Y867">
            <v>0.23819253189869022</v>
          </cell>
          <cell r="Z867" t="e">
            <v>#N/A</v>
          </cell>
        </row>
        <row r="868">
          <cell r="P868">
            <v>8.6400000000000001E-3</v>
          </cell>
          <cell r="W868">
            <v>3.5320612801686218E-3</v>
          </cell>
          <cell r="X868">
            <v>0.23788821731333232</v>
          </cell>
          <cell r="Y868">
            <v>0.23819253189869022</v>
          </cell>
          <cell r="Z868" t="e">
            <v>#N/A</v>
          </cell>
        </row>
        <row r="869">
          <cell r="P869">
            <v>8.6499999999999997E-3</v>
          </cell>
          <cell r="W869">
            <v>3.5320612801686218E-3</v>
          </cell>
          <cell r="X869">
            <v>0.23788821731333232</v>
          </cell>
          <cell r="Y869">
            <v>0.23819253189869022</v>
          </cell>
          <cell r="Z869" t="e">
            <v>#N/A</v>
          </cell>
        </row>
        <row r="870">
          <cell r="P870">
            <v>8.6599999999999993E-3</v>
          </cell>
          <cell r="W870">
            <v>3.5320612801686218E-3</v>
          </cell>
          <cell r="X870">
            <v>0.23788821731333232</v>
          </cell>
          <cell r="Y870">
            <v>0.23819253189869022</v>
          </cell>
          <cell r="Z870" t="e">
            <v>#N/A</v>
          </cell>
        </row>
        <row r="871">
          <cell r="P871">
            <v>8.6700000000000006E-3</v>
          </cell>
          <cell r="W871">
            <v>3.5320612801686218E-3</v>
          </cell>
          <cell r="X871">
            <v>0.23788821731333232</v>
          </cell>
          <cell r="Y871">
            <v>0.23819253189869022</v>
          </cell>
          <cell r="Z871" t="e">
            <v>#N/A</v>
          </cell>
        </row>
        <row r="872">
          <cell r="P872">
            <v>8.6800000000000002E-3</v>
          </cell>
          <cell r="W872">
            <v>3.5320612801686218E-3</v>
          </cell>
          <cell r="X872">
            <v>0.23788821731333232</v>
          </cell>
          <cell r="Y872">
            <v>0.23819253189869022</v>
          </cell>
          <cell r="Z872" t="e">
            <v>#N/A</v>
          </cell>
        </row>
        <row r="873">
          <cell r="P873">
            <v>8.6899999999999998E-3</v>
          </cell>
          <cell r="W873">
            <v>3.5320612801686218E-3</v>
          </cell>
          <cell r="X873">
            <v>0.23788821731333232</v>
          </cell>
          <cell r="Y873">
            <v>0.23819253189869022</v>
          </cell>
          <cell r="Z873" t="e">
            <v>#N/A</v>
          </cell>
        </row>
        <row r="874">
          <cell r="P874">
            <v>8.6999999999999994E-3</v>
          </cell>
          <cell r="W874">
            <v>3.5320612801686218E-3</v>
          </cell>
          <cell r="X874">
            <v>0.23788821731333232</v>
          </cell>
          <cell r="Y874">
            <v>0.23819253189869022</v>
          </cell>
          <cell r="Z874" t="e">
            <v>#N/A</v>
          </cell>
        </row>
        <row r="875">
          <cell r="P875">
            <v>8.7100000000000007E-3</v>
          </cell>
          <cell r="W875">
            <v>3.5320612801686218E-3</v>
          </cell>
          <cell r="X875">
            <v>0.23788821731333232</v>
          </cell>
          <cell r="Y875">
            <v>0.23819253189869022</v>
          </cell>
          <cell r="Z875" t="e">
            <v>#N/A</v>
          </cell>
        </row>
        <row r="876">
          <cell r="P876">
            <v>8.7200000000000003E-3</v>
          </cell>
          <cell r="W876">
            <v>3.5320612801686218E-3</v>
          </cell>
          <cell r="X876">
            <v>0.23788821731333232</v>
          </cell>
          <cell r="Y876">
            <v>0.23819253189869022</v>
          </cell>
          <cell r="Z876" t="e">
            <v>#N/A</v>
          </cell>
        </row>
        <row r="877">
          <cell r="P877">
            <v>8.7299999999999999E-3</v>
          </cell>
          <cell r="W877">
            <v>3.5320612801686218E-3</v>
          </cell>
          <cell r="X877">
            <v>0.23788821731333232</v>
          </cell>
          <cell r="Y877">
            <v>0.23819253189869022</v>
          </cell>
          <cell r="Z877" t="e">
            <v>#N/A</v>
          </cell>
        </row>
        <row r="878">
          <cell r="P878">
            <v>8.7399999999999995E-3</v>
          </cell>
          <cell r="W878">
            <v>3.5320612801686218E-3</v>
          </cell>
          <cell r="X878">
            <v>0.23788821731333232</v>
          </cell>
          <cell r="Y878">
            <v>0.23819253189869022</v>
          </cell>
          <cell r="Z878" t="e">
            <v>#N/A</v>
          </cell>
        </row>
        <row r="879">
          <cell r="P879">
            <v>8.7500000000000008E-3</v>
          </cell>
          <cell r="W879">
            <v>3.5320612801686218E-3</v>
          </cell>
          <cell r="X879">
            <v>0.23788821731333232</v>
          </cell>
          <cell r="Y879">
            <v>0.23819253189869022</v>
          </cell>
          <cell r="Z879" t="e">
            <v>#N/A</v>
          </cell>
        </row>
        <row r="880">
          <cell r="P880">
            <v>8.7600000000000004E-3</v>
          </cell>
          <cell r="W880">
            <v>3.5320612801686218E-3</v>
          </cell>
          <cell r="X880">
            <v>0.23788821731333232</v>
          </cell>
          <cell r="Y880">
            <v>0.23819253189869022</v>
          </cell>
          <cell r="Z880" t="e">
            <v>#N/A</v>
          </cell>
        </row>
        <row r="881">
          <cell r="P881">
            <v>8.77E-3</v>
          </cell>
          <cell r="W881">
            <v>3.5320612801686218E-3</v>
          </cell>
          <cell r="X881">
            <v>0.23788821731333232</v>
          </cell>
          <cell r="Y881">
            <v>0.23819253189869022</v>
          </cell>
          <cell r="Z881" t="e">
            <v>#N/A</v>
          </cell>
        </row>
        <row r="882">
          <cell r="P882">
            <v>8.7799999999999996E-3</v>
          </cell>
          <cell r="W882">
            <v>3.5320612801686218E-3</v>
          </cell>
          <cell r="X882">
            <v>0.23788821731333232</v>
          </cell>
          <cell r="Y882">
            <v>0.23819253189869022</v>
          </cell>
          <cell r="Z882" t="e">
            <v>#N/A</v>
          </cell>
        </row>
        <row r="883">
          <cell r="P883">
            <v>8.7899999999999992E-3</v>
          </cell>
          <cell r="W883">
            <v>3.5320612801686218E-3</v>
          </cell>
          <cell r="X883">
            <v>0.23788821731333232</v>
          </cell>
          <cell r="Y883">
            <v>0.23819253189869022</v>
          </cell>
          <cell r="Z883" t="e">
            <v>#N/A</v>
          </cell>
        </row>
        <row r="884">
          <cell r="P884">
            <v>8.8000000000000005E-3</v>
          </cell>
          <cell r="W884">
            <v>3.5320612801686218E-3</v>
          </cell>
          <cell r="X884">
            <v>0.23788821731333232</v>
          </cell>
          <cell r="Y884">
            <v>0.23819253189869022</v>
          </cell>
          <cell r="Z884" t="e">
            <v>#N/A</v>
          </cell>
        </row>
        <row r="885">
          <cell r="P885">
            <v>8.8100000000000001E-3</v>
          </cell>
          <cell r="W885">
            <v>3.5320612801686218E-3</v>
          </cell>
          <cell r="X885">
            <v>0.23788821731333232</v>
          </cell>
          <cell r="Y885">
            <v>0.23819253189869022</v>
          </cell>
          <cell r="Z885" t="e">
            <v>#N/A</v>
          </cell>
        </row>
        <row r="886">
          <cell r="P886">
            <v>8.8199999999999997E-3</v>
          </cell>
          <cell r="W886">
            <v>3.5320612801686218E-3</v>
          </cell>
          <cell r="X886">
            <v>0.23788821731333232</v>
          </cell>
          <cell r="Y886">
            <v>0.23819253189869022</v>
          </cell>
          <cell r="Z886" t="e">
            <v>#N/A</v>
          </cell>
        </row>
        <row r="887">
          <cell r="P887">
            <v>8.8299999999999993E-3</v>
          </cell>
          <cell r="W887">
            <v>3.5320612801686218E-3</v>
          </cell>
          <cell r="X887">
            <v>0.23788821731333232</v>
          </cell>
          <cell r="Y887">
            <v>0.23819253189869022</v>
          </cell>
          <cell r="Z887" t="e">
            <v>#N/A</v>
          </cell>
        </row>
        <row r="888">
          <cell r="P888">
            <v>8.8400000000000006E-3</v>
          </cell>
          <cell r="W888">
            <v>3.5320612801686218E-3</v>
          </cell>
          <cell r="X888">
            <v>0.23788821731333232</v>
          </cell>
          <cell r="Y888">
            <v>0.23819253189869022</v>
          </cell>
          <cell r="Z888" t="e">
            <v>#N/A</v>
          </cell>
        </row>
        <row r="889">
          <cell r="P889">
            <v>8.8500000000000002E-3</v>
          </cell>
          <cell r="W889">
            <v>3.5320612801686218E-3</v>
          </cell>
          <cell r="X889">
            <v>0.23788821731333232</v>
          </cell>
          <cell r="Y889">
            <v>0.23819253189869022</v>
          </cell>
          <cell r="Z889" t="e">
            <v>#N/A</v>
          </cell>
        </row>
        <row r="890">
          <cell r="P890">
            <v>8.8599999999999998E-3</v>
          </cell>
          <cell r="W890">
            <v>3.5320612801686218E-3</v>
          </cell>
          <cell r="X890">
            <v>0.23788821731333232</v>
          </cell>
          <cell r="Y890">
            <v>0.23819253189869022</v>
          </cell>
          <cell r="Z890" t="e">
            <v>#N/A</v>
          </cell>
        </row>
        <row r="891">
          <cell r="P891">
            <v>8.8699999999999994E-3</v>
          </cell>
          <cell r="W891">
            <v>3.5320612801686218E-3</v>
          </cell>
          <cell r="X891">
            <v>0.23788821731333232</v>
          </cell>
          <cell r="Y891">
            <v>0.23819253189869022</v>
          </cell>
          <cell r="Z891" t="e">
            <v>#N/A</v>
          </cell>
        </row>
        <row r="892">
          <cell r="P892">
            <v>8.8800000000000007E-3</v>
          </cell>
          <cell r="W892">
            <v>3.5320612801686218E-3</v>
          </cell>
          <cell r="X892">
            <v>0.23788821731333232</v>
          </cell>
          <cell r="Y892">
            <v>0.23819253189869022</v>
          </cell>
          <cell r="Z892" t="e">
            <v>#N/A</v>
          </cell>
        </row>
        <row r="893">
          <cell r="P893">
            <v>8.8900000000000003E-3</v>
          </cell>
          <cell r="W893">
            <v>3.5320612801686218E-3</v>
          </cell>
          <cell r="X893">
            <v>0.23788821731333232</v>
          </cell>
          <cell r="Y893">
            <v>0.23819253189869022</v>
          </cell>
          <cell r="Z893" t="e">
            <v>#N/A</v>
          </cell>
        </row>
        <row r="894">
          <cell r="P894">
            <v>8.8999999999999999E-3</v>
          </cell>
          <cell r="W894">
            <v>3.5320612801686218E-3</v>
          </cell>
          <cell r="X894">
            <v>0.23788821731333232</v>
          </cell>
          <cell r="Y894">
            <v>0.23819253189869022</v>
          </cell>
          <cell r="Z894" t="e">
            <v>#N/A</v>
          </cell>
        </row>
        <row r="895">
          <cell r="P895">
            <v>8.9099999999999995E-3</v>
          </cell>
          <cell r="W895">
            <v>3.5320612801686218E-3</v>
          </cell>
          <cell r="X895">
            <v>0.23788821731333232</v>
          </cell>
          <cell r="Y895">
            <v>0.23819253189869022</v>
          </cell>
          <cell r="Z895" t="e">
            <v>#N/A</v>
          </cell>
        </row>
        <row r="896">
          <cell r="P896">
            <v>8.9200000000000008E-3</v>
          </cell>
          <cell r="W896">
            <v>3.5320612801686218E-3</v>
          </cell>
          <cell r="X896">
            <v>0.23788821731333232</v>
          </cell>
          <cell r="Y896">
            <v>0.23819253189869022</v>
          </cell>
          <cell r="Z896" t="e">
            <v>#N/A</v>
          </cell>
        </row>
        <row r="897">
          <cell r="P897">
            <v>8.9300000000000004E-3</v>
          </cell>
          <cell r="W897">
            <v>3.5320612801686218E-3</v>
          </cell>
          <cell r="X897">
            <v>0.23788821731333232</v>
          </cell>
          <cell r="Y897">
            <v>0.23819253189869022</v>
          </cell>
          <cell r="Z897" t="e">
            <v>#N/A</v>
          </cell>
        </row>
        <row r="898">
          <cell r="P898">
            <v>8.94E-3</v>
          </cell>
          <cell r="W898">
            <v>3.5320612801686218E-3</v>
          </cell>
          <cell r="X898">
            <v>0.23788821731333232</v>
          </cell>
          <cell r="Y898">
            <v>0.23819253189869022</v>
          </cell>
          <cell r="Z898" t="e">
            <v>#N/A</v>
          </cell>
        </row>
        <row r="899">
          <cell r="P899">
            <v>8.9499999999999996E-3</v>
          </cell>
          <cell r="W899">
            <v>3.5320612801686218E-3</v>
          </cell>
          <cell r="X899">
            <v>0.23788821731333232</v>
          </cell>
          <cell r="Y899">
            <v>0.23819253189869022</v>
          </cell>
          <cell r="Z899" t="e">
            <v>#N/A</v>
          </cell>
        </row>
        <row r="900">
          <cell r="P900">
            <v>8.9599999999999992E-3</v>
          </cell>
          <cell r="W900">
            <v>3.5320612801686218E-3</v>
          </cell>
          <cell r="X900">
            <v>0.23788821731333232</v>
          </cell>
          <cell r="Y900">
            <v>0.23819253189869022</v>
          </cell>
          <cell r="Z900" t="e">
            <v>#N/A</v>
          </cell>
        </row>
        <row r="901">
          <cell r="P901">
            <v>8.9700000000000005E-3</v>
          </cell>
          <cell r="W901">
            <v>3.5320612801686218E-3</v>
          </cell>
          <cell r="X901">
            <v>0.23788821731333232</v>
          </cell>
          <cell r="Y901">
            <v>0.23819253189869022</v>
          </cell>
          <cell r="Z901" t="e">
            <v>#N/A</v>
          </cell>
        </row>
        <row r="902">
          <cell r="P902">
            <v>8.9800000000000001E-3</v>
          </cell>
          <cell r="W902">
            <v>3.5320612801686218E-3</v>
          </cell>
          <cell r="X902">
            <v>0.23788821731333232</v>
          </cell>
          <cell r="Y902">
            <v>0.23819253189869022</v>
          </cell>
          <cell r="Z902" t="e">
            <v>#N/A</v>
          </cell>
        </row>
        <row r="903">
          <cell r="P903">
            <v>8.9899999999999997E-3</v>
          </cell>
          <cell r="W903">
            <v>3.5320612801686218E-3</v>
          </cell>
          <cell r="X903">
            <v>0.23788821731333232</v>
          </cell>
          <cell r="Y903">
            <v>0.23819253189869022</v>
          </cell>
          <cell r="Z903" t="e">
            <v>#N/A</v>
          </cell>
        </row>
        <row r="904">
          <cell r="P904">
            <v>8.9999999999999993E-3</v>
          </cell>
          <cell r="W904">
            <v>3.5320612801686218E-3</v>
          </cell>
          <cell r="X904">
            <v>0.23788821731333232</v>
          </cell>
          <cell r="Y904">
            <v>0.23819253189869022</v>
          </cell>
          <cell r="Z904" t="e">
            <v>#N/A</v>
          </cell>
        </row>
        <row r="905">
          <cell r="P905">
            <v>9.0100000000000006E-3</v>
          </cell>
          <cell r="W905">
            <v>3.5320612801686218E-3</v>
          </cell>
          <cell r="X905">
            <v>0.23788821731333232</v>
          </cell>
          <cell r="Y905">
            <v>0.23819253189869022</v>
          </cell>
          <cell r="Z905" t="e">
            <v>#N/A</v>
          </cell>
        </row>
        <row r="906">
          <cell r="P906">
            <v>9.0200000000000002E-3</v>
          </cell>
          <cell r="W906">
            <v>3.5320612801686218E-3</v>
          </cell>
          <cell r="X906">
            <v>0.23788821731333232</v>
          </cell>
          <cell r="Y906">
            <v>0.23819253189869022</v>
          </cell>
          <cell r="Z906" t="e">
            <v>#N/A</v>
          </cell>
        </row>
        <row r="907">
          <cell r="P907">
            <v>9.0299999999999998E-3</v>
          </cell>
          <cell r="W907">
            <v>3.5320612801686218E-3</v>
          </cell>
          <cell r="X907">
            <v>0.23788821731333232</v>
          </cell>
          <cell r="Y907">
            <v>0.23819253189869022</v>
          </cell>
          <cell r="Z907" t="e">
            <v>#N/A</v>
          </cell>
        </row>
        <row r="908">
          <cell r="P908">
            <v>9.0399999999999994E-3</v>
          </cell>
          <cell r="W908">
            <v>3.5320612801686218E-3</v>
          </cell>
          <cell r="X908">
            <v>0.23788821731333232</v>
          </cell>
          <cell r="Y908">
            <v>0.23819253189869022</v>
          </cell>
          <cell r="Z908" t="e">
            <v>#N/A</v>
          </cell>
        </row>
        <row r="909">
          <cell r="P909">
            <v>9.0500000000000008E-3</v>
          </cell>
          <cell r="W909">
            <v>3.5320612801686218E-3</v>
          </cell>
          <cell r="X909">
            <v>0.23788821731333232</v>
          </cell>
          <cell r="Y909">
            <v>0.23819253189869022</v>
          </cell>
          <cell r="Z909" t="e">
            <v>#N/A</v>
          </cell>
        </row>
        <row r="910">
          <cell r="P910">
            <v>9.0600000000000003E-3</v>
          </cell>
          <cell r="W910">
            <v>3.5320612801686218E-3</v>
          </cell>
          <cell r="X910">
            <v>0.23788821731333232</v>
          </cell>
          <cell r="Y910">
            <v>0.23819253189869022</v>
          </cell>
          <cell r="Z910" t="e">
            <v>#N/A</v>
          </cell>
        </row>
        <row r="911">
          <cell r="P911">
            <v>9.0699999999999999E-3</v>
          </cell>
          <cell r="W911">
            <v>3.5320612801686218E-3</v>
          </cell>
          <cell r="X911">
            <v>0.23788821731333232</v>
          </cell>
          <cell r="Y911">
            <v>0.23819253189869022</v>
          </cell>
          <cell r="Z911" t="e">
            <v>#N/A</v>
          </cell>
        </row>
        <row r="912">
          <cell r="P912">
            <v>9.0799999999999995E-3</v>
          </cell>
          <cell r="W912">
            <v>3.5320612801686218E-3</v>
          </cell>
          <cell r="X912">
            <v>0.23788821731333232</v>
          </cell>
          <cell r="Y912">
            <v>0.23819253189869022</v>
          </cell>
          <cell r="Z912" t="e">
            <v>#N/A</v>
          </cell>
        </row>
        <row r="913">
          <cell r="P913">
            <v>9.0900000000000009E-3</v>
          </cell>
          <cell r="W913">
            <v>3.5320612801686218E-3</v>
          </cell>
          <cell r="X913">
            <v>0.23788821731333232</v>
          </cell>
          <cell r="Y913">
            <v>0.23819253189869022</v>
          </cell>
          <cell r="Z913" t="e">
            <v>#N/A</v>
          </cell>
        </row>
        <row r="914">
          <cell r="P914">
            <v>9.1000000000000004E-3</v>
          </cell>
          <cell r="W914">
            <v>3.5320612801686218E-3</v>
          </cell>
          <cell r="X914">
            <v>0.23788821731333232</v>
          </cell>
          <cell r="Y914">
            <v>0.23819253189869022</v>
          </cell>
          <cell r="Z914" t="e">
            <v>#N/A</v>
          </cell>
        </row>
        <row r="915">
          <cell r="P915">
            <v>9.11E-3</v>
          </cell>
          <cell r="W915">
            <v>3.5320612801686218E-3</v>
          </cell>
          <cell r="X915">
            <v>0.23788821731333232</v>
          </cell>
          <cell r="Y915">
            <v>0.23819253189869022</v>
          </cell>
          <cell r="Z915" t="e">
            <v>#N/A</v>
          </cell>
        </row>
        <row r="916">
          <cell r="P916">
            <v>9.1199999999999996E-3</v>
          </cell>
          <cell r="W916">
            <v>3.5320612801686218E-3</v>
          </cell>
          <cell r="X916">
            <v>0.23788821731333232</v>
          </cell>
          <cell r="Y916">
            <v>0.23819253189869022</v>
          </cell>
          <cell r="Z916" t="e">
            <v>#N/A</v>
          </cell>
        </row>
        <row r="917">
          <cell r="P917">
            <v>9.1299999999999992E-3</v>
          </cell>
          <cell r="W917">
            <v>3.5320612801686218E-3</v>
          </cell>
          <cell r="X917">
            <v>0.23788821731333232</v>
          </cell>
          <cell r="Y917">
            <v>0.23819253189869022</v>
          </cell>
          <cell r="Z917" t="e">
            <v>#N/A</v>
          </cell>
        </row>
        <row r="918">
          <cell r="P918">
            <v>9.1400000000000006E-3</v>
          </cell>
          <cell r="W918">
            <v>3.5320612801686218E-3</v>
          </cell>
          <cell r="X918">
            <v>0.23788821731333232</v>
          </cell>
          <cell r="Y918">
            <v>0.23819253189869022</v>
          </cell>
          <cell r="Z918" t="e">
            <v>#N/A</v>
          </cell>
        </row>
        <row r="919">
          <cell r="P919">
            <v>9.1500000000000001E-3</v>
          </cell>
          <cell r="W919">
            <v>3.5320612801686218E-3</v>
          </cell>
          <cell r="X919">
            <v>0.23788821731333232</v>
          </cell>
          <cell r="Y919">
            <v>0.23819253189869022</v>
          </cell>
          <cell r="Z919" t="e">
            <v>#N/A</v>
          </cell>
        </row>
        <row r="920">
          <cell r="P920">
            <v>9.1599999999999997E-3</v>
          </cell>
          <cell r="W920">
            <v>3.5320612801686218E-3</v>
          </cell>
          <cell r="X920">
            <v>0.23788821731333232</v>
          </cell>
          <cell r="Y920">
            <v>0.23819253189869022</v>
          </cell>
          <cell r="Z920" t="e">
            <v>#N/A</v>
          </cell>
        </row>
        <row r="921">
          <cell r="P921">
            <v>9.1699999999999993E-3</v>
          </cell>
          <cell r="W921">
            <v>3.5320612801686218E-3</v>
          </cell>
          <cell r="X921">
            <v>0.23788821731333232</v>
          </cell>
          <cell r="Y921">
            <v>0.23819253189869022</v>
          </cell>
          <cell r="Z921" t="e">
            <v>#N/A</v>
          </cell>
        </row>
        <row r="922">
          <cell r="P922">
            <v>9.1800000000000007E-3</v>
          </cell>
          <cell r="W922">
            <v>3.5320612801686218E-3</v>
          </cell>
          <cell r="X922">
            <v>0.23788821731333232</v>
          </cell>
          <cell r="Y922">
            <v>0.23819253189869022</v>
          </cell>
          <cell r="Z922" t="e">
            <v>#N/A</v>
          </cell>
        </row>
        <row r="923">
          <cell r="P923">
            <v>9.1900000000000003E-3</v>
          </cell>
          <cell r="W923">
            <v>3.5320612801686218E-3</v>
          </cell>
          <cell r="X923">
            <v>0.23788821731333232</v>
          </cell>
          <cell r="Y923">
            <v>0.23819253189869022</v>
          </cell>
          <cell r="Z923" t="e">
            <v>#N/A</v>
          </cell>
        </row>
        <row r="924">
          <cell r="P924">
            <v>9.1999999999999998E-3</v>
          </cell>
          <cell r="W924">
            <v>3.5320612801686218E-3</v>
          </cell>
          <cell r="X924">
            <v>0.23788821731333232</v>
          </cell>
          <cell r="Y924">
            <v>0.23819253189869022</v>
          </cell>
          <cell r="Z924" t="e">
            <v>#N/A</v>
          </cell>
        </row>
        <row r="925">
          <cell r="P925">
            <v>9.2099999999999994E-3</v>
          </cell>
          <cell r="W925">
            <v>3.5320612801686218E-3</v>
          </cell>
          <cell r="X925">
            <v>0.23788821731333232</v>
          </cell>
          <cell r="Y925">
            <v>0.23819253189869022</v>
          </cell>
          <cell r="Z925" t="e">
            <v>#N/A</v>
          </cell>
        </row>
        <row r="926">
          <cell r="P926">
            <v>9.2200000000000008E-3</v>
          </cell>
          <cell r="W926">
            <v>3.5320612801686218E-3</v>
          </cell>
          <cell r="X926">
            <v>0.23788821731333232</v>
          </cell>
          <cell r="Y926">
            <v>0.23819253189869022</v>
          </cell>
          <cell r="Z926" t="e">
            <v>#N/A</v>
          </cell>
        </row>
        <row r="927">
          <cell r="P927">
            <v>9.2300000000000004E-3</v>
          </cell>
          <cell r="W927">
            <v>3.5320612801686218E-3</v>
          </cell>
          <cell r="X927">
            <v>0.23788821731333232</v>
          </cell>
          <cell r="Y927">
            <v>0.23819253189869022</v>
          </cell>
          <cell r="Z927" t="e">
            <v>#N/A</v>
          </cell>
        </row>
        <row r="928">
          <cell r="P928">
            <v>9.2399999999999999E-3</v>
          </cell>
          <cell r="W928">
            <v>3.5320612801686218E-3</v>
          </cell>
          <cell r="X928">
            <v>0.23788821731333232</v>
          </cell>
          <cell r="Y928">
            <v>0.23819253189869022</v>
          </cell>
          <cell r="Z928" t="e">
            <v>#N/A</v>
          </cell>
        </row>
        <row r="929">
          <cell r="P929">
            <v>9.2499999999999995E-3</v>
          </cell>
          <cell r="W929">
            <v>3.5320612801686218E-3</v>
          </cell>
          <cell r="X929">
            <v>0.23788821731333232</v>
          </cell>
          <cell r="Y929">
            <v>0.23819253189869022</v>
          </cell>
          <cell r="Z929" t="e">
            <v>#N/A</v>
          </cell>
        </row>
        <row r="930">
          <cell r="P930">
            <v>9.2599999999999991E-3</v>
          </cell>
          <cell r="W930">
            <v>3.5320612801686218E-3</v>
          </cell>
          <cell r="X930">
            <v>0.23788821731333232</v>
          </cell>
          <cell r="Y930">
            <v>0.23819253189869022</v>
          </cell>
          <cell r="Z930" t="e">
            <v>#N/A</v>
          </cell>
        </row>
        <row r="931">
          <cell r="P931">
            <v>9.2700000000000005E-3</v>
          </cell>
          <cell r="W931">
            <v>3.5320612801686218E-3</v>
          </cell>
          <cell r="X931">
            <v>0.23788821731333232</v>
          </cell>
          <cell r="Y931">
            <v>0.23819253189869022</v>
          </cell>
          <cell r="Z931" t="e">
            <v>#N/A</v>
          </cell>
        </row>
        <row r="932">
          <cell r="P932">
            <v>9.2800000000000001E-3</v>
          </cell>
          <cell r="W932">
            <v>3.5320612801686218E-3</v>
          </cell>
          <cell r="X932">
            <v>0.23788821731333232</v>
          </cell>
          <cell r="Y932">
            <v>0.23819253189869022</v>
          </cell>
          <cell r="Z932" t="e">
            <v>#N/A</v>
          </cell>
        </row>
        <row r="933">
          <cell r="P933">
            <v>9.2899999999999996E-3</v>
          </cell>
          <cell r="W933">
            <v>3.5320612801686218E-3</v>
          </cell>
          <cell r="X933">
            <v>0.23788821731333232</v>
          </cell>
          <cell r="Y933">
            <v>0.23819253189869022</v>
          </cell>
          <cell r="Z933" t="e">
            <v>#N/A</v>
          </cell>
        </row>
        <row r="934">
          <cell r="P934">
            <v>9.2999999999999992E-3</v>
          </cell>
          <cell r="W934">
            <v>3.5320612801686218E-3</v>
          </cell>
          <cell r="X934">
            <v>0.23788821731333232</v>
          </cell>
          <cell r="Y934">
            <v>0.23819253189869022</v>
          </cell>
          <cell r="Z934" t="e">
            <v>#N/A</v>
          </cell>
        </row>
        <row r="935">
          <cell r="P935">
            <v>9.3100000000000006E-3</v>
          </cell>
          <cell r="W935">
            <v>3.5320612801686218E-3</v>
          </cell>
          <cell r="X935">
            <v>0.23788821731333232</v>
          </cell>
          <cell r="Y935">
            <v>0.23819253189869022</v>
          </cell>
          <cell r="Z935" t="e">
            <v>#N/A</v>
          </cell>
        </row>
        <row r="936">
          <cell r="P936">
            <v>9.3200000000000002E-3</v>
          </cell>
          <cell r="W936">
            <v>3.5320612801686218E-3</v>
          </cell>
          <cell r="X936">
            <v>0.23788821731333232</v>
          </cell>
          <cell r="Y936">
            <v>0.23819253189869022</v>
          </cell>
          <cell r="Z936" t="e">
            <v>#N/A</v>
          </cell>
        </row>
        <row r="937">
          <cell r="P937">
            <v>9.3299999999999998E-3</v>
          </cell>
          <cell r="W937">
            <v>3.5320612801686218E-3</v>
          </cell>
          <cell r="X937">
            <v>0.23788821731333232</v>
          </cell>
          <cell r="Y937">
            <v>0.23819253189869022</v>
          </cell>
          <cell r="Z937" t="e">
            <v>#N/A</v>
          </cell>
        </row>
        <row r="938">
          <cell r="P938">
            <v>9.3399999999999993E-3</v>
          </cell>
          <cell r="W938">
            <v>3.5320612801686218E-3</v>
          </cell>
          <cell r="X938">
            <v>0.23788821731333232</v>
          </cell>
          <cell r="Y938">
            <v>0.23819253189869022</v>
          </cell>
          <cell r="Z938" t="e">
            <v>#N/A</v>
          </cell>
        </row>
        <row r="939">
          <cell r="P939">
            <v>9.3500000000000007E-3</v>
          </cell>
          <cell r="W939">
            <v>3.5320612801686218E-3</v>
          </cell>
          <cell r="X939">
            <v>0.23788821731333232</v>
          </cell>
          <cell r="Y939">
            <v>0.23819253189869022</v>
          </cell>
          <cell r="Z939" t="e">
            <v>#N/A</v>
          </cell>
        </row>
        <row r="940">
          <cell r="P940">
            <v>9.3600000000000003E-3</v>
          </cell>
          <cell r="W940">
            <v>3.5320612801686218E-3</v>
          </cell>
          <cell r="X940">
            <v>0.23788821731333232</v>
          </cell>
          <cell r="Y940">
            <v>0.23819253189869022</v>
          </cell>
          <cell r="Z940" t="e">
            <v>#N/A</v>
          </cell>
        </row>
        <row r="941">
          <cell r="P941">
            <v>9.3699999999999999E-3</v>
          </cell>
          <cell r="W941">
            <v>3.5320612801686218E-3</v>
          </cell>
          <cell r="X941">
            <v>0.23788821731333232</v>
          </cell>
          <cell r="Y941">
            <v>0.23819253189869022</v>
          </cell>
          <cell r="Z941" t="e">
            <v>#N/A</v>
          </cell>
        </row>
        <row r="942">
          <cell r="P942">
            <v>9.3799999999999994E-3</v>
          </cell>
          <cell r="W942">
            <v>3.5320612801686218E-3</v>
          </cell>
          <cell r="X942">
            <v>0.23788821731333232</v>
          </cell>
          <cell r="Y942">
            <v>0.23819253189869022</v>
          </cell>
          <cell r="Z942" t="e">
            <v>#N/A</v>
          </cell>
        </row>
        <row r="943">
          <cell r="P943">
            <v>9.3900000000000008E-3</v>
          </cell>
          <cell r="W943">
            <v>3.5320612801686218E-3</v>
          </cell>
          <cell r="X943">
            <v>0.23788821731333232</v>
          </cell>
          <cell r="Y943">
            <v>0.23819253189869022</v>
          </cell>
          <cell r="Z943" t="e">
            <v>#N/A</v>
          </cell>
        </row>
        <row r="944">
          <cell r="P944">
            <v>9.4000000000000004E-3</v>
          </cell>
          <cell r="W944">
            <v>3.5320612801686218E-3</v>
          </cell>
          <cell r="X944">
            <v>0.23788821731333232</v>
          </cell>
          <cell r="Y944">
            <v>0.23819253189869022</v>
          </cell>
          <cell r="Z944" t="e">
            <v>#N/A</v>
          </cell>
        </row>
        <row r="945">
          <cell r="P945">
            <v>9.41E-3</v>
          </cell>
          <cell r="W945">
            <v>3.5320612801686218E-3</v>
          </cell>
          <cell r="X945">
            <v>0.23788821731333232</v>
          </cell>
          <cell r="Y945">
            <v>0.23819253189869022</v>
          </cell>
          <cell r="Z945" t="e">
            <v>#N/A</v>
          </cell>
        </row>
        <row r="946">
          <cell r="P946">
            <v>9.4199999999999996E-3</v>
          </cell>
          <cell r="W946">
            <v>3.5320612801686218E-3</v>
          </cell>
          <cell r="X946">
            <v>0.23788821731333232</v>
          </cell>
          <cell r="Y946">
            <v>0.23819253189869022</v>
          </cell>
          <cell r="Z946" t="e">
            <v>#N/A</v>
          </cell>
        </row>
        <row r="947">
          <cell r="P947">
            <v>9.4299999999999991E-3</v>
          </cell>
          <cell r="W947">
            <v>3.5320612801686218E-3</v>
          </cell>
          <cell r="X947">
            <v>0.23788821731333232</v>
          </cell>
          <cell r="Y947">
            <v>0.23819253189869022</v>
          </cell>
          <cell r="Z947" t="e">
            <v>#N/A</v>
          </cell>
        </row>
        <row r="948">
          <cell r="P948">
            <v>9.4400000000000005E-3</v>
          </cell>
          <cell r="W948">
            <v>3.5320612801686218E-3</v>
          </cell>
          <cell r="X948">
            <v>0.23788821731333232</v>
          </cell>
          <cell r="Y948">
            <v>0.23819253189869022</v>
          </cell>
          <cell r="Z948" t="e">
            <v>#N/A</v>
          </cell>
        </row>
        <row r="949">
          <cell r="P949">
            <v>9.4500000000000001E-3</v>
          </cell>
          <cell r="W949">
            <v>3.5320612801686218E-3</v>
          </cell>
          <cell r="X949">
            <v>0.23788821731333232</v>
          </cell>
          <cell r="Y949">
            <v>0.23819253189869022</v>
          </cell>
          <cell r="Z949" t="e">
            <v>#N/A</v>
          </cell>
        </row>
        <row r="950">
          <cell r="P950">
            <v>9.4599999999999997E-3</v>
          </cell>
          <cell r="W950">
            <v>3.5320612801686218E-3</v>
          </cell>
          <cell r="X950">
            <v>0.23788821731333232</v>
          </cell>
          <cell r="Y950">
            <v>0.23819253189869022</v>
          </cell>
          <cell r="Z950" t="e">
            <v>#N/A</v>
          </cell>
        </row>
        <row r="951">
          <cell r="P951">
            <v>9.4699999999999993E-3</v>
          </cell>
          <cell r="W951">
            <v>3.5320612801686218E-3</v>
          </cell>
          <cell r="X951">
            <v>0.23788821731333232</v>
          </cell>
          <cell r="Y951">
            <v>0.23819253189869022</v>
          </cell>
          <cell r="Z951" t="e">
            <v>#N/A</v>
          </cell>
        </row>
        <row r="952">
          <cell r="P952">
            <v>9.4800000000000006E-3</v>
          </cell>
          <cell r="W952">
            <v>3.5320612801686218E-3</v>
          </cell>
          <cell r="X952">
            <v>0.23788821731333232</v>
          </cell>
          <cell r="Y952">
            <v>0.23819253189869022</v>
          </cell>
          <cell r="Z952" t="e">
            <v>#N/A</v>
          </cell>
        </row>
        <row r="953">
          <cell r="P953">
            <v>9.4900000000000002E-3</v>
          </cell>
          <cell r="W953">
            <v>3.5320612801686218E-3</v>
          </cell>
          <cell r="X953">
            <v>0.23788821731333232</v>
          </cell>
          <cell r="Y953">
            <v>0.23819253189869022</v>
          </cell>
          <cell r="Z953" t="e">
            <v>#N/A</v>
          </cell>
        </row>
        <row r="954">
          <cell r="P954">
            <v>9.4999999999999998E-3</v>
          </cell>
          <cell r="W954">
            <v>3.5320612801686218E-3</v>
          </cell>
          <cell r="X954">
            <v>0.23788821731333232</v>
          </cell>
          <cell r="Y954">
            <v>0.23819253189869022</v>
          </cell>
          <cell r="Z954" t="e">
            <v>#N/A</v>
          </cell>
        </row>
        <row r="955">
          <cell r="P955">
            <v>9.5099999999999994E-3</v>
          </cell>
          <cell r="W955">
            <v>3.5320612801686218E-3</v>
          </cell>
          <cell r="X955">
            <v>0.23788821731333232</v>
          </cell>
          <cell r="Y955">
            <v>0.23819253189869022</v>
          </cell>
          <cell r="Z955" t="e">
            <v>#N/A</v>
          </cell>
        </row>
        <row r="956">
          <cell r="P956">
            <v>9.5200000000000007E-3</v>
          </cell>
          <cell r="W956">
            <v>3.5320612801686218E-3</v>
          </cell>
          <cell r="X956">
            <v>0.23788821731333232</v>
          </cell>
          <cell r="Y956">
            <v>0.23819253189869022</v>
          </cell>
          <cell r="Z956" t="e">
            <v>#N/A</v>
          </cell>
        </row>
        <row r="957">
          <cell r="P957">
            <v>9.5300000000000003E-3</v>
          </cell>
          <cell r="W957">
            <v>3.5320612801686218E-3</v>
          </cell>
          <cell r="X957">
            <v>0.23788821731333232</v>
          </cell>
          <cell r="Y957">
            <v>0.23819253189869022</v>
          </cell>
          <cell r="Z957" t="e">
            <v>#N/A</v>
          </cell>
        </row>
        <row r="958">
          <cell r="P958">
            <v>9.5399999999999999E-3</v>
          </cell>
          <cell r="W958">
            <v>3.5320612801686218E-3</v>
          </cell>
          <cell r="X958">
            <v>0.23788821731333232</v>
          </cell>
          <cell r="Y958">
            <v>0.23819253189869022</v>
          </cell>
          <cell r="Z958" t="e">
            <v>#N/A</v>
          </cell>
        </row>
        <row r="959">
          <cell r="P959">
            <v>9.5499999999999995E-3</v>
          </cell>
          <cell r="W959">
            <v>3.5320612801686218E-3</v>
          </cell>
          <cell r="X959">
            <v>0.23788821731333232</v>
          </cell>
          <cell r="Y959">
            <v>0.23819253189869022</v>
          </cell>
          <cell r="Z959" t="e">
            <v>#N/A</v>
          </cell>
        </row>
        <row r="960">
          <cell r="P960">
            <v>9.5600000000000008E-3</v>
          </cell>
          <cell r="W960">
            <v>3.5320612801686218E-3</v>
          </cell>
          <cell r="X960">
            <v>0.23788821731333232</v>
          </cell>
          <cell r="Y960">
            <v>0.23819253189869022</v>
          </cell>
          <cell r="Z960" t="e">
            <v>#N/A</v>
          </cell>
        </row>
        <row r="961">
          <cell r="P961">
            <v>9.5700000000000004E-3</v>
          </cell>
          <cell r="W961">
            <v>3.5320612801686218E-3</v>
          </cell>
          <cell r="X961">
            <v>0.23788821731333232</v>
          </cell>
          <cell r="Y961">
            <v>0.23819253189869022</v>
          </cell>
          <cell r="Z961" t="e">
            <v>#N/A</v>
          </cell>
        </row>
        <row r="962">
          <cell r="P962">
            <v>9.58E-3</v>
          </cell>
          <cell r="W962">
            <v>3.5320612801686218E-3</v>
          </cell>
          <cell r="X962">
            <v>0.23788821731333232</v>
          </cell>
          <cell r="Y962">
            <v>0.23819253189869022</v>
          </cell>
          <cell r="Z962" t="e">
            <v>#N/A</v>
          </cell>
        </row>
        <row r="963">
          <cell r="P963">
            <v>9.5899999999999996E-3</v>
          </cell>
          <cell r="W963">
            <v>3.5320612801686218E-3</v>
          </cell>
          <cell r="X963">
            <v>0.23788821731333232</v>
          </cell>
          <cell r="Y963">
            <v>0.23819253189869022</v>
          </cell>
          <cell r="Z963" t="e">
            <v>#N/A</v>
          </cell>
        </row>
        <row r="964">
          <cell r="P964">
            <v>9.5999999999999992E-3</v>
          </cell>
          <cell r="W964">
            <v>3.5320612801686218E-3</v>
          </cell>
          <cell r="X964">
            <v>0.23788821731333232</v>
          </cell>
          <cell r="Y964">
            <v>0.23819253189869022</v>
          </cell>
          <cell r="Z964" t="e">
            <v>#N/A</v>
          </cell>
        </row>
        <row r="965">
          <cell r="P965">
            <v>9.6100000000000005E-3</v>
          </cell>
          <cell r="W965">
            <v>3.5320612801686218E-3</v>
          </cell>
          <cell r="X965">
            <v>0.23788821731333232</v>
          </cell>
          <cell r="Y965">
            <v>0.23819253189869022</v>
          </cell>
          <cell r="Z965" t="e">
            <v>#N/A</v>
          </cell>
        </row>
        <row r="966">
          <cell r="P966">
            <v>9.6200000000000001E-3</v>
          </cell>
          <cell r="W966">
            <v>3.5320612801686218E-3</v>
          </cell>
          <cell r="X966">
            <v>0.23788821731333232</v>
          </cell>
          <cell r="Y966">
            <v>0.23819253189869022</v>
          </cell>
          <cell r="Z966" t="e">
            <v>#N/A</v>
          </cell>
        </row>
        <row r="967">
          <cell r="P967">
            <v>9.6299999999999997E-3</v>
          </cell>
          <cell r="W967">
            <v>3.5320612801686218E-3</v>
          </cell>
          <cell r="X967">
            <v>0.23788821731333232</v>
          </cell>
          <cell r="Y967">
            <v>0.23819253189869022</v>
          </cell>
          <cell r="Z967" t="e">
            <v>#N/A</v>
          </cell>
        </row>
        <row r="968">
          <cell r="P968">
            <v>9.6399999999999993E-3</v>
          </cell>
          <cell r="W968">
            <v>3.5320612801686218E-3</v>
          </cell>
          <cell r="X968">
            <v>0.23788821731333232</v>
          </cell>
          <cell r="Y968">
            <v>0.23819253189869022</v>
          </cell>
          <cell r="Z968" t="e">
            <v>#N/A</v>
          </cell>
        </row>
        <row r="969">
          <cell r="P969">
            <v>9.6500000000000006E-3</v>
          </cell>
          <cell r="W969">
            <v>3.5320612801686218E-3</v>
          </cell>
          <cell r="X969">
            <v>0.23788821731333232</v>
          </cell>
          <cell r="Y969">
            <v>0.23819253189869022</v>
          </cell>
          <cell r="Z969" t="e">
            <v>#N/A</v>
          </cell>
        </row>
        <row r="970">
          <cell r="P970">
            <v>9.6600000000000002E-3</v>
          </cell>
          <cell r="W970">
            <v>3.5320612801686218E-3</v>
          </cell>
          <cell r="X970">
            <v>0.23788821731333232</v>
          </cell>
          <cell r="Y970">
            <v>0.23819253189869022</v>
          </cell>
          <cell r="Z970" t="e">
            <v>#N/A</v>
          </cell>
        </row>
        <row r="971">
          <cell r="P971">
            <v>9.6699999999999998E-3</v>
          </cell>
          <cell r="W971">
            <v>3.5320612801686218E-3</v>
          </cell>
          <cell r="X971">
            <v>0.23788821731333232</v>
          </cell>
          <cell r="Y971">
            <v>0.23819253189869022</v>
          </cell>
          <cell r="Z971" t="e">
            <v>#N/A</v>
          </cell>
        </row>
        <row r="972">
          <cell r="P972">
            <v>9.6799999999999994E-3</v>
          </cell>
          <cell r="W972">
            <v>3.5320612801686218E-3</v>
          </cell>
          <cell r="X972">
            <v>0.23788821731333232</v>
          </cell>
          <cell r="Y972">
            <v>0.23819253189869022</v>
          </cell>
          <cell r="Z972" t="e">
            <v>#N/A</v>
          </cell>
        </row>
        <row r="973">
          <cell r="P973">
            <v>9.6900000000000007E-3</v>
          </cell>
          <cell r="W973">
            <v>3.5320612801686218E-3</v>
          </cell>
          <cell r="X973">
            <v>0.23788821731333232</v>
          </cell>
          <cell r="Y973">
            <v>0.23819253189869022</v>
          </cell>
          <cell r="Z973" t="e">
            <v>#N/A</v>
          </cell>
        </row>
        <row r="974">
          <cell r="P974">
            <v>9.7000000000000003E-3</v>
          </cell>
          <cell r="W974">
            <v>3.5320612801686218E-3</v>
          </cell>
          <cell r="X974">
            <v>0.23788821731333232</v>
          </cell>
          <cell r="Y974">
            <v>0.23819253189869022</v>
          </cell>
          <cell r="Z974" t="e">
            <v>#N/A</v>
          </cell>
        </row>
        <row r="975">
          <cell r="P975">
            <v>9.7099999999999999E-3</v>
          </cell>
          <cell r="W975">
            <v>3.5320612801686218E-3</v>
          </cell>
          <cell r="X975">
            <v>0.23788821731333232</v>
          </cell>
          <cell r="Y975">
            <v>0.23819253189869022</v>
          </cell>
          <cell r="Z975" t="e">
            <v>#N/A</v>
          </cell>
        </row>
        <row r="976">
          <cell r="P976">
            <v>9.7199999999999995E-3</v>
          </cell>
          <cell r="W976">
            <v>3.5320612801686218E-3</v>
          </cell>
          <cell r="X976">
            <v>0.23788821731333232</v>
          </cell>
          <cell r="Y976">
            <v>0.23819253189869022</v>
          </cell>
          <cell r="Z976" t="e">
            <v>#N/A</v>
          </cell>
        </row>
        <row r="977">
          <cell r="P977">
            <v>9.7300000000000008E-3</v>
          </cell>
          <cell r="W977">
            <v>3.5320612801686218E-3</v>
          </cell>
          <cell r="X977">
            <v>0.23788821731333232</v>
          </cell>
          <cell r="Y977">
            <v>0.23819253189869022</v>
          </cell>
          <cell r="Z977" t="e">
            <v>#N/A</v>
          </cell>
        </row>
        <row r="978">
          <cell r="P978">
            <v>9.7400000000000004E-3</v>
          </cell>
          <cell r="W978">
            <v>3.5320612801686218E-3</v>
          </cell>
          <cell r="X978">
            <v>0.23788821731333232</v>
          </cell>
          <cell r="Y978">
            <v>0.23819253189869022</v>
          </cell>
          <cell r="Z978" t="e">
            <v>#N/A</v>
          </cell>
        </row>
        <row r="979">
          <cell r="P979">
            <v>9.75E-3</v>
          </cell>
          <cell r="W979">
            <v>3.5320612801686218E-3</v>
          </cell>
          <cell r="X979">
            <v>0.23788821731333232</v>
          </cell>
          <cell r="Y979">
            <v>0.23819253189869022</v>
          </cell>
          <cell r="Z979" t="e">
            <v>#N/A</v>
          </cell>
        </row>
        <row r="980">
          <cell r="P980">
            <v>9.7599999999999996E-3</v>
          </cell>
          <cell r="W980">
            <v>3.5320612801686218E-3</v>
          </cell>
          <cell r="X980">
            <v>0.23788821731333232</v>
          </cell>
          <cell r="Y980">
            <v>0.23819253189869022</v>
          </cell>
          <cell r="Z980" t="e">
            <v>#N/A</v>
          </cell>
        </row>
        <row r="981">
          <cell r="P981">
            <v>9.7699999999999992E-3</v>
          </cell>
          <cell r="W981">
            <v>3.5320612801686218E-3</v>
          </cell>
          <cell r="X981">
            <v>0.23788821731333232</v>
          </cell>
          <cell r="Y981">
            <v>0.23819253189869022</v>
          </cell>
          <cell r="Z981" t="e">
            <v>#N/A</v>
          </cell>
        </row>
        <row r="982">
          <cell r="P982">
            <v>9.7800000000000005E-3</v>
          </cell>
          <cell r="W982">
            <v>3.5320612801686218E-3</v>
          </cell>
          <cell r="X982">
            <v>0.23788821731333232</v>
          </cell>
          <cell r="Y982">
            <v>0.23819253189869022</v>
          </cell>
          <cell r="Z982" t="e">
            <v>#N/A</v>
          </cell>
        </row>
        <row r="983">
          <cell r="P983">
            <v>9.7900000000000001E-3</v>
          </cell>
          <cell r="W983">
            <v>3.5320612801686218E-3</v>
          </cell>
          <cell r="X983">
            <v>0.23788821731333232</v>
          </cell>
          <cell r="Y983">
            <v>0.23819253189869022</v>
          </cell>
          <cell r="Z983" t="e">
            <v>#N/A</v>
          </cell>
        </row>
        <row r="984">
          <cell r="P984">
            <v>9.7999999999999997E-3</v>
          </cell>
          <cell r="W984">
            <v>3.5320612801686218E-3</v>
          </cell>
          <cell r="X984">
            <v>0.23788821731333232</v>
          </cell>
          <cell r="Y984">
            <v>0.23819253189869022</v>
          </cell>
          <cell r="Z984" t="e">
            <v>#N/A</v>
          </cell>
        </row>
        <row r="985">
          <cell r="P985">
            <v>9.8099999999999993E-3</v>
          </cell>
          <cell r="W985">
            <v>3.5320612801686218E-3</v>
          </cell>
          <cell r="X985">
            <v>0.23788821731333232</v>
          </cell>
          <cell r="Y985">
            <v>0.23819253189869022</v>
          </cell>
          <cell r="Z985" t="e">
            <v>#N/A</v>
          </cell>
        </row>
        <row r="986">
          <cell r="P986">
            <v>9.8200000000000006E-3</v>
          </cell>
          <cell r="W986">
            <v>3.5320612801686218E-3</v>
          </cell>
          <cell r="X986">
            <v>0.23788821731333232</v>
          </cell>
          <cell r="Y986">
            <v>0.23819253189869022</v>
          </cell>
          <cell r="Z986" t="e">
            <v>#N/A</v>
          </cell>
        </row>
        <row r="987">
          <cell r="P987">
            <v>9.8300000000000002E-3</v>
          </cell>
          <cell r="W987">
            <v>3.5320612801686218E-3</v>
          </cell>
          <cell r="X987">
            <v>0.23788821731333232</v>
          </cell>
          <cell r="Y987">
            <v>0.23819253189869022</v>
          </cell>
          <cell r="Z987" t="e">
            <v>#N/A</v>
          </cell>
        </row>
        <row r="988">
          <cell r="P988">
            <v>9.8399999999999998E-3</v>
          </cell>
          <cell r="W988">
            <v>3.5320612801686218E-3</v>
          </cell>
          <cell r="X988">
            <v>0.23788821731333232</v>
          </cell>
          <cell r="Y988">
            <v>0.23819253189869022</v>
          </cell>
          <cell r="Z988" t="e">
            <v>#N/A</v>
          </cell>
        </row>
        <row r="989">
          <cell r="P989">
            <v>9.8499999999999994E-3</v>
          </cell>
          <cell r="W989">
            <v>3.5320612801686218E-3</v>
          </cell>
          <cell r="X989">
            <v>0.23788821731333232</v>
          </cell>
          <cell r="Y989">
            <v>0.23819253189869022</v>
          </cell>
          <cell r="Z989" t="e">
            <v>#N/A</v>
          </cell>
        </row>
        <row r="990">
          <cell r="P990">
            <v>9.8600000000000007E-3</v>
          </cell>
          <cell r="W990">
            <v>3.5320612801686218E-3</v>
          </cell>
          <cell r="X990">
            <v>0.23788821731333232</v>
          </cell>
          <cell r="Y990">
            <v>0.23819253189869022</v>
          </cell>
          <cell r="Z990" t="e">
            <v>#N/A</v>
          </cell>
        </row>
        <row r="991">
          <cell r="P991">
            <v>9.8700000000000003E-3</v>
          </cell>
          <cell r="W991">
            <v>3.5320612801686218E-3</v>
          </cell>
          <cell r="X991">
            <v>0.23788821731333232</v>
          </cell>
          <cell r="Y991">
            <v>0.23819253189869022</v>
          </cell>
          <cell r="Z991" t="e">
            <v>#N/A</v>
          </cell>
        </row>
        <row r="992">
          <cell r="P992">
            <v>9.8799999999999999E-3</v>
          </cell>
          <cell r="W992">
            <v>3.5320612801686218E-3</v>
          </cell>
          <cell r="X992">
            <v>0.23788821731333232</v>
          </cell>
          <cell r="Y992">
            <v>0.23819253189869022</v>
          </cell>
          <cell r="Z992" t="e">
            <v>#N/A</v>
          </cell>
        </row>
        <row r="993">
          <cell r="P993">
            <v>9.8899999999999995E-3</v>
          </cell>
          <cell r="W993">
            <v>3.5320612801686218E-3</v>
          </cell>
          <cell r="X993">
            <v>0.23788821731333232</v>
          </cell>
          <cell r="Y993">
            <v>0.23819253189869022</v>
          </cell>
          <cell r="Z993" t="e">
            <v>#N/A</v>
          </cell>
        </row>
        <row r="994">
          <cell r="P994">
            <v>9.9000000000000008E-3</v>
          </cell>
          <cell r="W994">
            <v>3.5320612801686218E-3</v>
          </cell>
          <cell r="X994">
            <v>0.23788821731333232</v>
          </cell>
          <cell r="Y994">
            <v>0.23819253189869022</v>
          </cell>
          <cell r="Z994" t="e">
            <v>#N/A</v>
          </cell>
        </row>
        <row r="995">
          <cell r="P995">
            <v>9.9100000000000004E-3</v>
          </cell>
          <cell r="W995">
            <v>3.5320612801686218E-3</v>
          </cell>
          <cell r="X995">
            <v>0.23788821731333232</v>
          </cell>
          <cell r="Y995">
            <v>0.23819253189869022</v>
          </cell>
          <cell r="Z995" t="e">
            <v>#N/A</v>
          </cell>
        </row>
        <row r="996">
          <cell r="P996">
            <v>9.92E-3</v>
          </cell>
          <cell r="W996">
            <v>3.5320612801686218E-3</v>
          </cell>
          <cell r="X996">
            <v>0.23788821731333232</v>
          </cell>
          <cell r="Y996">
            <v>0.23819253189869022</v>
          </cell>
          <cell r="Z996" t="e">
            <v>#N/A</v>
          </cell>
        </row>
        <row r="997">
          <cell r="P997">
            <v>9.9299999999999996E-3</v>
          </cell>
          <cell r="W997">
            <v>3.5320612801686218E-3</v>
          </cell>
          <cell r="X997">
            <v>0.23788821731333232</v>
          </cell>
          <cell r="Y997">
            <v>0.23819253189869022</v>
          </cell>
          <cell r="Z997" t="e">
            <v>#N/A</v>
          </cell>
        </row>
        <row r="998">
          <cell r="P998">
            <v>9.9399999999999992E-3</v>
          </cell>
          <cell r="W998">
            <v>3.5320612801686218E-3</v>
          </cell>
          <cell r="X998">
            <v>0.23788821731333232</v>
          </cell>
          <cell r="Y998">
            <v>0.23819253189869022</v>
          </cell>
          <cell r="Z998" t="e">
            <v>#N/A</v>
          </cell>
        </row>
        <row r="999">
          <cell r="P999">
            <v>9.9500000000000005E-3</v>
          </cell>
          <cell r="W999">
            <v>3.5320612801686218E-3</v>
          </cell>
          <cell r="X999">
            <v>0.23788821731333232</v>
          </cell>
          <cell r="Y999">
            <v>0.23819253189869022</v>
          </cell>
          <cell r="Z999" t="e">
            <v>#N/A</v>
          </cell>
        </row>
        <row r="1000">
          <cell r="P1000">
            <v>9.9600000000000001E-3</v>
          </cell>
          <cell r="W1000">
            <v>3.5320612801686218E-3</v>
          </cell>
          <cell r="X1000">
            <v>0.23788821731333232</v>
          </cell>
          <cell r="Y1000">
            <v>0.23819253189869022</v>
          </cell>
          <cell r="Z1000" t="e">
            <v>#N/A</v>
          </cell>
        </row>
        <row r="1001">
          <cell r="P1001">
            <v>9.9699999999999997E-3</v>
          </cell>
          <cell r="W1001">
            <v>3.5320612801686218E-3</v>
          </cell>
          <cell r="X1001">
            <v>0.23788821731333232</v>
          </cell>
          <cell r="Y1001">
            <v>0.23819253189869022</v>
          </cell>
          <cell r="Z1001" t="e">
            <v>#N/A</v>
          </cell>
        </row>
        <row r="1002">
          <cell r="P1002">
            <v>9.9799999999999993E-3</v>
          </cell>
          <cell r="W1002">
            <v>3.5320612801686218E-3</v>
          </cell>
          <cell r="X1002">
            <v>0.23788821731333232</v>
          </cell>
          <cell r="Y1002">
            <v>0.23819253189869022</v>
          </cell>
          <cell r="Z1002" t="e">
            <v>#N/A</v>
          </cell>
        </row>
        <row r="1003">
          <cell r="P1003">
            <v>9.9900000000000006E-3</v>
          </cell>
          <cell r="W1003">
            <v>3.5320612801686218E-3</v>
          </cell>
          <cell r="X1003">
            <v>0.23788821731333232</v>
          </cell>
          <cell r="Y1003">
            <v>0.23819253189869022</v>
          </cell>
          <cell r="Z1003" t="e">
            <v>#N/A</v>
          </cell>
        </row>
        <row r="1004">
          <cell r="P1004">
            <v>0.01</v>
          </cell>
          <cell r="W1004">
            <v>3.5320612801686218E-3</v>
          </cell>
          <cell r="X1004">
            <v>0.23788821731333232</v>
          </cell>
          <cell r="Y1004">
            <v>0.23819253189869022</v>
          </cell>
          <cell r="Z1004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unkNoodle/Secondary-Poisoning-Model" TargetMode="External"/><Relationship Id="rId2" Type="http://schemas.openxmlformats.org/officeDocument/2006/relationships/hyperlink" Target="https://episuite.dev/" TargetMode="External"/><Relationship Id="rId1" Type="http://schemas.openxmlformats.org/officeDocument/2006/relationships/hyperlink" Target="http://www.ufz.de/lser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E974-F210-42AF-8A2F-0FF5A0988701}">
  <sheetPr codeName="Sheet1"/>
  <dimension ref="A1:Z38"/>
  <sheetViews>
    <sheetView tabSelected="1" zoomScaleNormal="100" workbookViewId="0">
      <selection activeCell="L29" sqref="L29"/>
    </sheetView>
  </sheetViews>
  <sheetFormatPr defaultRowHeight="14.6" x14ac:dyDescent="0.4"/>
  <cols>
    <col min="1" max="1" width="21.53515625" customWidth="1"/>
    <col min="2" max="2" width="12.3828125" customWidth="1"/>
    <col min="3" max="3" width="14.15234375" customWidth="1"/>
    <col min="4" max="6" width="11.84375" bestFit="1" customWidth="1"/>
    <col min="7" max="7" width="11.69140625" customWidth="1"/>
    <col min="8" max="8" width="12.3828125" bestFit="1" customWidth="1"/>
    <col min="9" max="9" width="9.3046875" bestFit="1" customWidth="1"/>
    <col min="10" max="10" width="12.921875" bestFit="1" customWidth="1"/>
    <col min="11" max="11" width="11.84375" bestFit="1" customWidth="1"/>
    <col min="12" max="12" width="12.3828125" bestFit="1" customWidth="1"/>
    <col min="13" max="13" width="12.3828125" customWidth="1"/>
    <col min="14" max="14" width="20.84375" customWidth="1"/>
    <col min="15" max="15" width="12.4609375" customWidth="1"/>
    <col min="16" max="16" width="12.84375" bestFit="1" customWidth="1"/>
    <col min="17" max="18" width="18.53515625" bestFit="1" customWidth="1"/>
    <col min="19" max="19" width="12.921875" bestFit="1" customWidth="1"/>
    <col min="20" max="20" width="12.921875" customWidth="1"/>
    <col min="22" max="22" width="11.84375" bestFit="1" customWidth="1"/>
  </cols>
  <sheetData>
    <row r="1" spans="1:26" x14ac:dyDescent="0.4">
      <c r="A1" s="27" t="s">
        <v>0</v>
      </c>
      <c r="B1" s="28"/>
      <c r="C1" s="28"/>
      <c r="D1" s="28"/>
      <c r="E1" s="28"/>
      <c r="F1" s="28"/>
      <c r="G1" s="29"/>
    </row>
    <row r="2" spans="1:26" x14ac:dyDescent="0.4">
      <c r="A2" s="25" t="s">
        <v>4</v>
      </c>
      <c r="B2" s="26"/>
      <c r="C2" s="30" t="s">
        <v>41</v>
      </c>
      <c r="D2" s="31"/>
      <c r="E2" s="31"/>
      <c r="F2" s="31"/>
      <c r="G2" s="32"/>
    </row>
    <row r="3" spans="1:26" x14ac:dyDescent="0.4">
      <c r="A3" s="1" t="s">
        <v>7</v>
      </c>
      <c r="B3" s="3" t="s">
        <v>195</v>
      </c>
      <c r="C3" s="2" t="s">
        <v>45</v>
      </c>
      <c r="D3" s="18">
        <v>1</v>
      </c>
      <c r="E3" s="18">
        <v>2</v>
      </c>
      <c r="F3" s="18">
        <v>3</v>
      </c>
      <c r="G3" s="4">
        <v>4</v>
      </c>
    </row>
    <row r="4" spans="1:26" x14ac:dyDescent="0.4">
      <c r="A4" s="1" t="s">
        <v>11</v>
      </c>
      <c r="B4" s="21">
        <v>5.1795999999999998</v>
      </c>
      <c r="C4" s="2" t="s">
        <v>47</v>
      </c>
      <c r="D4" s="22" t="s">
        <v>2</v>
      </c>
      <c r="E4" s="22" t="s">
        <v>196</v>
      </c>
      <c r="F4" s="22" t="s">
        <v>3</v>
      </c>
      <c r="G4" s="10" t="s">
        <v>48</v>
      </c>
    </row>
    <row r="5" spans="1:26" x14ac:dyDescent="0.4">
      <c r="A5" s="1" t="s">
        <v>14</v>
      </c>
      <c r="B5" s="21">
        <v>4.1534000000000004</v>
      </c>
      <c r="C5" s="2" t="s">
        <v>50</v>
      </c>
      <c r="D5" s="23">
        <v>0.15</v>
      </c>
      <c r="E5" s="21">
        <v>0.76</v>
      </c>
      <c r="F5" s="21">
        <v>0.5</v>
      </c>
      <c r="G5" s="11">
        <v>1.5</v>
      </c>
      <c r="Z5" s="6"/>
    </row>
    <row r="6" spans="1:26" x14ac:dyDescent="0.4">
      <c r="A6" s="1" t="s">
        <v>19</v>
      </c>
      <c r="B6" s="21">
        <v>5.1795999999999998</v>
      </c>
      <c r="C6" s="2" t="s">
        <v>53</v>
      </c>
      <c r="D6" s="22" t="s">
        <v>44</v>
      </c>
      <c r="E6" s="22" t="s">
        <v>44</v>
      </c>
      <c r="F6" s="22" t="s">
        <v>44</v>
      </c>
      <c r="G6" s="10" t="s">
        <v>44</v>
      </c>
    </row>
    <row r="7" spans="1:26" x14ac:dyDescent="0.4">
      <c r="A7" s="1" t="s">
        <v>23</v>
      </c>
      <c r="B7" s="21">
        <v>8.16</v>
      </c>
      <c r="C7" s="2" t="s">
        <v>55</v>
      </c>
      <c r="D7" s="22" t="s">
        <v>197</v>
      </c>
      <c r="E7" s="22" t="s">
        <v>56</v>
      </c>
      <c r="F7" s="22" t="s">
        <v>57</v>
      </c>
      <c r="G7" s="10" t="s">
        <v>57</v>
      </c>
    </row>
    <row r="8" spans="1:26" x14ac:dyDescent="0.4">
      <c r="A8" s="25" t="s">
        <v>40</v>
      </c>
      <c r="B8" s="26"/>
      <c r="C8" s="2" t="s">
        <v>59</v>
      </c>
      <c r="D8" s="22" t="s">
        <v>60</v>
      </c>
      <c r="E8" s="22" t="s">
        <v>60</v>
      </c>
      <c r="F8" s="22" t="s">
        <v>60</v>
      </c>
      <c r="G8" s="10" t="s">
        <v>60</v>
      </c>
    </row>
    <row r="9" spans="1:26" x14ac:dyDescent="0.4">
      <c r="A9" s="19" t="s">
        <v>44</v>
      </c>
      <c r="B9" s="20"/>
      <c r="C9" s="8" t="s">
        <v>62</v>
      </c>
      <c r="D9" s="21">
        <v>7.7</v>
      </c>
      <c r="E9" s="33">
        <v>7.7</v>
      </c>
      <c r="F9" s="33">
        <v>7.7</v>
      </c>
      <c r="G9" s="36">
        <v>7.7</v>
      </c>
    </row>
    <row r="10" spans="1:26" x14ac:dyDescent="0.4">
      <c r="A10" s="1" t="s">
        <v>46</v>
      </c>
      <c r="B10" s="14">
        <v>15</v>
      </c>
      <c r="C10" s="30" t="s">
        <v>200</v>
      </c>
      <c r="D10" s="26"/>
      <c r="E10" s="26" t="s">
        <v>194</v>
      </c>
      <c r="F10" s="35"/>
      <c r="G10" s="41"/>
    </row>
    <row r="11" spans="1:26" x14ac:dyDescent="0.4">
      <c r="A11" s="1" t="s">
        <v>49</v>
      </c>
      <c r="B11" s="14">
        <v>293</v>
      </c>
      <c r="C11" s="2" t="s">
        <v>198</v>
      </c>
      <c r="D11" s="15" t="s">
        <v>202</v>
      </c>
      <c r="E11" s="18" t="s">
        <v>198</v>
      </c>
      <c r="F11" s="34" t="s">
        <v>202</v>
      </c>
      <c r="G11" s="4"/>
    </row>
    <row r="12" spans="1:26" x14ac:dyDescent="0.4">
      <c r="A12" s="12" t="s">
        <v>52</v>
      </c>
      <c r="B12" s="14">
        <v>7.9</v>
      </c>
      <c r="C12" s="2" t="s">
        <v>27</v>
      </c>
      <c r="D12" s="7" t="s">
        <v>28</v>
      </c>
      <c r="E12" s="18" t="s">
        <v>37</v>
      </c>
      <c r="F12" s="33">
        <v>45.8</v>
      </c>
      <c r="G12" s="5"/>
    </row>
    <row r="13" spans="1:26" x14ac:dyDescent="0.4">
      <c r="A13" s="25" t="s">
        <v>54</v>
      </c>
      <c r="B13" s="31"/>
      <c r="C13" s="2" t="s">
        <v>32</v>
      </c>
      <c r="D13" s="9" t="s">
        <v>85</v>
      </c>
      <c r="E13" s="26" t="s">
        <v>64</v>
      </c>
      <c r="F13" s="35"/>
      <c r="G13" s="41"/>
    </row>
    <row r="14" spans="1:26" x14ac:dyDescent="0.4">
      <c r="A14" s="1" t="s">
        <v>58</v>
      </c>
      <c r="B14" s="42">
        <v>0</v>
      </c>
      <c r="C14" s="2" t="s">
        <v>12</v>
      </c>
      <c r="D14" s="43">
        <v>1.83</v>
      </c>
      <c r="E14" s="18" t="s">
        <v>9</v>
      </c>
      <c r="F14" s="34" t="s">
        <v>199</v>
      </c>
      <c r="G14" s="5"/>
    </row>
    <row r="15" spans="1:26" x14ac:dyDescent="0.4">
      <c r="A15" s="1" t="s">
        <v>49</v>
      </c>
      <c r="B15" s="14">
        <v>288</v>
      </c>
      <c r="C15" s="2" t="s">
        <v>15</v>
      </c>
      <c r="D15" s="43">
        <v>1.5</v>
      </c>
      <c r="E15" s="18" t="s">
        <v>201</v>
      </c>
      <c r="F15" s="33">
        <v>1</v>
      </c>
      <c r="G15" s="5"/>
    </row>
    <row r="16" spans="1:26" x14ac:dyDescent="0.4">
      <c r="A16" s="1" t="s">
        <v>52</v>
      </c>
      <c r="B16" s="14">
        <v>6.5</v>
      </c>
      <c r="C16" s="2" t="s">
        <v>17</v>
      </c>
      <c r="D16" s="43">
        <v>0.1</v>
      </c>
      <c r="E16" s="31" t="s">
        <v>206</v>
      </c>
      <c r="F16" s="31"/>
      <c r="G16" s="32"/>
    </row>
    <row r="17" spans="1:7" x14ac:dyDescent="0.4">
      <c r="A17" s="1" t="s">
        <v>66</v>
      </c>
      <c r="B17" s="14">
        <v>4.0500000000000001E-2</v>
      </c>
      <c r="C17" s="2" t="s">
        <v>20</v>
      </c>
      <c r="D17" s="43">
        <v>0.82</v>
      </c>
      <c r="E17" s="37" t="s">
        <v>203</v>
      </c>
      <c r="F17" s="68" t="s">
        <v>212</v>
      </c>
      <c r="G17" s="69"/>
    </row>
    <row r="18" spans="1:7" x14ac:dyDescent="0.4">
      <c r="A18" s="1" t="s">
        <v>67</v>
      </c>
      <c r="B18" s="14">
        <v>1500</v>
      </c>
      <c r="C18" s="2" t="s">
        <v>24</v>
      </c>
      <c r="D18" s="43">
        <v>2.2646999999999999</v>
      </c>
      <c r="E18" s="40" t="s">
        <v>205</v>
      </c>
      <c r="F18" s="70" t="s">
        <v>34</v>
      </c>
      <c r="G18" s="71"/>
    </row>
    <row r="19" spans="1:7" ht="15" thickBot="1" x14ac:dyDescent="0.45">
      <c r="A19" s="16" t="s">
        <v>68</v>
      </c>
      <c r="B19" s="39">
        <v>0.23</v>
      </c>
      <c r="C19" s="24" t="s">
        <v>29</v>
      </c>
      <c r="D19" s="44">
        <v>10.84</v>
      </c>
      <c r="E19" s="38" t="s">
        <v>37</v>
      </c>
      <c r="F19" s="72" t="s">
        <v>204</v>
      </c>
      <c r="G19" s="73"/>
    </row>
    <row r="21" spans="1:7" x14ac:dyDescent="0.4">
      <c r="A21" s="67" t="s">
        <v>1</v>
      </c>
      <c r="B21" s="67"/>
      <c r="C21" s="67"/>
      <c r="D21" s="67"/>
      <c r="E21" s="67"/>
      <c r="F21" s="74"/>
      <c r="G21" s="48"/>
    </row>
    <row r="22" spans="1:7" x14ac:dyDescent="0.4">
      <c r="A22" s="66" t="s">
        <v>95</v>
      </c>
      <c r="B22" s="66" t="str">
        <f>_xlfn.CONCAT("TL ",D3,"-",D4)</f>
        <v>TL 1-Plants</v>
      </c>
      <c r="C22" s="66" t="str">
        <f>_xlfn.CONCAT("TL ",E3,"-",E4)</f>
        <v>TL 2-Crustaceans</v>
      </c>
      <c r="D22" s="66" t="str">
        <f>_xlfn.CONCAT("TL ",F3,"-",F4)</f>
        <v>TL 3-Fish</v>
      </c>
      <c r="E22" s="66" t="str">
        <f>_xlfn.CONCAT("TL ",G3,"-",G4)</f>
        <v>TL 4-None</v>
      </c>
      <c r="F22" s="75" t="s">
        <v>211</v>
      </c>
      <c r="G22" s="75"/>
    </row>
    <row r="23" spans="1:7" x14ac:dyDescent="0.4">
      <c r="A23" s="48" t="s">
        <v>8</v>
      </c>
      <c r="B23" s="48">
        <f>IF(D4="None",0,IF(OR(D6="Aquatic",D6="Subterranean"),((D5)^-0.25)/(Calculations!C19+(Calculations!C20/Calculations!C17)+(1/Calculations!C23)),0))</f>
        <v>20.855766214259383</v>
      </c>
      <c r="C23" s="48">
        <f>IF(E4="None",0,IF(OR(E6="Aquatic",E6="Subterranean"),((E5)^-0.25)/(Calculations!D19+(Calculations!D20/Calculations!D17)+(1/Calculations!D23)),0))</f>
        <v>218.61428760614822</v>
      </c>
      <c r="D23" s="48">
        <f>IF(F4="None",0,IF(OR(F6="Aquatic",F6="Subterranean"),((F5)^-0.25)/(Calculations!E19+(Calculations!E20/Calculations!E17)+(1/Calculations!E23)),0))</f>
        <v>242.73893321633344</v>
      </c>
      <c r="E23" s="48">
        <f>IF(G4="None",0,IF(OR(G6="Aquatic",G6="Subterranean"),((G5)^-0.25)/(Calculations!F19+(Calculations!F20/Calculations!F17)+(1/Calculations!F23)),0))</f>
        <v>0</v>
      </c>
      <c r="F23" s="48" t="s">
        <v>207</v>
      </c>
      <c r="G23" s="48"/>
    </row>
    <row r="24" spans="1:7" x14ac:dyDescent="0.4">
      <c r="A24" s="48" t="s">
        <v>13</v>
      </c>
      <c r="B24" s="48">
        <f>IF(D4="None",0,IF(D6="Terrestrial",((D5)^-0.25)/(Calculations!J15+(Calculations!J18/Calculations!J16)+(1/Calculations!J21)),0))</f>
        <v>0</v>
      </c>
      <c r="C24" s="48">
        <f>IF(E4="None",0,IF(E6="Terrestrial",((E5)^-0.25)/(Calculations!K15+(Calculations!K18/Calculations!K16)+(1/Calculations!K21)),0))</f>
        <v>0</v>
      </c>
      <c r="D24" s="48">
        <f>IF(F4="None",0,IF(F6="Terrestrial",((F5)^-0.25)/(Calculations!L15+(Calculations!L18/Calculations!L16)+(1/Calculations!L21)),0))</f>
        <v>0</v>
      </c>
      <c r="E24" s="48">
        <f>IF(G4="None",0,IF(G6="Terrestrial",((G5)^-0.25)/(Calculations!M15+(Calculations!M18/Calculations!M16)+(1/Calculations!M21)),0))</f>
        <v>0</v>
      </c>
      <c r="F24" s="48" t="s">
        <v>208</v>
      </c>
      <c r="G24" s="48"/>
    </row>
    <row r="25" spans="1:7" x14ac:dyDescent="0.4">
      <c r="A25" s="48" t="s">
        <v>16</v>
      </c>
      <c r="B25" s="48">
        <f>IF(D4="None",0,IF(D6="Subterranean",((D5)^-0.25)/(Calculations!C19+(Calculations!C20/Calculations!C17)),0))</f>
        <v>0</v>
      </c>
      <c r="C25" s="48">
        <f>IF(E4="None",0,IF(E6="Subterranean",((E5)^-0.25)/(Calculations!D19+(Calculations!D20/Calculations!D17)),0))</f>
        <v>0</v>
      </c>
      <c r="D25" s="48">
        <f>IF(F4="None",0,IF(F6="Subterranean",((F5)^-0.25)/(Calculations!E19+(Calculations!E20/Calculations!E17)),0))</f>
        <v>0</v>
      </c>
      <c r="E25" s="48">
        <f>IF(G4="None",0,IF(G6="Subterranean",((G5)^-0.25)/(Calculations!F19+(Calculations!F20/Calculations!F17)),0))</f>
        <v>0</v>
      </c>
      <c r="F25" s="48" t="s">
        <v>209</v>
      </c>
      <c r="G25" s="48"/>
    </row>
    <row r="26" spans="1:7" x14ac:dyDescent="0.4">
      <c r="A26" s="48" t="s">
        <v>18</v>
      </c>
      <c r="B26" s="48">
        <f>IF(D4="None",0,IFERROR(IF(D7="Detritus",(Calculations!C24/(1-Calculations!C24))*(1/Calculations!$C$3)*(((D5)^-0.25)/(Calculations!$C$25+(Calculations!C20/(Calculations!C13*Calculations!C17))+(1/(Calculations!C30*Calculations!C17*(1-Calculations!C24)*Calculations!C32)))),(Calculations!C24/(1-Calculations!C24))*(1/(IF($D11="Off",Calculations!B42,Calculations!B43)))*(((D5)^-0.25)/(Calculations!$C$25+(Calculations!C20/(Calculations!C13*Calculations!C17))+(1/(Calculations!C30*Calculations!C17*(1-Calculations!C24)*Calculations!C32))))),0))</f>
        <v>0</v>
      </c>
      <c r="C26" s="48">
        <f>IF(E4="None",0,IFERROR(IF(E7="Detritus",(Calculations!D24/(1-Calculations!D24))*(1/Calculations!$C$3)*(((E5)^-0.25)/(Calculations!$C$25+(Calculations!D20/(Calculations!D13*Calculations!D17))+(1/(Calculations!D30*Calculations!D17*(1-Calculations!D24)*Calculations!D32)))),(Calculations!D24/(1-Calculations!D24))*(1/(IF($D11="Off",Calculations!C42,Calculations!C43)))*(((E5)^-0.25)/(Calculations!$C$25+(Calculations!D20/(Calculations!D13*Calculations!D17))+(1/(Calculations!D30*Calculations!D17*(1-Calculations!D24)*Calculations!D32))))),0))</f>
        <v>2.0618054621635382E-2</v>
      </c>
      <c r="D26" s="48">
        <f>IF(F4="None",0,IFERROR(IF(F7="Detritus",(Calculations!E24/(1-Calculations!E24))*(1/Calculations!$C$3)*(((F5)^-0.25)/(Calculations!$C$25+(Calculations!E20/(Calculations!E13*Calculations!E17))+(1/(Calculations!E30*Calculations!E17*(1-Calculations!E24)*Calculations!E32)))),(Calculations!E24/(1-Calculations!E24))*(1/(IF($D11="Off",Calculations!D42,Calculations!D43)))*(((F5)^-0.25)/(Calculations!$C$25+(Calculations!E20/(Calculations!E13*Calculations!E17))+(1/(Calculations!E30*Calculations!E17*(1-Calculations!E24)*Calculations!E32))))),0))</f>
        <v>2.4827143870656737E-2</v>
      </c>
      <c r="E26" s="48">
        <f>IF(G4="None",0,IFERROR(IF(G7="Detritus",(Calculations!F24/(1-Calculations!F24))*(1/Calculations!$C$3)*(((G5)^-0.25)/(Calculations!$C$25+(Calculations!F20/(Calculations!F13*Calculations!F17))+(1/(Calculations!F30*Calculations!F17*(1-Calculations!F24)*Calculations!F32)))),(Calculations!F24/(1-Calculations!F24))*(1/(IF($D11="Off",Calculations!E42,Calculations!E43)))*(((G5)^-0.25)/(Calculations!$C$25+(Calculations!F20/(Calculations!F13*Calculations!F17))+(1/(Calculations!F30*Calculations!F17*(1-Calculations!F24)*Calculations!F32))))),0))</f>
        <v>0</v>
      </c>
      <c r="F26" s="48" t="s">
        <v>210</v>
      </c>
      <c r="G26" s="48"/>
    </row>
    <row r="27" spans="1:7" x14ac:dyDescent="0.4">
      <c r="A27" s="48" t="s">
        <v>21</v>
      </c>
      <c r="B27" s="48">
        <f>IF(D4="None",0,IF(D6="aquatic",(1/(IF($D11="Off",Calculations!C42,Calculations!C43)))*B26,0))</f>
        <v>0</v>
      </c>
      <c r="C27" s="48">
        <f>IF(E4="None",0,IF(E6="aquatic",(1/(IF($D11="Off",Calculations!D42,Calculations!D43)))*C26,0))</f>
        <v>1.8390863937694217E-5</v>
      </c>
      <c r="D27" s="48">
        <f>IF(F4="None",0,IF(F6="aquatic",(1/(IF($D11="Off",Calculations!E42,Calculations!E43)))*D26,0))</f>
        <v>1.1657537838127994E-5</v>
      </c>
      <c r="E27" s="48">
        <f>IF(G4="None",0,IF(G6="aquatic",(1/(IF($D11="Off",Calculations!F42,Calculations!F43)))*E26,0))</f>
        <v>0</v>
      </c>
      <c r="F27" s="48" t="s">
        <v>22</v>
      </c>
      <c r="G27" s="48"/>
    </row>
    <row r="28" spans="1:7" x14ac:dyDescent="0.4">
      <c r="A28" s="48" t="s">
        <v>25</v>
      </c>
      <c r="B28" s="48">
        <f>IF(D4="None",0,IF(D6="Terrestrial",(1/Calculations!J16)*B24,0))</f>
        <v>0</v>
      </c>
      <c r="C28" s="48">
        <f>IF(E4="None",0,IF(E6="Terrestrial",(1/Calculations!K16)*C24,0))</f>
        <v>0</v>
      </c>
      <c r="D28" s="48">
        <f>IF(F4="None",0,IF(F6="Terrestrial",(1/Calculations!L16)*D24,0))</f>
        <v>0</v>
      </c>
      <c r="E28" s="48">
        <f>IF(G4="None",0,IF(G6="Terrestrial",(1/Calculations!M16)*E24,0))</f>
        <v>0</v>
      </c>
      <c r="F28" s="48" t="s">
        <v>26</v>
      </c>
      <c r="G28" s="48"/>
    </row>
    <row r="29" spans="1:7" x14ac:dyDescent="0.4">
      <c r="A29" s="48" t="s">
        <v>30</v>
      </c>
      <c r="B29" s="48" cm="1">
        <f t="array" ref="B29">IF(D4="None",0,IFERROR(_xlfn.IFS(D6="Terrestrial",(Calculations!J22*Calculations!J27*(1-Calculations!J32))/Calculations!J28,D6="Subterranean",(Calculations!J22*Calculations!J27*(1-Calculations!J32))/Calculations!J28),0))</f>
        <v>0</v>
      </c>
      <c r="C29" s="48" cm="1">
        <f t="array" ref="C29">IF(E4="None",0,IFERROR(_xlfn.IFS(E6="Terrestrial",(Calculations!K22*Calculations!K27*(1-Calculations!K32))/Calculations!K28,E6="Subterranean",(Calculations!K22*Calculations!K27*(1-Calculations!K32))/Calculations!K28),0))</f>
        <v>0</v>
      </c>
      <c r="D29" s="48" cm="1">
        <f t="array" ref="D29">IF(F4="None",0,IFERROR(_xlfn.IFS(F6="Terrestrial",(Calculations!L22*Calculations!L27*(1-Calculations!L32))/Calculations!L28,F6="Subterranean",(Calculations!L22*Calculations!L27*(1-Calculations!L32))/Calculations!L28),0))</f>
        <v>0</v>
      </c>
      <c r="E29" s="48" cm="1">
        <f t="array" ref="E29">IF(G4="None",0,IFERROR(_xlfn.IFS(G6="Terrestrial",(Calculations!M22*Calculations!M27*(1-Calculations!M32))/Calculations!M28,G6="Subterranean",(Calculations!M22*Calculations!M27*(1-Calculations!M32))/Calculations!M28),0))</f>
        <v>0</v>
      </c>
      <c r="F29" s="48" t="s">
        <v>31</v>
      </c>
      <c r="G29" s="48"/>
    </row>
    <row r="30" spans="1:7" x14ac:dyDescent="0.4">
      <c r="A30" s="48" t="s">
        <v>35</v>
      </c>
      <c r="B30" s="48">
        <f>IF(D4="None",0,IFERROR((1/(IF(D11="Off",Calculations!C42,Calculations!C43)))*(((D5)^-0.25)/(Calculations!$C$25+(Calculations!C20/(Calculations!C13*Calculations!C17))+(1/(Calculations!C30*Calculations!C17*(1-Calculations!C24)*Calculations!C32)))),0))</f>
        <v>0</v>
      </c>
      <c r="C30" s="48">
        <f>IF(E4="None",0,IFERROR((1/(IF(E11="Off",Calculations!D42,Calculations!D43)))*(((E5)^-0.25)/(Calculations!$C$25+(Calculations!D20/(Calculations!D13*Calculations!D17))+(1/(Calculations!D30*Calculations!D17*(1-Calculations!D24)*Calculations!D32)))),0))</f>
        <v>2.6921207115386415E-3</v>
      </c>
      <c r="D30" s="48">
        <f>IF(F4="None",0,IFERROR((1/(IF(F11="Off",Calculations!E42,Calculations!E43)))*(((F5)^-0.25)/(Calculations!$C$25+(Calculations!E20/(Calculations!E13*Calculations!E17))+(1/(Calculations!E30*Calculations!E17*(1-Calculations!E24)*Calculations!E32)))),0))</f>
        <v>3.2673254600028212E-3</v>
      </c>
      <c r="E30" s="48">
        <f>IF(G4="None",0,IFERROR((1/(IF(G11="Off",Calculations!F42,Calculations!F43)))*(((G5)^-0.25)/(Calculations!$C$25+(Calculations!F20/(Calculations!F13*Calculations!F17))+(1/(Calculations!F30*Calculations!F17*(1-Calculations!F24)*Calculations!F32)))),0))</f>
        <v>0</v>
      </c>
      <c r="F30" s="48" t="s">
        <v>36</v>
      </c>
      <c r="G30" s="48"/>
    </row>
    <row r="31" spans="1:7" x14ac:dyDescent="0.4">
      <c r="A31" s="48" t="s">
        <v>38</v>
      </c>
      <c r="B31" s="48">
        <f>IF(D4="None",0,Calculations!C13*Calculations!$C$33*(D5)^-0.25)</f>
        <v>9.6411410273358191E-4</v>
      </c>
      <c r="C31" s="48">
        <f>IF(E4="None",0,Calculations!D13*Calculations!$C$33*(E5)^-0.25)</f>
        <v>6.4261055155281335E-4</v>
      </c>
      <c r="D31" s="48">
        <f>IF(F4="None",0,Calculations!E13*Calculations!$C$33*(F5)^-0.25)</f>
        <v>7.135242690016326E-4</v>
      </c>
      <c r="E31" s="48">
        <f>IF(G4="None",0,Calculations!F13*Calculations!$C$33*(G5)^-0.25)</f>
        <v>0</v>
      </c>
      <c r="F31" s="48" t="s">
        <v>39</v>
      </c>
      <c r="G31" s="48"/>
    </row>
    <row r="32" spans="1:7" x14ac:dyDescent="0.4">
      <c r="A32" s="48" t="s">
        <v>42</v>
      </c>
      <c r="B32" s="48">
        <f t="shared" ref="B32:D32" si="0">IF(D4="None",0,IF($F11="On",IF(OR(D4="Fish",D4="Mammals",D4="Birds"),((LN(2)*((D5)/70)^-0.25)/$F$12),0),0))</f>
        <v>0</v>
      </c>
      <c r="C32" s="48">
        <f t="shared" si="0"/>
        <v>0</v>
      </c>
      <c r="D32" s="48">
        <f t="shared" si="0"/>
        <v>5.2058540953892646E-2</v>
      </c>
      <c r="E32" s="48">
        <f>IF(G4="None",0,IF($F11="On",IF(OR(G4="Fish",G4="Mammals",G4="Birds"),((LN(2)*((G5)/70)^-0.25)/$F$12),0),0))</f>
        <v>0</v>
      </c>
      <c r="F32" s="48" t="s">
        <v>43</v>
      </c>
      <c r="G32" s="48"/>
    </row>
    <row r="34" spans="1:5" x14ac:dyDescent="0.4">
      <c r="A34" s="64" t="s">
        <v>51</v>
      </c>
      <c r="B34" s="64"/>
      <c r="C34" s="64"/>
      <c r="D34" s="64"/>
      <c r="E34" s="64"/>
    </row>
    <row r="35" spans="1:5" x14ac:dyDescent="0.4">
      <c r="A35" s="65" t="str">
        <f>B3</f>
        <v>Sertraline</v>
      </c>
      <c r="B35" s="65" t="str">
        <f>D4</f>
        <v>Plants</v>
      </c>
      <c r="C35" s="65" t="str">
        <f>E4</f>
        <v>Crustaceans</v>
      </c>
      <c r="D35" s="65" t="str">
        <f>F4</f>
        <v>Fish</v>
      </c>
      <c r="E35" s="65" t="str">
        <f>G4</f>
        <v>None</v>
      </c>
    </row>
    <row r="36" spans="1:5" x14ac:dyDescent="0.4">
      <c r="A36" s="13" t="s">
        <v>61</v>
      </c>
      <c r="B36" s="13">
        <f>IFERROR(MAX('Kinetic Model'!H3:H1048576), "-")</f>
        <v>324480.77658676461</v>
      </c>
      <c r="C36" s="13">
        <f>IFERROR(MAX('Kinetic Model'!I3:I1048576), "-")</f>
        <v>2973162.4165402418</v>
      </c>
      <c r="D36" s="13">
        <f>IFERROR(MAX('Kinetic Model'!J3:J1048576), "-")</f>
        <v>1381887.3605505712</v>
      </c>
      <c r="E36" s="13" t="str">
        <f>IFERROR(MAX('Kinetic Model'!K3:K1048576), "-")</f>
        <v>-</v>
      </c>
    </row>
    <row r="37" spans="1:5" x14ac:dyDescent="0.4">
      <c r="A37" s="13" t="s">
        <v>63</v>
      </c>
      <c r="B37" s="13">
        <f>IFERROR(B36/$B$10,"-")</f>
        <v>21632.051772450974</v>
      </c>
      <c r="C37" s="13">
        <f>IFERROR(C36/$B$10,"-")</f>
        <v>198210.82776934945</v>
      </c>
      <c r="D37" s="13">
        <f>IFERROR(D36/$B$10,"-")</f>
        <v>92125.824036704755</v>
      </c>
      <c r="E37" s="13" t="str">
        <f>IFERROR(E36/$B$10,"-")</f>
        <v>-</v>
      </c>
    </row>
    <row r="38" spans="1:5" x14ac:dyDescent="0.4">
      <c r="A38" s="13" t="s">
        <v>65</v>
      </c>
      <c r="B38" s="13" t="str">
        <f>IFERROR(B36/A36,"-")</f>
        <v>-</v>
      </c>
      <c r="C38" s="13">
        <f t="shared" ref="C38:E38" si="1">IFERROR(C36/B36,"-")</f>
        <v>9.1628306854265453</v>
      </c>
      <c r="D38" s="13">
        <f t="shared" si="1"/>
        <v>0.46478704051379138</v>
      </c>
      <c r="E38" s="13" t="str">
        <f t="shared" si="1"/>
        <v>-</v>
      </c>
    </row>
  </sheetData>
  <mergeCells count="15">
    <mergeCell ref="A34:E34"/>
    <mergeCell ref="F22:G22"/>
    <mergeCell ref="F17:G17"/>
    <mergeCell ref="F18:G18"/>
    <mergeCell ref="F19:G19"/>
    <mergeCell ref="C10:D10"/>
    <mergeCell ref="E10:G10"/>
    <mergeCell ref="E13:G13"/>
    <mergeCell ref="C2:G2"/>
    <mergeCell ref="A13:B13"/>
    <mergeCell ref="A8:B8"/>
    <mergeCell ref="E16:G16"/>
    <mergeCell ref="A1:G1"/>
    <mergeCell ref="A21:F21"/>
    <mergeCell ref="A2:B2"/>
  </mergeCells>
  <dataValidations count="8">
    <dataValidation type="list" allowBlank="1" showInputMessage="1" showErrorMessage="1" sqref="D11 F11" xr:uid="{EE13B746-5E45-4EC9-A717-84C002220119}">
      <formula1>"On,Off"</formula1>
    </dataValidation>
    <dataValidation type="list" allowBlank="1" showInputMessage="1" showErrorMessage="1" sqref="F14" xr:uid="{303148E0-6A4A-4D19-A03D-B27A7E2DEF62}">
      <formula1>"Seconds,Minuites, Hours, Days"</formula1>
    </dataValidation>
    <dataValidation type="list" allowBlank="1" showInputMessage="1" showErrorMessage="1" sqref="D7" xr:uid="{3435A53D-972D-4EF5-8ED2-24983CC4A8DF}">
      <formula1>"Photosynthesis, Detritus, Herbivore, Carnivore, None"</formula1>
    </dataValidation>
    <dataValidation type="list" allowBlank="1" showInputMessage="1" showErrorMessage="1" sqref="D6:G6" xr:uid="{DED4421D-A759-45DD-BA8C-E8DC30018764}">
      <formula1>"Aquatic,Terrestrial, Subterranean, None"</formula1>
    </dataValidation>
    <dataValidation type="list" allowBlank="1" showInputMessage="1" showErrorMessage="1" sqref="D4:G4" xr:uid="{990600CC-C6DA-423F-89D4-BCE710D91D01}">
      <formula1>"Algae, Plants, Worms, Molluscs,Worms,Arthropods,Crustaceans,Insects,Fish,Amphibians,Cnidaria,Birds, Mammals, None"</formula1>
    </dataValidation>
    <dataValidation type="list" allowBlank="1" showInputMessage="1" showErrorMessage="1" sqref="D12" xr:uid="{CD5ECD03-6C48-4D1B-B91E-7BF683939CEC}">
      <formula1>"Acidic,Basic,Neutral"</formula1>
    </dataValidation>
    <dataValidation type="list" allowBlank="1" showInputMessage="1" showErrorMessage="1" sqref="D8:G8" xr:uid="{343409C1-4DB6-43B1-96BB-D4896254FD5E}">
      <formula1>"Warm Blooded, Cold Blooded, None"</formula1>
    </dataValidation>
    <dataValidation type="list" allowBlank="1" showInputMessage="1" showErrorMessage="1" sqref="E7:G7" xr:uid="{28895D17-0CAD-40B9-8883-169AC9546948}">
      <formula1>"Detritus, Herbivore, Carnivore, None"</formula1>
    </dataValidation>
  </dataValidations>
  <hyperlinks>
    <hyperlink ref="F18" r:id="rId1" xr:uid="{66986C4E-E3CD-4FE6-9266-353CE8F6B9E9}"/>
    <hyperlink ref="F19" r:id="rId2" xr:uid="{13F9F3D1-0E65-4995-8106-CC4B909CC02B}"/>
    <hyperlink ref="F17" r:id="rId3" xr:uid="{24DC995E-FDB5-4E7A-8A77-EEB9E3F13673}"/>
  </hyperlink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E2FA67-3B84-4B50-81DA-D059FA463C1F}">
          <x14:formula1>
            <xm:f>Calculations!$G$2:$K$2</xm:f>
          </x14:formula1>
          <xm:sqref>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0C7B-486A-4EF6-B588-8402093BBFC4}">
  <dimension ref="A1:M43"/>
  <sheetViews>
    <sheetView topLeftCell="A7" workbookViewId="0">
      <selection activeCell="Q32" sqref="Q32"/>
    </sheetView>
  </sheetViews>
  <sheetFormatPr defaultRowHeight="14.6" x14ac:dyDescent="0.4"/>
  <sheetData>
    <row r="1" spans="1:13" x14ac:dyDescent="0.4">
      <c r="A1" s="57" t="s">
        <v>69</v>
      </c>
      <c r="B1" s="57"/>
      <c r="C1" s="57"/>
      <c r="E1" s="58" t="s">
        <v>80</v>
      </c>
      <c r="F1" s="58"/>
      <c r="G1" s="58"/>
      <c r="H1" s="58"/>
      <c r="I1" s="58"/>
      <c r="J1" s="58"/>
      <c r="K1" s="58"/>
    </row>
    <row r="2" spans="1:13" x14ac:dyDescent="0.4">
      <c r="A2" s="45" t="s">
        <v>70</v>
      </c>
      <c r="B2" s="45" t="s">
        <v>71</v>
      </c>
      <c r="C2" s="45">
        <f>1/('Input and Output'!B18*'Input and Output'!B17*2*10^'Input and Output'!B6)</f>
        <v>5.4428168681626898E-8</v>
      </c>
      <c r="E2" s="59" t="s">
        <v>81</v>
      </c>
      <c r="F2" s="59" t="s">
        <v>82</v>
      </c>
      <c r="G2" s="59" t="s">
        <v>33</v>
      </c>
      <c r="H2" s="59" t="s">
        <v>83</v>
      </c>
      <c r="I2" s="59" t="s">
        <v>84</v>
      </c>
      <c r="J2" s="59" t="s">
        <v>85</v>
      </c>
      <c r="K2" s="59" t="s">
        <v>86</v>
      </c>
    </row>
    <row r="3" spans="1:13" x14ac:dyDescent="0.4">
      <c r="A3" s="45" t="s">
        <v>72</v>
      </c>
      <c r="B3" s="45" t="s">
        <v>73</v>
      </c>
      <c r="C3" s="45">
        <f>'Input and Output'!B18*'Input and Output'!B17*2*Calculations!C17</f>
        <v>7632162.7095159311</v>
      </c>
      <c r="E3" s="46" t="s">
        <v>87</v>
      </c>
      <c r="F3" s="46">
        <f>IF('Input and Output'!$D$13="None",'Input and Output'!D14,HLOOKUP('Input and Output'!$D$13,$G$2:$K$9,2,FALSE))</f>
        <v>1.6800000000000002</v>
      </c>
      <c r="G3" s="46">
        <f xml:space="preserve"> 0.15+1*'Input and Output'!D14</f>
        <v>1.98</v>
      </c>
      <c r="H3" s="46">
        <f xml:space="preserve"> 0.15+1*'Input and Output'!D14</f>
        <v>1.98</v>
      </c>
      <c r="I3" s="46">
        <f xml:space="preserve"> -0.15+1*'Input and Output'!D14</f>
        <v>1.6800000000000002</v>
      </c>
      <c r="J3" s="46">
        <f xml:space="preserve"> -0.15+1*'Input and Output'!D14</f>
        <v>1.6800000000000002</v>
      </c>
      <c r="K3" s="46">
        <f xml:space="preserve"> -0.15+1*'Input and Output'!D14</f>
        <v>1.6800000000000002</v>
      </c>
    </row>
    <row r="4" spans="1:13" x14ac:dyDescent="0.4">
      <c r="A4" s="45" t="s">
        <v>74</v>
      </c>
      <c r="B4" s="45" t="s">
        <v>75</v>
      </c>
      <c r="C4" s="45">
        <f>IFERROR(('Input and Output'!B14*'Input and Output'!B18)/1000,0)</f>
        <v>0</v>
      </c>
      <c r="E4" s="46" t="s">
        <v>88</v>
      </c>
      <c r="F4" s="46">
        <f>IF('Input and Output'!$D$13="None",'Input and Output'!D15,HLOOKUP('Input and Output'!$D$13,$G$2:$K$9,3,FALSE))</f>
        <v>3.1560800000000002</v>
      </c>
      <c r="G4" s="46">
        <f xml:space="preserve"> 1.224+0.908*'Input and Output'!D14+0.827*'Input and Output'!D15+0.453*'Input and Output'!D18</f>
        <v>5.1520491000000002</v>
      </c>
      <c r="H4" s="46">
        <f xml:space="preserve"> 4.692+4.639*'Input and Output'!D14-2.9*'Input and Output'!D15+5.326*'Input and Output'!D16+5.218*'Input and Output'!D17-0.776*'Input and Output'!B7</f>
        <v>7.310570000000002</v>
      </c>
      <c r="I4" s="46">
        <f xml:space="preserve"> 0.463+0.473*'Input and Output'!D16+2.419*'Input and Output'!D18</f>
        <v>5.9886093000000002</v>
      </c>
      <c r="J4" s="46">
        <f xml:space="preserve"> 0.463+0.473*'Input and Output'!D15+2.419*'Input and Output'!D17</f>
        <v>3.1560800000000002</v>
      </c>
      <c r="K4" s="46">
        <f xml:space="preserve"> 0.463+0.473*'Input and Output'!D15+2.419*'Input and Output'!D17</f>
        <v>3.1560800000000002</v>
      </c>
    </row>
    <row r="5" spans="1:13" x14ac:dyDescent="0.4">
      <c r="A5" s="45" t="s">
        <v>76</v>
      </c>
      <c r="B5" s="45" t="s">
        <v>77</v>
      </c>
      <c r="C5" s="45">
        <f>IFERROR(C4*C2,0)</f>
        <v>0</v>
      </c>
      <c r="E5" s="46" t="s">
        <v>89</v>
      </c>
      <c r="F5" s="46">
        <f>IF('Input and Output'!$D$13="None",'Input and Output'!D16,HLOOKUP('Input and Output'!$D$13,$G$2:$K$9,4,FALSE))</f>
        <v>2.1814999999999998</v>
      </c>
      <c r="G5" s="46">
        <f xml:space="preserve"> -0.208-0.058*'Input and Output'!D15+0.354*'Input and Output'!D16+0.076*'Input and Output'!D18</f>
        <v>-8.7482799999999999E-2</v>
      </c>
      <c r="H5" s="46">
        <v>0</v>
      </c>
      <c r="I5" s="46">
        <f xml:space="preserve"> -0.052-0.35*'Input and Output'!D14+1.48*'Input and Output'!D15+0.327*3</f>
        <v>2.5084999999999997</v>
      </c>
      <c r="J5" s="46">
        <f xml:space="preserve"> -0.052-0.35*'Input and Output'!D14+1.48*'Input and Output'!D15+0.327*2</f>
        <v>2.1814999999999998</v>
      </c>
      <c r="K5" s="46">
        <f xml:space="preserve"> -0.052-0.35*'Input and Output'!D14+1.48*'Input and Output'!D15+0.327</f>
        <v>1.8544999999999998</v>
      </c>
    </row>
    <row r="6" spans="1:13" x14ac:dyDescent="0.4">
      <c r="A6" s="45" t="s">
        <v>78</v>
      </c>
      <c r="B6" s="45" t="s">
        <v>79</v>
      </c>
      <c r="C6" s="45">
        <f>IFERROR(C4/C3,0)</f>
        <v>0</v>
      </c>
      <c r="E6" s="46" t="s">
        <v>90</v>
      </c>
      <c r="F6" s="46">
        <f>IF('Input and Output'!$D$13="None",'Input and Output'!D17,HLOOKUP('Input and Output'!$D$13,$G$2:$K$9,5,FALSE))</f>
        <v>0</v>
      </c>
      <c r="G6" s="46">
        <f xml:space="preserve"> 2.15-0.204*'Input and Output'!D15+1.217*'Input and Output'!D17+0.314*'Input and Output'!D18</f>
        <v>3.5530558000000001</v>
      </c>
      <c r="H6" s="46">
        <f xml:space="preserve"> 1.7+1.103*'Input and Output'!D14-0.732*'Input and Output'!D15+0.728*'Input and Output'!D16+0.564*'Input and Output'!D17-0.0255*'Input and Output'!B7</f>
        <v>2.9476900000000001</v>
      </c>
      <c r="I6" s="46">
        <v>0</v>
      </c>
      <c r="J6" s="46">
        <v>0</v>
      </c>
      <c r="K6" s="46">
        <v>0</v>
      </c>
    </row>
    <row r="7" spans="1:13" x14ac:dyDescent="0.4">
      <c r="E7" s="46" t="s">
        <v>91</v>
      </c>
      <c r="F7" s="46">
        <f>IF('Input and Output'!$D$13="None",'Input and Output'!D18,HLOOKUP('Input and Output'!$D$13,$G$2:$K$9,6,FALSE))</f>
        <v>2.2862</v>
      </c>
      <c r="G7" s="46">
        <f xml:space="preserve"> -0.0215+1*'Input and Output'!D18</f>
        <v>2.2431999999999999</v>
      </c>
      <c r="H7" s="46">
        <f xml:space="preserve"> -0.0215+1*'Input and Output'!D18</f>
        <v>2.2431999999999999</v>
      </c>
      <c r="I7" s="46">
        <f xml:space="preserve"> 0.0215+1*'Input and Output'!D18</f>
        <v>2.2862</v>
      </c>
      <c r="J7" s="46">
        <f xml:space="preserve"> 0.0215+1*'Input and Output'!D18</f>
        <v>2.2862</v>
      </c>
      <c r="K7" s="46">
        <f xml:space="preserve"> 0.0215+1*'Input and Output'!D18</f>
        <v>2.2862</v>
      </c>
    </row>
    <row r="8" spans="1:13" x14ac:dyDescent="0.4">
      <c r="E8" s="46" t="s">
        <v>92</v>
      </c>
      <c r="F8" s="46">
        <f>IF('Input and Output'!$D$13="None",0,HLOOKUP('Input and Output'!$D$13,$G$2:$K$9,7,FALSE))</f>
        <v>1.8136199999999998</v>
      </c>
      <c r="G8" s="46">
        <v>0</v>
      </c>
      <c r="H8" s="46">
        <v>0</v>
      </c>
      <c r="I8" s="46">
        <f xml:space="preserve"> 0.628+1.002*'Input and Output'!D14-0.794*'Input and Output'!D15+1.128*'Input and Output'!D17-0.191*3</f>
        <v>1.62262</v>
      </c>
      <c r="J8" s="46">
        <f xml:space="preserve"> 0.628+1.002*'Input and Output'!D14-0.794*'Input and Output'!D15+1.128*'Input and Output'!D17-0.191*2</f>
        <v>1.8136199999999998</v>
      </c>
      <c r="K8" s="46">
        <f xml:space="preserve"> 0.628+1.002*'Input and Output'!D14-0.794*'Input and Output'!D15+1.128*'Input and Output'!D17-0.191</f>
        <v>2.0046200000000001</v>
      </c>
    </row>
    <row r="9" spans="1:13" x14ac:dyDescent="0.4">
      <c r="E9" s="46" t="s">
        <v>93</v>
      </c>
      <c r="F9" s="46">
        <f>IF('Input and Output'!$D$13="None",0,HLOOKUP('Input and Output'!$D$13,$G$2:$K$9,8,FALSE))</f>
        <v>0</v>
      </c>
      <c r="G9" s="46">
        <f xml:space="preserve"> 1.793+ 0.267*'Input and Output'!D14-0.195*'Input and Output'!D15+0.35*'Input and Output'!D18</f>
        <v>2.781755</v>
      </c>
      <c r="H9" s="46">
        <f xml:space="preserve"> 2.165+2.579*'Input and Output'!D14-1.504*'Input and Output'!D15+1.708*'Input and Output'!D16+0.045*'Input and Output'!D17-0.217*'Input and Output'!B7</f>
        <v>3.0655500000000009</v>
      </c>
      <c r="I9" s="46">
        <v>0</v>
      </c>
      <c r="J9" s="46">
        <v>0</v>
      </c>
      <c r="K9" s="46">
        <v>0</v>
      </c>
    </row>
    <row r="11" spans="1:13" x14ac:dyDescent="0.4">
      <c r="A11" s="60" t="s">
        <v>44</v>
      </c>
      <c r="B11" s="60"/>
      <c r="C11" s="60"/>
      <c r="D11" s="60"/>
      <c r="E11" s="60"/>
      <c r="F11" s="60"/>
      <c r="H11" s="62" t="s">
        <v>157</v>
      </c>
      <c r="I11" s="62"/>
      <c r="J11" s="62"/>
      <c r="K11" s="62"/>
      <c r="L11" s="62"/>
      <c r="M11" s="62"/>
    </row>
    <row r="12" spans="1:13" x14ac:dyDescent="0.4">
      <c r="A12" s="61" t="s">
        <v>94</v>
      </c>
      <c r="B12" s="61" t="s">
        <v>95</v>
      </c>
      <c r="C12" s="61" t="str">
        <f>_xlfn.CONCAT("TL ",'Input and Output'!D3,"-",'Input and Output'!D4)</f>
        <v>TL 1-Plants</v>
      </c>
      <c r="D12" s="61" t="str">
        <f>_xlfn.CONCAT("TL ",'Input and Output'!E3,"-",'Input and Output'!E4)</f>
        <v>TL 2-Crustaceans</v>
      </c>
      <c r="E12" s="61" t="str">
        <f>_xlfn.CONCAT("TL ",'Input and Output'!F3,"-",'Input and Output'!F4)</f>
        <v>TL 3-Fish</v>
      </c>
      <c r="F12" s="61" t="str">
        <f>_xlfn.CONCAT("TL ",'Input and Output'!G3,"-",'Input and Output'!G4)</f>
        <v>TL 4-None</v>
      </c>
      <c r="H12" s="63" t="s">
        <v>94</v>
      </c>
      <c r="I12" s="63" t="s">
        <v>95</v>
      </c>
      <c r="J12" s="63" t="str">
        <f>_xlfn.CONCAT("TL ",'Input and Output'!D3,"-",'Input and Output'!D4)</f>
        <v>TL 1-Plants</v>
      </c>
      <c r="K12" s="63" t="str">
        <f>_xlfn.CONCAT("TL ",'Input and Output'!E3,"-",'Input and Output'!E4)</f>
        <v>TL 2-Crustaceans</v>
      </c>
      <c r="L12" s="63" t="str">
        <f>_xlfn.CONCAT("TL ",'Input and Output'!F3,"-",'Input and Output'!F4)</f>
        <v>TL 3-Fish</v>
      </c>
      <c r="M12" s="63" t="str">
        <f>_xlfn.CONCAT("TL ",'Input and Output'!G3,"-",'Input and Output'!G4)</f>
        <v>TL 4-None</v>
      </c>
    </row>
    <row r="13" spans="1:13" x14ac:dyDescent="0.4">
      <c r="A13" s="47" t="s">
        <v>96</v>
      </c>
      <c r="B13" s="47" t="s">
        <v>97</v>
      </c>
      <c r="C13" s="47">
        <f>IF('Input and Output'!D8="Warm Blooded", 10,1)</f>
        <v>1</v>
      </c>
      <c r="D13" s="47">
        <f>IF('Input and Output'!E8="Warm Blooded", 10,1)</f>
        <v>1</v>
      </c>
      <c r="E13" s="47">
        <f>IF('Input and Output'!F8="Warm Blooded", 10,1)</f>
        <v>1</v>
      </c>
      <c r="F13" s="47">
        <f>IF('Input and Output'!G8="Warm Blooded", 10,1)</f>
        <v>1</v>
      </c>
      <c r="H13" s="17" t="s">
        <v>158</v>
      </c>
      <c r="I13" s="17" t="s">
        <v>159</v>
      </c>
      <c r="J13" s="17" t="str" cm="1">
        <f t="array" ref="J13">IFERROR(_xlfn.IFS('Input and Output'!D4="Birds",554.4,'Input and Output'!D4="Mammals",745.92,'Input and Output'!D4="Insects",180)*'Input and Output'!D5^0.75,"-")</f>
        <v>-</v>
      </c>
      <c r="K13" s="17" t="str" cm="1">
        <f t="array" ref="K13">IFERROR(_xlfn.IFS('Input and Output'!E4="Birds",554.4,'Input and Output'!E4="Mammals",745.92,'Input and Output'!E4="Insects",180)*'Input and Output'!E5^0.75,"-")</f>
        <v>-</v>
      </c>
      <c r="L13" s="17" t="str" cm="1">
        <f t="array" ref="L13">IFERROR(_xlfn.IFS('Input and Output'!F4="Birds",554.4,'Input and Output'!F4="Mammals",745.92,'Input and Output'!F4="Insects",180)*'Input and Output'!F5^0.75,"-")</f>
        <v>-</v>
      </c>
      <c r="M13" s="17" t="str" cm="1">
        <f t="array" ref="M13">IFERROR(_xlfn.IFS('Input and Output'!G4="Birds",554.4,'Input and Output'!G4="Mammals",745.92,'Input and Output'!G4="Insects",180)*'Input and Output'!G5^0.75,"-")</f>
        <v>-</v>
      </c>
    </row>
    <row r="14" spans="1:13" x14ac:dyDescent="0.4">
      <c r="A14" s="47" t="s">
        <v>98</v>
      </c>
      <c r="B14" s="47" t="s">
        <v>99</v>
      </c>
      <c r="C14" s="47" cm="1">
        <f t="array" ref="C14">_xlfn.IFS('Input and Output'!D4="Algae",0.5,'Input and Output'!D4="Plants",0.5, 'Input and Output'!D4="Molluscs",0.25,'Input and Output'!D4="Worms",0.25, 'Input and Output'!D4="Arthropods", 0.25,'Input and Output'!D4="Crustaceans", 0.25,'Input and Output'!D4="Insects", 0.25,AND('Input and Output'!D4="Fish",'Input and Output'!D8="Cold Blooded"),0.1,AND('Input and Output'!D4="Fish",'Input and Output'!D8="Warm Blooded"),'Input and Output'!D4="Amphibians",0.1,0.02,'Input and Output'!D4="Birds",0.02,'Input and Output'!D4="Mammals",0.02,'Input and Output'!D4="Cnidaria",0.35)</f>
        <v>0.5</v>
      </c>
      <c r="D14" s="47" cm="1">
        <f t="array" ref="D14">_xlfn.IFS('Input and Output'!E4="Algae",0.5,'Input and Output'!E4="Plants",0.5, 'Input and Output'!E4="Molluscs",0.25,'Input and Output'!E4="Worms",0.25, 'Input and Output'!E4="Arthropods", 0.25,'Input and Output'!E4="Crustaceans", 0.25,'Input and Output'!E4="Insects", 0.25,AND('Input and Output'!E4="Fish",'Input and Output'!E8="Cold Blooded"),0.1,AND('Input and Output'!E4="Fish",'Input and Output'!E8="Warm Blooded"),'Input and Output'!E4="Amphibians",0.1,0.02,'Input and Output'!E4="Birds",0.02,'Input and Output'!E4="Mammals",0.02,'Input and Output'!E4="Cnidaria",0.35)</f>
        <v>0.25</v>
      </c>
      <c r="E14" s="47" cm="1">
        <f t="array" ref="E14">_xlfn.IFS('Input and Output'!F4="Algae",0.5,'Input and Output'!F4="Plants",0.5, 'Input and Output'!F4="Molluscs",0.25,'Input and Output'!F4="Worms",0.25, 'Input and Output'!F4="Arthropods", 0.25,'Input and Output'!F4="Crustaceans", 0.25,'Input and Output'!F4="Insects", 0.25,AND('Input and Output'!F4="Fish",'Input and Output'!F8="Cold Blooded"),0.1,AND('Input and Output'!F4="Fish",'Input and Output'!F8="Warm Blooded"),'Input and Output'!F4="Amphibians",0.1,0.02,'Input and Output'!F4="Birds",0.02,'Input and Output'!F4="Mammals",0.02,'Input and Output'!F4="Cnidaria",0.35)</f>
        <v>0.1</v>
      </c>
      <c r="F14" s="47" cm="1">
        <f t="array" ref="F14">_xlfn.IFS('Input and Output'!G4="Algae",0.5,'Input and Output'!G4="Plants",0.5, 'Input and Output'!G4="Molluscs",0.25,'Input and Output'!G4="Worms",0.25, 'Input and Output'!G4="Arthropods", 0.25,'Input and Output'!G4="Crustaceans", 0.25,'Input and Output'!G4="Insects", 0.25,AND('Input and Output'!G4="Fish",'Input and Output'!G8="Cold Blooded"),0.1,AND('Input and Output'!G4="Fish",'Input and Output'!G8="Warm Blooded"),'Input and Output'!G4="Amphibians",0.1,0.02,'Input and Output'!G4="Birds",0.02,'Input and Output'!G4="Mammals",0.02,'Input and Output'!G4="Cnidaria",0.35)</f>
        <v>0.02</v>
      </c>
      <c r="H14" s="17" t="s">
        <v>160</v>
      </c>
      <c r="I14" s="17" t="s">
        <v>161</v>
      </c>
      <c r="J14" s="17" t="str">
        <f>IFERROR(J13*0.7,"-")</f>
        <v>-</v>
      </c>
      <c r="K14" s="17" t="str">
        <f>IFERROR(K13*0.7,"-")</f>
        <v>-</v>
      </c>
      <c r="L14" s="17" t="str">
        <f>IFERROR(L13*0.7,"-")</f>
        <v>-</v>
      </c>
      <c r="M14" s="17" t="str">
        <f>IFERROR(M13*0.7,"-")</f>
        <v>-</v>
      </c>
    </row>
    <row r="15" spans="1:13" x14ac:dyDescent="0.4">
      <c r="A15" s="47" t="s">
        <v>100</v>
      </c>
      <c r="B15" s="47" t="s">
        <v>101</v>
      </c>
      <c r="C15" s="47">
        <f>1/(1+IF('Input and Output'!$D$12="Neutral",0,(10^(IF('Input and Output'!$D$12="Acidic",1,-1)*('Input and Output'!$B$12-'Input and Output'!$B$7)))))</f>
        <v>0.35464754956061773</v>
      </c>
      <c r="D15" s="47">
        <f>1/(1+IF('Input and Output'!$D$12="Neutral",0,(10^(IF('Input and Output'!$D$12="Acidic",1,-1)*('Input and Output'!$B$12-'Input and Output'!$B$7)))))</f>
        <v>0.35464754956061773</v>
      </c>
      <c r="E15" s="47">
        <f>1/(1+IF('Input and Output'!$D$12="Neutral",0,(10^(IF('Input and Output'!$D$12="Acidic",1,-1)*('Input and Output'!$B$12-'Input and Output'!$B$7)))))</f>
        <v>0.35464754956061773</v>
      </c>
      <c r="F15" s="47">
        <f>1/(1+IF('Input and Output'!$D$12="Neutral",0,(10^(IF('Input and Output'!$D$12="Acidic",1,-1)*('Input and Output'!$B$12-'Input and Output'!$B$7)))))</f>
        <v>0.35464754956061773</v>
      </c>
      <c r="H15" s="17" t="s">
        <v>162</v>
      </c>
      <c r="I15" s="17" t="s">
        <v>163</v>
      </c>
      <c r="J15" s="17" t="str">
        <f>IFERROR(1/J14,"-")</f>
        <v>-</v>
      </c>
      <c r="K15" s="17" t="str">
        <f>IFERROR(1/K14,"-")</f>
        <v>-</v>
      </c>
      <c r="L15" s="17" t="str">
        <f>IFERROR(1/L14,"-")</f>
        <v>-</v>
      </c>
      <c r="M15" s="17" t="str">
        <f>IFERROR(1/M14,"-")</f>
        <v>-</v>
      </c>
    </row>
    <row r="16" spans="1:13" x14ac:dyDescent="0.4">
      <c r="A16" s="47" t="s">
        <v>102</v>
      </c>
      <c r="B16" s="47" t="s">
        <v>103</v>
      </c>
      <c r="C16" s="47">
        <f>1/(1+10^(IF('Input and Output'!D12="Acidic",1,-1)*('Input and Output'!D9-'Input and Output'!B7)))</f>
        <v>0.25746444105693017</v>
      </c>
      <c r="D16" s="47">
        <f>1/(1+10^(IF('Input and Output'!D12="Acidic",1,-1)*('Input and Output'!E9-'Input and Output'!B7)))</f>
        <v>0.25746444105693017</v>
      </c>
      <c r="E16" s="47">
        <f>1/(1+10^(IF('Input and Output'!D12="Acidic",1,-1)*('Input and Output'!F9-'Input and Output'!B7)))</f>
        <v>0.25746444105693017</v>
      </c>
      <c r="F16" s="47">
        <f>1/(1+10^(IF('Input and Output'!D12="Acidic",1,-1)*('Input and Output'!G9-'Input and Output'!B7)))</f>
        <v>0.25746444105693017</v>
      </c>
      <c r="H16" s="17" t="s">
        <v>164</v>
      </c>
      <c r="I16" s="17" t="s">
        <v>165</v>
      </c>
      <c r="J16" s="17">
        <f>10^(-1.069+0.456*'Input and Output'!$D14+1.083*'Input and Output'!$D15+3.738*'Input and Output'!$D16+2.58*'Input and Output'!$D17+0.376*'Input and Output'!$D19)</f>
        <v>90202796.104000255</v>
      </c>
      <c r="K16" s="17">
        <f>10^(-1.069+0.456*'Input and Output'!$D14+1.083*'Input and Output'!$D15+3.738*'Input and Output'!$D16+2.58*'Input and Output'!$D17+0.376*'Input and Output'!$D19)</f>
        <v>90202796.104000255</v>
      </c>
      <c r="L16" s="17">
        <f>10^(-1.069+0.456*'Input and Output'!$D14+1.083*'Input and Output'!$D15+3.738*'Input and Output'!$D16+2.58*'Input and Output'!$D17+0.376*'Input and Output'!$D19)</f>
        <v>90202796.104000255</v>
      </c>
      <c r="M16" s="17">
        <f>10^(-1.069+0.456*'Input and Output'!$D14+1.083*'Input and Output'!$D15+3.738*'Input and Output'!$D16+2.58*'Input and Output'!$D17+0.376*'Input and Output'!$D19)</f>
        <v>90202796.104000255</v>
      </c>
    </row>
    <row r="17" spans="1:13" x14ac:dyDescent="0.4">
      <c r="A17" s="47" t="s">
        <v>104</v>
      </c>
      <c r="B17" s="47" t="s">
        <v>105</v>
      </c>
      <c r="C17" s="47">
        <f xml:space="preserve"> C15 * (10^'Input and Output'!$B4) + (1-C15) * (IF(ISBLANK('Input and Output'!$B5),(10^'Input and Output'!$B4),10^'Input and Output'!$B5))</f>
        <v>62816.153987785437</v>
      </c>
      <c r="D17" s="47">
        <f xml:space="preserve"> D15 * (10^'Input and Output'!$B4) + (1-D15) * (IF(ISBLANK('Input and Output'!$B5),(10^'Input and Output'!$B4),10^'Input and Output'!$B5))</f>
        <v>62816.153987785437</v>
      </c>
      <c r="E17" s="47">
        <f xml:space="preserve"> E15 * (10^'Input and Output'!$B4) + (1-E15) * (IF(ISBLANK('Input and Output'!$B5),(10^'Input and Output'!$B4),10^'Input and Output'!$B5))</f>
        <v>62816.153987785437</v>
      </c>
      <c r="F17" s="47">
        <f xml:space="preserve"> F15 * (10^'Input and Output'!$B4) + (1-F15) * (IF(ISBLANK('Input and Output'!$B5),(10^'Input and Output'!$B4),10^'Input and Output'!$B5))</f>
        <v>62816.153987785437</v>
      </c>
      <c r="H17" s="17" t="s">
        <v>166</v>
      </c>
      <c r="I17" s="17" t="s">
        <v>167</v>
      </c>
      <c r="J17" s="17">
        <f xml:space="preserve"> Calculations!C43 * 10^(-('Input and Output'!$B4-'Input and Output'!$B6))</f>
        <v>97.589060911228771</v>
      </c>
      <c r="K17" s="17">
        <f xml:space="preserve"> Calculations!D43 * 10^(-('Input and Output'!$B4-'Input and Output'!$B6))</f>
        <v>1121.1031026865617</v>
      </c>
      <c r="L17" s="17">
        <f xml:space="preserve"> Calculations!E43 * 10^(-('Input and Output'!$B4-'Input and Output'!$B6))</f>
        <v>2129.7073374666875</v>
      </c>
      <c r="M17" s="17" t="e">
        <f xml:space="preserve"> Calculations!F43 * 10^(-('Input and Output'!$B4-'Input and Output'!$B6))</f>
        <v>#N/A</v>
      </c>
    </row>
    <row r="18" spans="1:13" x14ac:dyDescent="0.4">
      <c r="A18" s="47" t="s">
        <v>106</v>
      </c>
      <c r="B18" s="47" t="s">
        <v>107</v>
      </c>
      <c r="C18" s="47">
        <f xml:space="preserve"> C16 * (10^'Input and Output'!$B4) + (1-C16) * (IF(ISBLANK('Input and Output'!$B5),(10^'Input and Output'!$B4),10^'Input and Output'!$B5))</f>
        <v>49503.973801805849</v>
      </c>
      <c r="D18" s="47">
        <f xml:space="preserve"> D16 * (10^'Input and Output'!$B4) + (1-D16) * (IF(ISBLANK('Input and Output'!$B5),(10^'Input and Output'!$B4),10^'Input and Output'!$B5))</f>
        <v>49503.973801805849</v>
      </c>
      <c r="E18" s="47">
        <f xml:space="preserve"> E16 * (10^'Input and Output'!$B4) + (1-E16) * (IF(ISBLANK('Input and Output'!$B5),(10^'Input and Output'!$B4),10^'Input and Output'!$B5))</f>
        <v>49503.973801805849</v>
      </c>
      <c r="F18" s="47">
        <f xml:space="preserve"> F16 * (10^'Input and Output'!$B4) + (1-F16) * (IF(ISBLANK('Input and Output'!$B5),(10^'Input and Output'!$B4),10^'Input and Output'!$B5))</f>
        <v>49503.973801805849</v>
      </c>
      <c r="H18" s="17" t="s">
        <v>168</v>
      </c>
      <c r="I18" s="17" t="s">
        <v>169</v>
      </c>
      <c r="J18" s="17">
        <v>0</v>
      </c>
      <c r="K18" s="17">
        <v>0</v>
      </c>
      <c r="L18" s="17">
        <v>0</v>
      </c>
      <c r="M18" s="17">
        <v>0</v>
      </c>
    </row>
    <row r="19" spans="1:13" x14ac:dyDescent="0.4">
      <c r="A19" s="47" t="s">
        <v>108</v>
      </c>
      <c r="B19" s="47" t="s">
        <v>109</v>
      </c>
      <c r="C19" s="47">
        <f xml:space="preserve"> 0.0028</f>
        <v>2.8E-3</v>
      </c>
      <c r="D19" s="47">
        <f xml:space="preserve"> 0.0028</f>
        <v>2.8E-3</v>
      </c>
      <c r="E19" s="47">
        <f xml:space="preserve"> 0.0028</f>
        <v>2.8E-3</v>
      </c>
      <c r="F19" s="47">
        <f xml:space="preserve"> 0.0028</f>
        <v>2.8E-3</v>
      </c>
      <c r="H19" s="17" t="s">
        <v>170</v>
      </c>
      <c r="I19" s="17" t="s">
        <v>171</v>
      </c>
      <c r="J19" s="17" t="str" cm="1">
        <f t="array" ref="J19">IFERROR(_xlfn.IFS('Input and Output'!D4="Birds",290.7,'Input and Output'!D4="Mammals",200,'Input and Output'!D4="insects",100)*'Input and Output'!D5^0.75,"-")</f>
        <v>-</v>
      </c>
      <c r="K19" s="17" t="str" cm="1">
        <f t="array" ref="K19">IFERROR(_xlfn.IFS('Input and Output'!E4="Birds",290.7,'Input and Output'!E4="Mammals",200,'Input and Output'!E4="insects",100)*'Input and Output'!E5^0.75,"-")</f>
        <v>-</v>
      </c>
      <c r="L19" s="17" t="str" cm="1">
        <f t="array" ref="L19">IFERROR(_xlfn.IFS('Input and Output'!F4="Birds",290.7,'Input and Output'!F4="Mammals",200,'Input and Output'!F4="insects",100)*'Input and Output'!F5^0.75,"-")</f>
        <v>-</v>
      </c>
      <c r="M19" s="17" t="str" cm="1">
        <f t="array" ref="M19">IFERROR(_xlfn.IFS('Input and Output'!G4="Birds",290.7,'Input and Output'!G4="Mammals",200,'Input and Output'!G4="insects",100)*'Input and Output'!G5^0.75,"-")</f>
        <v>-</v>
      </c>
    </row>
    <row r="20" spans="1:13" x14ac:dyDescent="0.4">
      <c r="A20" s="47" t="s">
        <v>110</v>
      </c>
      <c r="B20" s="47" t="s">
        <v>111</v>
      </c>
      <c r="C20" s="47">
        <v>4600</v>
      </c>
      <c r="D20" s="47">
        <v>68</v>
      </c>
      <c r="E20" s="47">
        <v>68</v>
      </c>
      <c r="F20" s="47">
        <v>68</v>
      </c>
      <c r="H20" s="17" t="s">
        <v>172</v>
      </c>
      <c r="I20" s="17" t="s">
        <v>173</v>
      </c>
      <c r="J20" s="17" t="str">
        <f>IFERROR(1/(1+(J19/J14)*(1/J16)),"-")</f>
        <v>-</v>
      </c>
      <c r="K20" s="17" t="str">
        <f>IFERROR(1/(1+(K19/K14)*(1/K16)),"-")</f>
        <v>-</v>
      </c>
      <c r="L20" s="17" t="str">
        <f>IFERROR(1/(1+(L19/L14)*(1/L16)),"-")</f>
        <v>-</v>
      </c>
      <c r="M20" s="17" t="str">
        <f>IFERROR(1/(1+(M19/M14)*(1/M16)),"-")</f>
        <v>-</v>
      </c>
    </row>
    <row r="21" spans="1:13" x14ac:dyDescent="0.4">
      <c r="A21" s="47" t="s">
        <v>112</v>
      </c>
      <c r="B21" s="47" t="s">
        <v>113</v>
      </c>
      <c r="C21" s="47">
        <f>EXP(1)^19.1 * EXP(1)^(-5040/'Input and Output'!$B$11) * ('Input and Output'!D5)^0.75</f>
        <v>1.6092927932166388</v>
      </c>
      <c r="D21" s="47">
        <f>EXP(1)^19.1 * EXP(1)^(-5040/'Input and Output'!$B$11) * ('Input and Output'!E5)^0.75</f>
        <v>5.4347155256162942</v>
      </c>
      <c r="E21" s="47">
        <f>EXP(1)^19.1 * EXP(1)^(-5040/'Input and Output'!$B$11) * ('Input and Output'!F5)^0.75</f>
        <v>3.9700330788433109</v>
      </c>
      <c r="F21" s="47">
        <f>EXP(1)^19.1 * EXP(1)^(-5040/'Input and Output'!$B$11) * ('Input and Output'!G5)^0.75</f>
        <v>9.0497184195672293</v>
      </c>
      <c r="H21" s="17" t="s">
        <v>174</v>
      </c>
      <c r="I21" s="17" t="s">
        <v>175</v>
      </c>
      <c r="J21" s="17" t="str">
        <f>IFERROR(1/(J20*J14),"-")</f>
        <v>-</v>
      </c>
      <c r="K21" s="17" t="str">
        <f>IFERROR(1/(K20*K14),"-")</f>
        <v>-</v>
      </c>
      <c r="L21" s="17" t="str">
        <f>IFERROR(1/(L20*L14),"-")</f>
        <v>-</v>
      </c>
      <c r="M21" s="17" t="str">
        <f>IFERROR(1/(M20*M14),"-")</f>
        <v>-</v>
      </c>
    </row>
    <row r="22" spans="1:13" x14ac:dyDescent="0.4">
      <c r="A22" s="47" t="s">
        <v>114</v>
      </c>
      <c r="B22" s="47" t="s">
        <v>115</v>
      </c>
      <c r="C22" s="47">
        <f>EXP(1)^-10.6 * EXP(1)^(1743.3/'Input and Output'!B11)</f>
        <v>9.5599703970724176E-3</v>
      </c>
      <c r="D22" s="47">
        <f>EXP(1)^-10.6 * EXP(1)^(1743.3/'Input and Output'!B11)</f>
        <v>9.5599703970724176E-3</v>
      </c>
      <c r="E22" s="47">
        <f>EXP(1)^-10.6 * EXP(1)^(1743.3/'Input and Output'!B11)</f>
        <v>9.5599703970724176E-3</v>
      </c>
      <c r="F22" s="47">
        <f>EXP(1)^-10.6 * EXP(1)^(1743.3/'Input and Output'!B11)</f>
        <v>9.5599703970724176E-3</v>
      </c>
      <c r="H22" s="17" t="s">
        <v>176</v>
      </c>
      <c r="I22" s="17" t="s">
        <v>177</v>
      </c>
      <c r="J22" s="17" t="str" cm="1">
        <f t="array" ref="J22">IFERROR(_xlfn.IFS('Input and Output'!D4="Birds",4.5*('Input and Output'!D5/1000)^-0.25,'Input and Output'!D4="Mammals",2.82*('Input and Output'!D5/1000)^-0.25,'Input and Output'!D4="Worms",0.2*('Input and Output'!D5/1000)^-0.25),"-")</f>
        <v>-</v>
      </c>
      <c r="K22" s="17" t="str" cm="1">
        <f t="array" ref="K22">IFERROR(_xlfn.IFS('Input and Output'!E4="Birds",4.5*('Input and Output'!E5/1000)^-0.25,'Input and Output'!E4="Mammals",2.82*('Input and Output'!E5/1000)^-0.25,'Input and Output'!E4="Worms",0.2*('Input and Output'!E5/1000)^-0.25),"-")</f>
        <v>-</v>
      </c>
      <c r="L22" s="17" t="str" cm="1">
        <f t="array" ref="L22">IFERROR(_xlfn.IFS('Input and Output'!F4="Birds",4.5*('Input and Output'!F5/1000)^-0.25,'Input and Output'!F4="Mammals",2.82*('Input and Output'!F5/1000)^-0.25,'Input and Output'!F4="Worms",0.2*('Input and Output'!F5/1000)^-0.25),"-")</f>
        <v>-</v>
      </c>
      <c r="M22" s="17" t="str" cm="1">
        <f t="array" ref="M22">IFERROR(_xlfn.IFS('Input and Output'!G4="Birds",4.5*('Input and Output'!G5/1000)^-0.25,'Input and Output'!G4="Mammals",2.82*('Input and Output'!G5/1000)^-0.25,'Input and Output'!G4="Worms",0.2*('Input and Output'!G5/1000)^-0.25),"-")</f>
        <v>-</v>
      </c>
    </row>
    <row r="23" spans="1:13" x14ac:dyDescent="0.4">
      <c r="A23" s="47" t="s">
        <v>116</v>
      </c>
      <c r="B23" s="47" t="s">
        <v>117</v>
      </c>
      <c r="C23" s="47">
        <f xml:space="preserve"> (C21/(0.71 * $C$22)) * 1/'Input and Output'!D5^0.75</f>
        <v>983.67520829731336</v>
      </c>
      <c r="D23" s="47">
        <f xml:space="preserve"> (D21/(0.71 * $C$22)) * 1/'Input and Output'!E5^0.75</f>
        <v>983.67520829731336</v>
      </c>
      <c r="E23" s="47">
        <f xml:space="preserve"> (E21/(0.71 * $C$22)) * 1/'Input and Output'!F5^0.75</f>
        <v>983.67520829731336</v>
      </c>
      <c r="F23" s="47">
        <f xml:space="preserve"> (F21/(0.71 * $C$22)) * 1/'Input and Output'!G5^0.75</f>
        <v>983.67520829731313</v>
      </c>
      <c r="H23" s="17" t="s">
        <v>178</v>
      </c>
      <c r="I23" s="17" t="s">
        <v>123</v>
      </c>
      <c r="J23" s="17">
        <f>Calculations!C26*0.1</f>
        <v>0</v>
      </c>
      <c r="K23" s="17">
        <f>Calculations!D26*0.1</f>
        <v>2E-3</v>
      </c>
      <c r="L23" s="17">
        <f>Calculations!E26*0.1</f>
        <v>4.0000000000000001E-3</v>
      </c>
      <c r="M23" s="17" t="e">
        <f>Calculations!F26*0.1</f>
        <v>#N/A</v>
      </c>
    </row>
    <row r="24" spans="1:13" x14ac:dyDescent="0.4">
      <c r="A24" s="47" t="s">
        <v>118</v>
      </c>
      <c r="B24" s="47" t="s">
        <v>119</v>
      </c>
      <c r="C24" s="47" cm="1">
        <f t="array" ref="C24">_xlfn.IFS('Input and Output'!D7="Photosynthesis",0,'Input and Output'!D7="Detritus",0.2,'Input and Output'!D7="Herbivore",0.4,'Input and Output'!D7="Carnivore",0.8)</f>
        <v>0</v>
      </c>
      <c r="D24" s="47" cm="1">
        <f t="array" ref="D24">_xlfn.IFS('Input and Output'!E7="Photosynthesis",0,'Input and Output'!E7="Detritus",0.2,'Input and Output'!E7="Herbivore",0.4,'Input and Output'!E7="Carnivore",0.8)</f>
        <v>0.4</v>
      </c>
      <c r="E24" s="47" cm="1">
        <f t="array" ref="E24">_xlfn.IFS('Input and Output'!F7="Photosynthesis",0,'Input and Output'!F7="Detritus",0.2,'Input and Output'!F7="Herbivore",0.4,'Input and Output'!F7="Carnivore",0.8)</f>
        <v>0.8</v>
      </c>
      <c r="F24" s="47" cm="1">
        <f t="array" ref="F24">_xlfn.IFS('Input and Output'!G7="Photosynthesis",0,'Input and Output'!G7="Detritus",0.2,'Input and Output'!G7="Herbivore",0.4,'Input and Output'!G7="Carnivore",0.8)</f>
        <v>0.8</v>
      </c>
      <c r="H24" s="17" t="s">
        <v>179</v>
      </c>
      <c r="I24" s="17" t="s">
        <v>125</v>
      </c>
      <c r="J24" s="17">
        <f>Calculations!C27*0.1</f>
        <v>1E-3</v>
      </c>
      <c r="K24" s="17">
        <f>Calculations!D27*0.1</f>
        <v>1E-3</v>
      </c>
      <c r="L24" s="17">
        <f>Calculations!E27*0.1</f>
        <v>1E-3</v>
      </c>
      <c r="M24" s="17" t="e">
        <f>Calculations!F27*0.1</f>
        <v>#N/A</v>
      </c>
    </row>
    <row r="25" spans="1:13" x14ac:dyDescent="0.4">
      <c r="A25" s="47" t="s">
        <v>120</v>
      </c>
      <c r="B25" s="47" t="s">
        <v>121</v>
      </c>
      <c r="C25" s="47">
        <v>1.1E-5</v>
      </c>
      <c r="D25" s="47">
        <v>1.1E-5</v>
      </c>
      <c r="E25" s="47">
        <v>1.1E-5</v>
      </c>
      <c r="F25" s="47">
        <v>1.1E-5</v>
      </c>
      <c r="H25" s="17" t="s">
        <v>180</v>
      </c>
      <c r="I25" s="17" t="s">
        <v>127</v>
      </c>
      <c r="J25" s="17">
        <f>Calculations!C28*0.1</f>
        <v>4.0000000000000001E-3</v>
      </c>
      <c r="K25" s="17">
        <f>Calculations!D28*0.1</f>
        <v>1.3000000000000001E-2</v>
      </c>
      <c r="L25" s="17">
        <f>Calculations!E28*0.1</f>
        <v>1.7999999999999999E-2</v>
      </c>
      <c r="M25" s="17" t="e">
        <f>Calculations!F28*0.1</f>
        <v>#N/A</v>
      </c>
    </row>
    <row r="26" spans="1:13" x14ac:dyDescent="0.4">
      <c r="A26" s="47" t="s">
        <v>122</v>
      </c>
      <c r="B26" s="47" t="s">
        <v>123</v>
      </c>
      <c r="C26" s="47" cm="1">
        <f t="array" ref="C26">_xlfn.IFS('Input and Output'!D4="Algae",0,'Input and Output'!D4="Plants",0,'Input and Output'!D4="Worms",0.01,'Input and Output'!D4="Molluscs",0,'Input and Output'!D4="Arthropods",0.02,'Input and Output'!D4="Crustaceans",0.02,'Input and Output'!D4="Insects",0.02,'Input and Output'!D4="Fish",0.04,'Input and Output'!D4="Amphibians",0.04,'Input and Output'!D4="Birds",0.09,'Input and Output'!D4="mammals",0.09, 'Input and Output'!D4="Cnidaria",0.00002)</f>
        <v>0</v>
      </c>
      <c r="D26" s="47" cm="1">
        <f t="array" ref="D26">_xlfn.IFS('Input and Output'!E4="Algae",0,'Input and Output'!E4="Plants",0,'Input and Output'!E4="Worms",0.01,'Input and Output'!E4="Molluscs",0,'Input and Output'!E4="Arthropods",0.02,'Input and Output'!E4="Crustaceans",0.02,'Input and Output'!E4="Insects",0.02,'Input and Output'!E4="Fish",0.04,'Input and Output'!E4="Amphibians",0.04,'Input and Output'!E4="Birds",0.09,'Input and Output'!E4="mammals",0.09, 'Input and Output'!E4="Cnidaria",0.00002)</f>
        <v>0.02</v>
      </c>
      <c r="E26" s="47" cm="1">
        <f t="array" ref="E26">_xlfn.IFS('Input and Output'!F4="Algae",0,'Input and Output'!F4="Plants",0,'Input and Output'!F4="Worms",0.01,'Input and Output'!F4="Molluscs",0,'Input and Output'!F4="Arthropods",0.02,'Input and Output'!F4="Crustaceans",0.02,'Input and Output'!F4="Insects",0.02,'Input and Output'!F4="Fish",0.04,'Input and Output'!F4="Amphibians",0.04,'Input and Output'!F4="Birds",0.09,'Input and Output'!F4="mammals",0.09, 'Input and Output'!F4="Cnidaria",0.00002)</f>
        <v>0.04</v>
      </c>
      <c r="F26" s="47" t="e" cm="1">
        <f t="array" ref="F26">_xlfn.IFS('Input and Output'!G4="Algae",0,'Input and Output'!G4="Plants",0,'Input and Output'!G4="Worms",0.01,'Input and Output'!G4="Molluscs",0,'Input and Output'!G4="Arthropods",0.02,'Input and Output'!G4="Crustaceans",0.02,'Input and Output'!G4="Insects",0.02,'Input and Output'!G4="Fish",0.04,'Input and Output'!G4="Amphibians",0.04,'Input and Output'!G4="Birds",0.09,'Input and Output'!G4="mammals",0.09, 'Input and Output'!G4="Cnidaria",0.00002)</f>
        <v>#N/A</v>
      </c>
      <c r="H26" s="17" t="s">
        <v>181</v>
      </c>
      <c r="I26" s="17" t="s">
        <v>129</v>
      </c>
      <c r="J26" s="17">
        <f>1-SUM(J23:J25)</f>
        <v>0.995</v>
      </c>
      <c r="K26" s="17">
        <f>1-SUM(K23:K25)</f>
        <v>0.98399999999999999</v>
      </c>
      <c r="L26" s="17">
        <f>1-SUM(L23:L25)</f>
        <v>0.97699999999999998</v>
      </c>
      <c r="M26" s="17" t="e">
        <f>1-SUM(M23:M25)</f>
        <v>#N/A</v>
      </c>
    </row>
    <row r="27" spans="1:13" x14ac:dyDescent="0.4">
      <c r="A27" s="47" t="s">
        <v>124</v>
      </c>
      <c r="B27" s="47" t="s">
        <v>125</v>
      </c>
      <c r="C27" s="47" cm="1">
        <f t="array" ref="C27">_xlfn.IFS('Input and Output'!D4="Algae",0.01,'Input and Output'!D4="Plants",0.01,'Input and Output'!D4="Worms",0.01,'Input and Output'!D4="Molluscs",0.01,'Input and Output'!D4="Arthropods",0.01,'Input and Output'!D4="Crustaceans",0.01,'Input and Output'!D4="Insects",0.01,'Input and Output'!D4="Fish",0.01,'Input and Output'!D4="Amphibians",0.01,'Input and Output'!D4="Birds",0.01,'Input and Output'!D4="Mammals",0.01,'Input and Output'!D4="Cnidaria",0.00028)</f>
        <v>0.01</v>
      </c>
      <c r="D27" s="47" cm="1">
        <f t="array" ref="D27">_xlfn.IFS('Input and Output'!E4="Algae",0.01,'Input and Output'!E4="Plants",0.01,'Input and Output'!E4="Worms",0.01,'Input and Output'!E4="Molluscs",0.01,'Input and Output'!E4="Arthropods",0.01,'Input and Output'!E4="Crustaceans",0.01,'Input and Output'!E4="Insects",0.01,'Input and Output'!E4="Fish",0.01,'Input and Output'!E4="Amphibians",0.01,'Input and Output'!E4="Birds",0.01,'Input and Output'!E4="Mammals",0.01,'Input and Output'!E4="Cnidaria",0.00028)</f>
        <v>0.01</v>
      </c>
      <c r="E27" s="47" cm="1">
        <f t="array" ref="E27">_xlfn.IFS('Input and Output'!F4="Algae",0.01,'Input and Output'!F4="Plants",0.01,'Input and Output'!F4="Worms",0.01,'Input and Output'!F4="Molluscs",0.01,'Input and Output'!F4="Arthropods",0.01,'Input and Output'!F4="Crustaceans",0.01,'Input and Output'!F4="Insects",0.01,'Input and Output'!F4="Fish",0.01,'Input and Output'!F4="Amphibians",0.01,'Input and Output'!F4="Birds",0.01,'Input and Output'!F4="Mammals",0.01,'Input and Output'!F4="Cnidaria",0.00028)</f>
        <v>0.01</v>
      </c>
      <c r="F27" s="47" t="e" cm="1">
        <f t="array" ref="F27">_xlfn.IFS('Input and Output'!G4="Algae",0.01,'Input and Output'!G4="Plants",0.01,'Input and Output'!G4="Worms",0.01,'Input and Output'!G4="Molluscs",0.01,'Input and Output'!G4="Arthropods",0.01,'Input and Output'!G4="Crustaceans",0.01,'Input and Output'!G4="Insects",0.01,'Input and Output'!G4="Fish",0.01,'Input and Output'!G4="Amphibians",0.01,'Input and Output'!G4="Birds",0.01,'Input and Output'!G4="Mammals",0.01,'Input and Output'!G4="Cnidaria",0.00028)</f>
        <v>#N/A</v>
      </c>
      <c r="H27" s="17" t="s">
        <v>182</v>
      </c>
      <c r="I27" s="17" t="s">
        <v>183</v>
      </c>
      <c r="J27" s="17">
        <f xml:space="preserve"> 1 / ( 1 + (Calculations!C37*(J25*0.7)) + (Calculations!C38*(J25*0.3)) + (Calculations!C34*(J23+J24)) )</f>
        <v>1.9348540183655491E-2</v>
      </c>
      <c r="K27" s="17">
        <f xml:space="preserve"> 1 / ( 1 + (Calculations!D37*(K25*0.7)) + (Calculations!D38*(K25*0.3)) + (Calculations!D34*(K23+K24)) )</f>
        <v>6.5212286986228917E-3</v>
      </c>
      <c r="L27" s="17">
        <f xml:space="preserve"> 1 / ( 1 + (Calculations!E37*(L25*0.7)) + (Calculations!E38*(L25*0.3)) + (Calculations!E34*(L23+L24)) )</f>
        <v>3.9396807678873024E-3</v>
      </c>
      <c r="M27" s="17" t="e">
        <f xml:space="preserve"> 1 / ( 1 + (Calculations!F37*(M25*0.7)) + (Calculations!F38*(M25*0.3)) + (Calculations!F34*(M23+M24)) )</f>
        <v>#N/A</v>
      </c>
    </row>
    <row r="28" spans="1:13" x14ac:dyDescent="0.4">
      <c r="A28" s="47" t="s">
        <v>126</v>
      </c>
      <c r="B28" s="47" t="s">
        <v>127</v>
      </c>
      <c r="C28" s="47" cm="1">
        <f t="array" ref="C28">_xlfn.IFS('Input and Output'!D4="Algae",0.04,'Input and Output'!D4="Plants",0.04,'Input and Output'!D4="worms",0.1,'Input and Output'!D4="Molluscs",0.1,'Input and Output'!D4="Arthropods",0.13,'Input and Output'!D4="Insects",0.13,'Input and Output'!D4="crustaceans",0.13,'Input and Output'!D4="Fish",0.18,'Input and Output'!D4="Amphibians",0.18,'Input and Output'!D4="Birds",0.21,'Input and Output'!D4="Mammals",0.21,'Input and Output'!D4="Cnidaria",0.0024)</f>
        <v>0.04</v>
      </c>
      <c r="D28" s="47" cm="1">
        <f t="array" ref="D28">_xlfn.IFS('Input and Output'!E4="Algae",0.04,'Input and Output'!E4="Plants",0.04,'Input and Output'!E4="worms",0.1,'Input and Output'!E4="Molluscs",0.1,'Input and Output'!E4="Arthropods",0.13,'Input and Output'!E4="Insects",0.13,'Input and Output'!E4="crustaceans",0.13,'Input and Output'!E4="Fish",0.18,'Input and Output'!E4="Amphibians",0.18,'Input and Output'!E4="Birds",0.21,'Input and Output'!E4="Mammals",0.21,'Input and Output'!E4="Cnidaria",0.0024)</f>
        <v>0.13</v>
      </c>
      <c r="E28" s="47" cm="1">
        <f t="array" ref="E28">_xlfn.IFS('Input and Output'!F4="Algae",0.04,'Input and Output'!F4="Plants",0.04,'Input and Output'!F4="worms",0.1,'Input and Output'!F4="Molluscs",0.1,'Input and Output'!F4="Arthropods",0.13,'Input and Output'!F4="Insects",0.13,'Input and Output'!F4="crustaceans",0.13,'Input and Output'!F4="Fish",0.18,'Input and Output'!F4="Amphibians",0.18,'Input and Output'!F4="Birds",0.21,'Input and Output'!F4="Mammals",0.21,'Input and Output'!F4="Cnidaria",0.0024)</f>
        <v>0.18</v>
      </c>
      <c r="F28" s="47" t="e" cm="1">
        <f t="array" ref="F28">_xlfn.IFS('Input and Output'!G4="Algae",0.04,'Input and Output'!G4="Plants",0.04,'Input and Output'!G4="worms",0.1,'Input and Output'!G4="Molluscs",0.1,'Input and Output'!G4="Arthropods",0.13,'Input and Output'!G4="Insects",0.13,'Input and Output'!G4="crustaceans",0.13,'Input and Output'!G4="Fish",0.18,'Input and Output'!G4="Amphibians",0.18,'Input and Output'!G4="Birds",0.21,'Input and Output'!G4="Mammals",0.21,'Input and Output'!G4="Cnidaria",0.0024)</f>
        <v>#N/A</v>
      </c>
      <c r="H28" s="17" t="s">
        <v>184</v>
      </c>
      <c r="I28" s="17" t="s">
        <v>185</v>
      </c>
      <c r="J28" s="17">
        <f>Calculations!C43/(J26+J25*Calculations!C40+(J24+J23)*Calculations!C34)</f>
        <v>1.9321260526429307</v>
      </c>
      <c r="K28" s="17">
        <f>Calculations!D43/(K26+K25*Calculations!D40+(K24+K23)*Calculations!D34)</f>
        <v>7.4976462988171555</v>
      </c>
      <c r="L28" s="17">
        <f>Calculations!E43/(L26+L25*Calculations!E40+(L24+L23)*Calculations!E34)</f>
        <v>8.5688587750196117</v>
      </c>
      <c r="M28" s="17" t="e">
        <f>Calculations!F43/(M26+M25*Calculations!F40+(M24+M23)*Calculations!F34)</f>
        <v>#N/A</v>
      </c>
    </row>
    <row r="29" spans="1:13" x14ac:dyDescent="0.4">
      <c r="A29" s="47" t="s">
        <v>128</v>
      </c>
      <c r="B29" s="47" t="s">
        <v>129</v>
      </c>
      <c r="C29" s="47" cm="1">
        <f t="array" ref="C29">_xlfn.IFS('Input and Output'!D4="Algae",0.9,'Input and Output'!D4="Plants",0.8,'Input and Output'!D4="worms",0.85,'Input and Output'!D4="Molluscs",0.85,'Input and Output'!D4="Arthropods",0.8,'Input and Output'!D4="Crustaceans",0.8,'Input and Output'!D4="Insects",0.8,'Input and Output'!D4="Fish",0.75,'Input and Output'!D4="Amphibians",0.75,'Input and Output'!D4="Birds",0.67,'Input and Output'!D4="Mammals",0.67, 'Input and Output'!D4="Cnidaria",0.96)</f>
        <v>0.8</v>
      </c>
      <c r="D29" s="47" cm="1">
        <f t="array" ref="D29">_xlfn.IFS('Input and Output'!E4="Algae",0.9,'Input and Output'!E4="Plants",0.8,'Input and Output'!E4="worms",0.85,'Input and Output'!E4="Molluscs",0.85,'Input and Output'!E4="Arthropods",0.8,'Input and Output'!E4="Crustaceans",0.8,'Input and Output'!E4="Insects",0.8,'Input and Output'!E4="Fish",0.75,'Input and Output'!E4="Amphibians",0.75,'Input and Output'!E4="Birds",0.67,'Input and Output'!E4="Mammals",0.67, 'Input and Output'!E4="Cnidaria",0.96)</f>
        <v>0.8</v>
      </c>
      <c r="E29" s="47" cm="1">
        <f t="array" ref="E29">_xlfn.IFS('Input and Output'!F4="Algae",0.9,'Input and Output'!F4="Plants",0.8,'Input and Output'!F4="worms",0.85,'Input and Output'!F4="Molluscs",0.85,'Input and Output'!F4="Arthropods",0.8,'Input and Output'!F4="Crustaceans",0.8,'Input and Output'!F4="Insects",0.8,'Input and Output'!F4="Fish",0.75,'Input and Output'!F4="Amphibians",0.75,'Input and Output'!F4="Birds",0.67,'Input and Output'!F4="Mammals",0.67, 'Input and Output'!F4="Cnidaria",0.96)</f>
        <v>0.75</v>
      </c>
      <c r="F29" s="47" t="e" cm="1">
        <f t="array" ref="F29">_xlfn.IFS('Input and Output'!G4="Algae",0.9,'Input and Output'!G4="Plants",0.8,'Input and Output'!G4="worms",0.85,'Input and Output'!G4="Molluscs",0.85,'Input and Output'!G4="Arthropods",0.8,'Input and Output'!G4="Crustaceans",0.8,'Input and Output'!G4="Insects",0.8,'Input and Output'!G4="Fish",0.75,'Input and Output'!G4="Amphibians",0.75,'Input and Output'!G4="Birds",0.67,'Input and Output'!G4="Mammals",0.67, 'Input and Output'!G4="Cnidaria",0.96)</f>
        <v>#N/A</v>
      </c>
      <c r="H29" s="17" t="s">
        <v>186</v>
      </c>
      <c r="I29" s="17" t="s">
        <v>187</v>
      </c>
      <c r="J29" s="17" t="str" cm="1">
        <f t="array" ref="J29">IFERROR(_xlfn.IFS('Input and Output'!D4="Birds",7,'Input and Output'!D4="Mammals",6.5,'Input and Output'!D4="Worms",7),"-")</f>
        <v>-</v>
      </c>
      <c r="K29" s="17" t="str" cm="1">
        <f t="array" ref="K29">IFERROR(_xlfn.IFS('Input and Output'!E4="Birds",7,'Input and Output'!E4="Mammals",6.5),"-")</f>
        <v>-</v>
      </c>
      <c r="L29" s="17" t="str" cm="1">
        <f t="array" ref="L29">IFERROR(_xlfn.IFS('Input and Output'!F4="Birds",7,'Input and Output'!F4="Mammals",6.5),"-")</f>
        <v>-</v>
      </c>
      <c r="M29" s="17" t="str" cm="1">
        <f t="array" ref="M29">IFERROR(_xlfn.IFS('Input and Output'!G4="Birds",7,'Input and Output'!G4="Mammals",6.5),"-")</f>
        <v>-</v>
      </c>
    </row>
    <row r="30" spans="1:13" x14ac:dyDescent="0.4">
      <c r="A30" s="47" t="s">
        <v>130</v>
      </c>
      <c r="B30" s="47" t="s">
        <v>131</v>
      </c>
      <c r="C30" s="47" cm="1">
        <f t="array" ref="C30">IF(SUM(B26:B27)&gt;=0,_xlfn.IFS('Input and Output'!D7="Photosynthesis",0,'Input and Output'!D7="Detritus",0.01,'Input and Output'!D7="Herbivore",0.01,'Input and Output'!D7="Carnivore",0.05))</f>
        <v>0</v>
      </c>
      <c r="D30" s="47" cm="1">
        <f t="array" ref="D30">IF(SUM(C26:C27)&gt;=0,_xlfn.IFS('Input and Output'!E7="Photosynthesis",0,'Input and Output'!E7="Detritus",0.01,'Input and Output'!E7="Herbivore",0.01,'Input and Output'!E7="Carnivore",0.05))</f>
        <v>0.01</v>
      </c>
      <c r="E30" s="47" cm="1">
        <f t="array" ref="E30">IF(SUM(D26:D27)&gt;=0,_xlfn.IFS('Input and Output'!F7="Photosynthesis",0,'Input and Output'!F7="Detritus",0.01,'Input and Output'!F7="Herbivore",0.01,'Input and Output'!F7="Carnivore",0.05))</f>
        <v>0.05</v>
      </c>
      <c r="F30" s="47" cm="1">
        <f t="array" ref="F30">IF(SUM(E26:E27)&gt;=0,_xlfn.IFS('Input and Output'!G7="Photosynthesis",0,'Input and Output'!G7="Detritus",0.01,'Input and Output'!G7="Herbivore",0.01,'Input and Output'!G7="Carnivore",0.05))</f>
        <v>0.05</v>
      </c>
      <c r="H30" s="17" t="s">
        <v>188</v>
      </c>
      <c r="I30" s="17" t="s">
        <v>189</v>
      </c>
      <c r="J30" s="17" t="str">
        <f>IFERROR(IF('Input and Output'!$D12="Acidic", 1/(1+10^(J29 - 'Input and Output'!$B7)),
 IF('Input and Output'!$D12="Basic", 1/(1+10^('Input and Output'!$B7 - J29)),
 1)),"-")</f>
        <v>-</v>
      </c>
      <c r="K30" s="17" t="str">
        <f>IFERROR(IF('Input and Output'!$D12="Acidic", 1/(1+10^(K29 - 'Input and Output'!$B7)),
 IF('Input and Output'!$D12="Basic", 1/(1+10^('Input and Output'!$B7 - K29)),
 1)),"-")</f>
        <v>-</v>
      </c>
      <c r="L30" s="17" t="str">
        <f>IFERROR(IF('Input and Output'!$D12="Acidic", 1/(1+10^(L29 - 'Input and Output'!$B7)),
 IF('Input and Output'!$D12="Basic", 1/(1+10^('Input and Output'!$B7 - L29)),
 1)),"-")</f>
        <v>-</v>
      </c>
      <c r="M30" s="17" t="str">
        <f>IFERROR(IF('Input and Output'!$D12="Acidic", 1/(1+10^(M29 - 'Input and Output'!$B7)),
 IF('Input and Output'!$D12="Basic", 1/(1+10^('Input and Output'!$B7 - M29)),
 1)),"-")</f>
        <v>-</v>
      </c>
    </row>
    <row r="31" spans="1:13" x14ac:dyDescent="0.4">
      <c r="A31" s="47" t="s">
        <v>132</v>
      </c>
      <c r="B31" s="47" t="s">
        <v>133</v>
      </c>
      <c r="C31" s="47">
        <v>7.5000000000000002E-4</v>
      </c>
      <c r="D31" s="47">
        <v>7.5000000000000002E-4</v>
      </c>
      <c r="E31" s="47">
        <v>7.5000000000000002E-4</v>
      </c>
      <c r="F31" s="47">
        <v>7.5000000000000002E-4</v>
      </c>
      <c r="H31" s="17" t="s">
        <v>190</v>
      </c>
      <c r="I31" s="17" t="s">
        <v>191</v>
      </c>
      <c r="J31" s="17" t="str">
        <f xml:space="preserve"> IFERROR(J30 * (10^#REF!) + (1-J30) * (IF(ISBLANK(#REF!),(10^#REF!),10^#REF!)),"-")</f>
        <v>-</v>
      </c>
      <c r="K31" s="17" t="str">
        <f xml:space="preserve"> IFERROR(K30 * (10^#REF!) + (1-K30) * (IF(ISBLANK(#REF!),(10^#REF!),10^#REF!)),"-")</f>
        <v>-</v>
      </c>
      <c r="L31" s="17" t="str">
        <f xml:space="preserve"> IFERROR(L30 * (10^#REF!) + (1-L30) * (IF(ISBLANK(#REF!),(10^#REF!),10^#REF!)),"-")</f>
        <v>-</v>
      </c>
      <c r="M31" s="17" t="str">
        <f xml:space="preserve"> IFERROR(M30 * (10^#REF!) + (1-M30) * (IF(ISBLANK(#REF!),(10^#REF!),10^#REF!)),"-")</f>
        <v>-</v>
      </c>
    </row>
    <row r="32" spans="1:13" x14ac:dyDescent="0.4">
      <c r="A32" s="47" t="s">
        <v>134</v>
      </c>
      <c r="B32" s="47" t="s">
        <v>135</v>
      </c>
      <c r="C32" s="47">
        <f xml:space="preserve"> IFERROR((C13 * C31) / (C14 * C24),0)</f>
        <v>0</v>
      </c>
      <c r="D32" s="47">
        <f xml:space="preserve"> (D13 * D31) / (D14 * D24)</f>
        <v>7.4999999999999997E-3</v>
      </c>
      <c r="E32" s="47">
        <f xml:space="preserve"> (E13 * E31) / (E14 * E24)</f>
        <v>9.3749999999999979E-3</v>
      </c>
      <c r="F32" s="47">
        <f xml:space="preserve"> (F13 * F31) / (F14 * F24)</f>
        <v>4.6875E-2</v>
      </c>
      <c r="H32" s="17" t="s">
        <v>192</v>
      </c>
      <c r="I32" s="17" t="s">
        <v>193</v>
      </c>
      <c r="J32" s="17" t="str">
        <f>IFERROR(J30*(1/(1+10^-(LOG10(J31)-1))),"-")</f>
        <v>-</v>
      </c>
      <c r="K32" s="17" t="str">
        <f t="shared" ref="K32:M32" si="0">IFERROR(K30*(1/(1+10^-(LOG10(K31)-1))),"-")</f>
        <v>-</v>
      </c>
      <c r="L32" s="17" t="str">
        <f t="shared" si="0"/>
        <v>-</v>
      </c>
      <c r="M32" s="17" t="str">
        <f t="shared" si="0"/>
        <v>-</v>
      </c>
    </row>
    <row r="33" spans="1:6" x14ac:dyDescent="0.4">
      <c r="A33" s="47" t="s">
        <v>136</v>
      </c>
      <c r="B33" s="47" t="s">
        <v>137</v>
      </c>
      <c r="C33" s="47">
        <v>5.9999999999999995E-4</v>
      </c>
      <c r="D33" s="47">
        <v>5.9999999999999995E-4</v>
      </c>
      <c r="E33" s="47">
        <v>5.9999999999999995E-4</v>
      </c>
      <c r="F33" s="47">
        <v>5.9999999999999995E-4</v>
      </c>
    </row>
    <row r="34" spans="1:6" x14ac:dyDescent="0.4">
      <c r="A34" s="47" t="s">
        <v>138</v>
      </c>
      <c r="B34" s="47" t="s">
        <v>139</v>
      </c>
      <c r="C34" s="47">
        <f>C18</f>
        <v>49503.973801805849</v>
      </c>
      <c r="D34" s="47">
        <f>D18</f>
        <v>49503.973801805849</v>
      </c>
      <c r="E34" s="47">
        <f>E18</f>
        <v>49503.973801805849</v>
      </c>
      <c r="F34" s="47">
        <f>F18</f>
        <v>49503.973801805849</v>
      </c>
    </row>
    <row r="35" spans="1:6" x14ac:dyDescent="0.4">
      <c r="A35" s="47" t="s">
        <v>140</v>
      </c>
      <c r="B35" s="47" t="s">
        <v>141</v>
      </c>
      <c r="C35" s="47">
        <f>2*C18^0.63</f>
        <v>1814.0666314482114</v>
      </c>
      <c r="D35" s="47">
        <f>2*D18^0.63</f>
        <v>1814.0666314482114</v>
      </c>
      <c r="E35" s="47">
        <f>2*E18^0.63</f>
        <v>1814.0666314482114</v>
      </c>
      <c r="F35" s="47">
        <f>2*F18^0.63</f>
        <v>1814.0666314482114</v>
      </c>
    </row>
    <row r="36" spans="1:6" x14ac:dyDescent="0.4">
      <c r="A36" s="47" t="s">
        <v>140</v>
      </c>
      <c r="B36" s="47" t="s">
        <v>142</v>
      </c>
      <c r="C36" s="47">
        <f>10^(0.44+0.99*Calculations!F3-0.69*Calculations!F4-0.19*Calculations!F5-2.82*Calculations!F6+2.83*Calculations!F7-1.14*Calculations!F8+2.95*Calculations!F9)</f>
        <v>8192.9253916021662</v>
      </c>
      <c r="D36" s="47">
        <f>10^(0.44+0.99*Calculations!F3-0.69*Calculations!F4-0.19*Calculations!F5-2.82*Calculations!F6+2.83*Calculations!F7-1.14*Calculations!F8+2.95*Calculations!F9)</f>
        <v>8192.9253916021662</v>
      </c>
      <c r="E36" s="47">
        <f>10^(0.44+0.99*Calculations!F3-0.69*Calculations!F4-0.19*Calculations!F5-2.82*Calculations!F6+2.83*Calculations!F7-1.14*Calculations!F8+2.95*Calculations!F9)</f>
        <v>8192.9253916021662</v>
      </c>
      <c r="F36" s="47">
        <f>10^(0.44+0.99*Calculations!F3-0.69*Calculations!F4-0.19*Calculations!F5-2.82*Calculations!F6+2.83*Calculations!F7-1.14*Calculations!F8+2.95*Calculations!F9)</f>
        <v>8192.9253916021662</v>
      </c>
    </row>
    <row r="37" spans="1:6" x14ac:dyDescent="0.4">
      <c r="A37" s="47" t="s">
        <v>143</v>
      </c>
      <c r="B37" s="47" t="s">
        <v>144</v>
      </c>
      <c r="C37" s="47">
        <f xml:space="preserve"> 10^(0.85+0.63*Calculations!F3-0.63*Calculations!F4-0.05*Calculations!F5-2.08*Calculations!F6+2.06*Calculations!F7-1.16*Calculations!F8+3.13*Calculations!F9)</f>
        <v>261.07627042233327</v>
      </c>
      <c r="D37" s="47">
        <f xml:space="preserve"> 10^(0.85+0.63*Calculations!F3-0.63*Calculations!F4-0.05*Calculations!F5-2.08*Calculations!F6+2.06*Calculations!F7-1.16*Calculations!F8+3.13*Calculations!F9)</f>
        <v>261.07627042233327</v>
      </c>
      <c r="E37" s="47">
        <f xml:space="preserve"> 10^(0.85+0.63*Calculations!F3-0.63*Calculations!F4-0.05*Calculations!F5-2.08*Calculations!F6+2.06*Calculations!F7-1.16*Calculations!F8+3.13*Calculations!F9)</f>
        <v>261.07627042233327</v>
      </c>
      <c r="F37" s="47">
        <f xml:space="preserve"> 10^(0.85+0.63*Calculations!F3-0.63*Calculations!F4-0.05*Calculations!F5-2.08*Calculations!F6+2.06*Calculations!F7-1.16*Calculations!F8+3.13*Calculations!F9)</f>
        <v>261.07627042233327</v>
      </c>
    </row>
    <row r="38" spans="1:6" x14ac:dyDescent="0.4">
      <c r="A38" s="47" t="s">
        <v>145</v>
      </c>
      <c r="B38" s="47" t="s">
        <v>146</v>
      </c>
      <c r="C38" s="47">
        <f xml:space="preserve"> 10^(-0.24+0.68*Calculations!F3-0.76*Calculations!F4-0.2*Calculations!F5-2.29*Calculations!F6+2.51*Calculations!F7-0.68*Calculations!F8+2.89*Calculations!F9)</f>
        <v>373.74862190992962</v>
      </c>
      <c r="D38" s="47">
        <f xml:space="preserve"> 10^(-0.24+0.68*Calculations!F3-0.76*Calculations!F4-0.2*Calculations!F5-2.29*Calculations!F6+2.51*Calculations!F7-0.68*Calculations!F8+2.89*Calculations!F9)</f>
        <v>373.74862190992962</v>
      </c>
      <c r="E38" s="47">
        <f xml:space="preserve"> 10^(-0.24+0.68*Calculations!F3-0.76*Calculations!F4-0.2*Calculations!F5-2.29*Calculations!F6+2.51*Calculations!F7-0.68*Calculations!F8+2.89*Calculations!F9)</f>
        <v>373.74862190992962</v>
      </c>
      <c r="F38" s="47">
        <f xml:space="preserve"> 10^(-0.24+0.68*Calculations!F3-0.76*Calculations!F4-0.2*Calculations!F5-2.29*Calculations!F6+2.51*Calculations!F7-0.68*Calculations!F8+2.89*Calculations!F9)</f>
        <v>373.74862190992962</v>
      </c>
    </row>
    <row r="39" spans="1:6" x14ac:dyDescent="0.4">
      <c r="A39" s="47" t="s">
        <v>147</v>
      </c>
      <c r="B39" s="47" t="s">
        <v>148</v>
      </c>
      <c r="C39" s="47">
        <f>(10^'Input and Output'!$B4)^0.63</f>
        <v>1832.9389496406238</v>
      </c>
      <c r="D39" s="47">
        <f>(10^'Input and Output'!$B4)^0.63</f>
        <v>1832.9389496406238</v>
      </c>
      <c r="E39" s="47">
        <f>(10^'Input and Output'!$B4)^0.63</f>
        <v>1832.9389496406238</v>
      </c>
      <c r="F39" s="47">
        <f>(10^'Input and Output'!$B4)^0.63</f>
        <v>1832.9389496406238</v>
      </c>
    </row>
    <row r="40" spans="1:6" x14ac:dyDescent="0.4">
      <c r="A40" s="47" t="s">
        <v>149</v>
      </c>
      <c r="B40" s="47" t="s">
        <v>150</v>
      </c>
      <c r="C40" s="47">
        <f xml:space="preserve"> 0.85 + 0.63 * Calculations!F3 - 0.63 * Calculations!F4- 0.05 * Calculations!F5 - 2.08 * Calculations!F6 + 2.06 * Calculations!F7 - 1.16 * Calculations!F8 + 3.13 * Calculations!F9</f>
        <v>2.4167674000000008</v>
      </c>
      <c r="D40" s="47">
        <f xml:space="preserve"> 0.85 + 0.63 * Calculations!F3 - 0.63 * Calculations!F4- 0.05 * Calculations!F5 - 2.08 * Calculations!F6 + 2.06 * Calculations!F7 - 1.16 * Calculations!F8 + 3.13 * Calculations!F9</f>
        <v>2.4167674000000008</v>
      </c>
      <c r="E40" s="47">
        <f xml:space="preserve"> 0.85 + 0.63 * Calculations!F3 - 0.63 * Calculations!F4- 0.05 * Calculations!F5 - 2.08 * Calculations!F6 + 2.06 * Calculations!F7 - 1.16 * Calculations!F8 + 3.13 * Calculations!F9</f>
        <v>2.4167674000000008</v>
      </c>
      <c r="F40" s="47">
        <f xml:space="preserve"> 0.85 + 0.63 * Calculations!F3 - 0.63 * Calculations!F4- 0.05 * Calculations!F5 - 2.08 * Calculations!F6 + 2.06 * Calculations!F7 - 1.16 * Calculations!F8 + 3.13 * Calculations!F9</f>
        <v>2.4167674000000008</v>
      </c>
    </row>
    <row r="41" spans="1:6" x14ac:dyDescent="0.4">
      <c r="A41" s="47" t="s">
        <v>151</v>
      </c>
      <c r="B41" s="47" t="s">
        <v>152</v>
      </c>
      <c r="C41" s="47">
        <f xml:space="preserve"> -0.24 + 0.68 * Calculations!F3 - 0.76 * Calculations!F4- 0.2 * Calculations!F5 - 2.29 * Calculations!F6 + 2.51 * Calculations!F7 - 0.68 * Calculations!F8 + 2.89 * Calculations!F9</f>
        <v>2.5725796000000001</v>
      </c>
      <c r="D41" s="47">
        <f xml:space="preserve"> -0.24 + 0.68 * Calculations!F3 - 0.76 * Calculations!F4- 0.2 * Calculations!F5 - 2.29 * Calculations!F6 + 2.51 * Calculations!F7 - 0.68 * Calculations!F8 + 2.89 * Calculations!F9</f>
        <v>2.5725796000000001</v>
      </c>
      <c r="E41" s="47">
        <f xml:space="preserve"> -0.24 + 0.68 * Calculations!F3 - 0.76 * Calculations!F4- 0.2 * Calculations!F5 - 2.29 * Calculations!F6 + 2.51 * Calculations!F7 - 0.68 * Calculations!F8 + 2.89 * Calculations!F9</f>
        <v>2.5725796000000001</v>
      </c>
      <c r="F41" s="47">
        <f xml:space="preserve"> -0.24 + 0.68 * Calculations!F3 - 0.76 * Calculations!F4- 0.2 * Calculations!F5 - 2.29 * Calculations!F6 + 2.51 * Calculations!F7 - 0.68 * Calculations!F8 + 2.89 * Calculations!F9</f>
        <v>2.5725796000000001</v>
      </c>
    </row>
    <row r="42" spans="1:6" x14ac:dyDescent="0.4">
      <c r="A42" s="47" t="s">
        <v>153</v>
      </c>
      <c r="B42" s="47" t="s">
        <v>154</v>
      </c>
      <c r="C42" s="47">
        <f>C26* C34 + C27 * C35 + C28 * C39 + C29</f>
        <v>92.258224300107074</v>
      </c>
      <c r="D42" s="47">
        <f>D26* D34 + D27 * D35 + D28 * D39 + D29</f>
        <v>1247.30220580388</v>
      </c>
      <c r="E42" s="47">
        <f>E26* E34 + E27 * E35 + E28 * E39 + E29</f>
        <v>2328.9786293220282</v>
      </c>
      <c r="F42" s="47" t="e">
        <f>F26* F34 + F27 * F35 + F28 * F39 + F29</f>
        <v>#N/A</v>
      </c>
    </row>
    <row r="43" spans="1:6" x14ac:dyDescent="0.4">
      <c r="A43" s="47" t="s">
        <v>155</v>
      </c>
      <c r="B43" s="47" t="s">
        <v>156</v>
      </c>
      <c r="C43" s="47">
        <f>IF(OR('Input and Output'!$D$12="Neutral",'Input and Output'!$D$14="-"),C42,(C26*C34+C27*C36+0.02*C28*C37+0.98*C28*C38+C29))</f>
        <v>97.589060911228771</v>
      </c>
      <c r="D43" s="47">
        <f>IF(OR('Input and Output'!$D$12="Neutral",'Input and Output'!$G$12="-"),D42,(D26*D34+D27*D36+0.02*D28*D37+0.98*D28*D38+D29))</f>
        <v>1121.1031026865617</v>
      </c>
      <c r="E43" s="47">
        <f>IF(OR('Input and Output'!$D$12="Neutral",'Input and Output'!$G$12="-"),E42,(E26*E34+E27*E36+0.02*E28*E37+0.98*E28*E38+E29))</f>
        <v>2129.7073374666875</v>
      </c>
      <c r="F43" s="47" t="e">
        <f>IF(OR('Input and Output'!$D$12="Neutral",'Input and Output'!$G$12="-"),F42,(F26*F34+F27*F36+0.02*F28*F37+0.98*F28*F38+F29))</f>
        <v>#N/A</v>
      </c>
    </row>
  </sheetData>
  <mergeCells count="4">
    <mergeCell ref="A1:C1"/>
    <mergeCell ref="E1:K1"/>
    <mergeCell ref="A11:F11"/>
    <mergeCell ref="H11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2EBC-00DA-462E-A392-56B835FA0262}">
  <dimension ref="A1:K1003"/>
  <sheetViews>
    <sheetView topLeftCell="A309" workbookViewId="0">
      <selection activeCell="D1011" sqref="D1011"/>
    </sheetView>
  </sheetViews>
  <sheetFormatPr defaultRowHeight="14.6" x14ac:dyDescent="0.4"/>
  <sheetData>
    <row r="1" spans="1:11" x14ac:dyDescent="0.4">
      <c r="A1" s="51" t="s">
        <v>9</v>
      </c>
      <c r="B1" s="52" cm="1">
        <f t="array" ref="B1">_xlfn.IFS('Input and Output'!$F$14="Seconds",86400,'Input and Output'!$F$14="Minuites",1440,'Input and Output'!$F$14="Hours",24,'Input and Output'!$F$14="Days",1)*'Input and Output'!F15</f>
        <v>24</v>
      </c>
      <c r="C1" s="54" t="s">
        <v>5</v>
      </c>
      <c r="D1" s="55"/>
      <c r="E1" s="55"/>
      <c r="F1" s="55"/>
      <c r="H1" s="50" t="s">
        <v>6</v>
      </c>
      <c r="I1" s="50"/>
      <c r="J1" s="50"/>
      <c r="K1" s="50"/>
    </row>
    <row r="2" spans="1:11" x14ac:dyDescent="0.4">
      <c r="A2" s="56"/>
      <c r="B2" s="53" t="s">
        <v>10</v>
      </c>
      <c r="C2" s="53" t="str">
        <f>'Input and Output'!D4</f>
        <v>Plants</v>
      </c>
      <c r="D2" s="53" t="str">
        <f>'Input and Output'!E4</f>
        <v>Crustaceans</v>
      </c>
      <c r="E2" s="53" t="str">
        <f>'Input and Output'!F4</f>
        <v>Fish</v>
      </c>
      <c r="F2" s="53" t="str">
        <f>'Input and Output'!G4</f>
        <v>None</v>
      </c>
      <c r="H2" s="56" t="str">
        <f>IF(C2= "None","",C2)</f>
        <v>Plants</v>
      </c>
      <c r="I2" s="56" t="str">
        <f>IF(D2= "None","",D2)</f>
        <v>Crustaceans</v>
      </c>
      <c r="J2" s="56" t="str">
        <f>IF(E2= "None","",E2)</f>
        <v>Fish</v>
      </c>
      <c r="K2" s="56" t="str">
        <f>IF(F2= "None","",F2)</f>
        <v/>
      </c>
    </row>
    <row r="3" spans="1:11" x14ac:dyDescent="0.4">
      <c r="A3" s="49"/>
      <c r="B3" s="49">
        <v>0</v>
      </c>
      <c r="C3" s="49">
        <f xml:space="preserve"> (('Input and Output'!B$23*'Input and Output'!$B$10)+('Input and Output'!B$24*Calculations!$C$5)+('Input and Output'!B$25*Calculations!$C$6)+('Input and Output'!B$26*0))-(SUM('Input and Output'!B$27:B$32)*0)</f>
        <v>312.83649321389072</v>
      </c>
      <c r="D3" s="49">
        <f xml:space="preserve"> (('Input and Output'!C$23*'Input and Output'!$B$10)+('Input and Output'!C$24*Calculations!$C$5)+('Input and Output'!C$25*Calculations!$C$6)+('Input and Output'!C$26*0))-(SUM('Input and Output'!C$27:C$32)*0)</f>
        <v>3279.2143140922235</v>
      </c>
      <c r="E3" s="49">
        <f xml:space="preserve"> (('Input and Output'!D$23*'Input and Output'!$B$10)+('Input and Output'!D$24*Calculations!$C$5)+('Input and Output'!D$25*Calculations!$C$6)+('Input and Output'!D$26*0))-(SUM('Input and Output'!D$27:D$32)*0)</f>
        <v>3641.0839982450016</v>
      </c>
      <c r="F3" s="49">
        <f xml:space="preserve"> (('Input and Output'!E$23*'Input and Output'!$B$10)+('Input and Output'!E$24*Calculations!$C$5)+('Input and Output'!E$25*Calculations!$C$6)+('Input and Output'!E$26*0))-(SUM('Input and Output'!E$27:E$32)*0)</f>
        <v>0</v>
      </c>
      <c r="H3" s="49">
        <f>IF(H$2="",NA(),C3*$B3)</f>
        <v>0</v>
      </c>
      <c r="I3" s="49">
        <f>IF(I$2="",NA(),D3*$B3)</f>
        <v>0</v>
      </c>
      <c r="J3" s="49">
        <f>IF(J$2="",NA(),E3*$B3)</f>
        <v>0</v>
      </c>
      <c r="K3" s="49" t="e">
        <f>IF(K$2="",NA(),F3*$B3)</f>
        <v>#N/A</v>
      </c>
    </row>
    <row r="4" spans="1:11" x14ac:dyDescent="0.4">
      <c r="A4" s="49">
        <v>1</v>
      </c>
      <c r="B4" s="49">
        <f>A4/$B$1</f>
        <v>4.1666666666666664E-2</v>
      </c>
      <c r="C4" s="49">
        <f>(('Input and Output'!B$23*'Input and Output'!$B$10)+('Input and Output'!B$24*Calculations!$C$5)+('Input and Output'!B$25*Calculations!$C$6)+('Input and Output'!B$26*(IF('Input and Output'!D$7="Detritus",Calculations!$C$4,G4))-(SUM('Input and Output'!B$27:B$32))*H3))</f>
        <v>312.83649321389072</v>
      </c>
      <c r="D4" s="49">
        <f>(('Input and Output'!C$23*'Input and Output'!$B$10)+('Input and Output'!C$24*Calculations!$C$5)+('Input and Output'!C$25*Calculations!$C$6)+('Input and Output'!C$26*(IF('Input and Output'!E$7="Detritus",Calculations!$C$4,H4))-(SUM('Input and Output'!C$27:C$32))*I3))</f>
        <v>3279.4830674215868</v>
      </c>
      <c r="E4" s="49">
        <f>(('Input and Output'!D$23*'Input and Output'!$B$10)+('Input and Output'!D$24*Calculations!$C$5)+('Input and Output'!D$25*Calculations!$C$6)+('Input and Output'!D$26*(IF('Input and Output'!F$7="Detritus",Calculations!$C$4,I4))-(SUM('Input and Output'!D$27:D$32))*J3))</f>
        <v>3644.4765064923458</v>
      </c>
      <c r="F4" s="49" t="e">
        <f>(('Input and Output'!E$23*'Input and Output'!$B$10)+('Input and Output'!E$24*Calculations!$C$5)+('Input and Output'!E$25*Calculations!$C$6)+('Input and Output'!E$26*(IF('Input and Output'!G$7="Detritus",Calculations!$C$4,J4))-(SUM('Input and Output'!E$27:E$32))*K3))</f>
        <v>#N/A</v>
      </c>
      <c r="H4" s="49">
        <f>IF(H$2="",NA(),C4*$B4+H3)</f>
        <v>13.034853883912113</v>
      </c>
      <c r="I4" s="49">
        <f>IF(I$2="",NA(),D4*$B4+I3)</f>
        <v>136.64512780923278</v>
      </c>
      <c r="J4" s="49">
        <f>IF(J$2="",NA(),E4*$B4+J3)</f>
        <v>151.85318777051441</v>
      </c>
      <c r="K4" s="49" t="e">
        <f>IF(K$2="",NA(),F4*$B4+K3)</f>
        <v>#N/A</v>
      </c>
    </row>
    <row r="5" spans="1:11" x14ac:dyDescent="0.4">
      <c r="A5" s="49">
        <v>2</v>
      </c>
      <c r="B5" s="49">
        <f>A5/$B$1</f>
        <v>8.3333333333333329E-2</v>
      </c>
      <c r="C5" s="49">
        <f>(('Input and Output'!B$23*'Input and Output'!$B$10)+('Input and Output'!B$24*Calculations!$C$5)+('Input and Output'!B$25*Calculations!$C$6)+('Input and Output'!B$26*(IF('Input and Output'!D$7="Detritus",Calculations!$C$4,G5))-(SUM('Input and Output'!B$27:B$32))*H4))</f>
        <v>312.82392612743416</v>
      </c>
      <c r="D5" s="49">
        <f>(('Input and Output'!C$23*'Input and Output'!$B$10)+('Input and Output'!C$24*Calculations!$C$5)+('Input and Output'!C$25*Calculations!$C$6)+('Input and Output'!C$26*(IF('Input and Output'!E$7="Detritus",Calculations!$C$4,H5))-(SUM('Input and Output'!C$27:C$32))*I4))</f>
        <v>3279.5623646863</v>
      </c>
      <c r="E5" s="49">
        <f>(('Input and Output'!D$23*'Input and Output'!$B$10)+('Input and Output'!D$24*Calculations!$C$5)+('Input and Output'!D$25*Calculations!$C$6)+('Input and Output'!D$26*(IF('Input and Output'!F$7="Detritus",Calculations!$C$4,I5))-(SUM('Input and Output'!D$27:D$32))*J4))</f>
        <v>3642.7501566972196</v>
      </c>
      <c r="F5" s="49" t="e">
        <f>(('Input and Output'!E$23*'Input and Output'!$B$10)+('Input and Output'!E$24*Calculations!$C$5)+('Input and Output'!E$25*Calculations!$C$6)+('Input and Output'!E$26*(IF('Input and Output'!G$7="Detritus",Calculations!$C$4,J5))-(SUM('Input and Output'!E$27:E$32))*K4))</f>
        <v>#N/A</v>
      </c>
      <c r="H5" s="49">
        <f>IF(H$2="",NA(),C5*$B5+H4)</f>
        <v>39.103514394531629</v>
      </c>
      <c r="I5" s="49">
        <f>IF(I$2="",NA(),D5*$B5+I4)</f>
        <v>409.94199153309114</v>
      </c>
      <c r="J5" s="49">
        <f>IF(J$2="",NA(),E5*$B5+J4)</f>
        <v>455.41570082861602</v>
      </c>
      <c r="K5" s="49" t="e">
        <f>IF(K$2="",NA(),F5*$B5+K4)</f>
        <v>#N/A</v>
      </c>
    </row>
    <row r="6" spans="1:11" x14ac:dyDescent="0.4">
      <c r="A6" s="49">
        <v>3</v>
      </c>
      <c r="B6" s="49">
        <f>A6/$B$1</f>
        <v>0.125</v>
      </c>
      <c r="C6" s="49">
        <f>(('Input and Output'!B$23*'Input and Output'!$B$10)+('Input and Output'!B$24*Calculations!$C$5)+('Input and Output'!B$25*Calculations!$C$6)+('Input and Output'!B$26*(IF('Input and Output'!D$7="Detritus",Calculations!$C$4,G6))-(SUM('Input and Output'!B$27:B$32))*H5))</f>
        <v>312.79879296419648</v>
      </c>
      <c r="D6" s="49">
        <f>(('Input and Output'!C$23*'Input and Output'!$B$10)+('Input and Output'!C$24*Calculations!$C$5)+('Input and Output'!C$25*Calculations!$C$6)+('Input and Output'!C$26*(IF('Input and Output'!E$7="Detritus",Calculations!$C$4,H6))-(SUM('Input and Output'!C$27:C$32))*I5))</f>
        <v>3279.4521297501647</v>
      </c>
      <c r="E6" s="49">
        <f>(('Input and Output'!D$23*'Input and Output'!$B$10)+('Input and Output'!D$24*Calculations!$C$5)+('Input and Output'!D$25*Calculations!$C$6)+('Input and Output'!D$26*(IF('Input and Output'!F$7="Detritus",Calculations!$C$4,I6))-(SUM('Input and Output'!D$27:D$32))*J5))</f>
        <v>3635.9125883700722</v>
      </c>
      <c r="F6" s="49" t="e">
        <f>(('Input and Output'!E$23*'Input and Output'!$B$10)+('Input and Output'!E$24*Calculations!$C$5)+('Input and Output'!E$25*Calculations!$C$6)+('Input and Output'!E$26*(IF('Input and Output'!G$7="Detritus",Calculations!$C$4,J6))-(SUM('Input and Output'!E$27:E$32))*K5))</f>
        <v>#N/A</v>
      </c>
      <c r="H6" s="49">
        <f>IF(H$2="",NA(),C6*$B6+H5)</f>
        <v>78.203363515056196</v>
      </c>
      <c r="I6" s="49">
        <f>IF(I$2="",NA(),D6*$B6+I5)</f>
        <v>819.87350775186178</v>
      </c>
      <c r="J6" s="49">
        <f>IF(J$2="",NA(),E6*$B6+J5)</f>
        <v>909.90477437487505</v>
      </c>
      <c r="K6" s="49" t="e">
        <f>IF(K$2="",NA(),F6*$B6+K5)</f>
        <v>#N/A</v>
      </c>
    </row>
    <row r="7" spans="1:11" x14ac:dyDescent="0.4">
      <c r="A7" s="49">
        <v>4</v>
      </c>
      <c r="B7" s="49">
        <f>A7/$B$1</f>
        <v>0.16666666666666666</v>
      </c>
      <c r="C7" s="49">
        <f>(('Input and Output'!B$23*'Input and Output'!$B$10)+('Input and Output'!B$24*Calculations!$C$5)+('Input and Output'!B$25*Calculations!$C$6)+('Input and Output'!B$26*(IF('Input and Output'!D$7="Detritus",Calculations!$C$4,G7))-(SUM('Input and Output'!B$27:B$32))*H6))</f>
        <v>312.76109624824466</v>
      </c>
      <c r="D7" s="49">
        <f>(('Input and Output'!C$23*'Input and Output'!$B$10)+('Input and Output'!C$24*Calculations!$C$5)+('Input and Output'!C$25*Calculations!$C$6)+('Input and Output'!C$26*(IF('Input and Output'!E$7="Detritus",Calculations!$C$4,H7))-(SUM('Input and Output'!C$27:C$32))*I6))</f>
        <v>3279.1523335402262</v>
      </c>
      <c r="E7" s="49">
        <f>(('Input and Output'!D$23*'Input and Output'!$B$10)+('Input and Output'!D$24*Calculations!$C$5)+('Input and Output'!D$25*Calculations!$C$6)+('Input and Output'!D$26*(IF('Input and Output'!F$7="Detritus",Calculations!$C$4,I7))-(SUM('Input and Output'!D$27:D$32))*J6))</f>
        <v>3624.006663852701</v>
      </c>
      <c r="F7" s="49" t="e">
        <f>(('Input and Output'!E$23*'Input and Output'!$B$10)+('Input and Output'!E$24*Calculations!$C$5)+('Input and Output'!E$25*Calculations!$C$6)+('Input and Output'!E$26*(IF('Input and Output'!G$7="Detritus",Calculations!$C$4,J7))-(SUM('Input and Output'!E$27:E$32))*K6))</f>
        <v>#N/A</v>
      </c>
      <c r="H7" s="49">
        <f>IF(H$2="",NA(),C7*$B7+H6)</f>
        <v>130.33021288976363</v>
      </c>
      <c r="I7" s="49">
        <f>IF(I$2="",NA(),D7*$B7+I6)</f>
        <v>1366.3988966752327</v>
      </c>
      <c r="J7" s="49">
        <f>IF(J$2="",NA(),E7*$B7+J6)</f>
        <v>1513.9058850169918</v>
      </c>
      <c r="K7" s="49" t="e">
        <f>IF(K$2="",NA(),F7*$B7+K6)</f>
        <v>#N/A</v>
      </c>
    </row>
    <row r="8" spans="1:11" x14ac:dyDescent="0.4">
      <c r="A8" s="49">
        <v>5</v>
      </c>
      <c r="B8" s="49">
        <f>A8/$B$1</f>
        <v>0.20833333333333334</v>
      </c>
      <c r="C8" s="49">
        <f>(('Input and Output'!B$23*'Input and Output'!$B$10)+('Input and Output'!B$24*Calculations!$C$5)+('Input and Output'!B$25*Calculations!$C$6)+('Input and Output'!B$26*(IF('Input and Output'!D$7="Detritus",Calculations!$C$4,G8))-(SUM('Input and Output'!B$27:B$32))*H7))</f>
        <v>312.71084001763143</v>
      </c>
      <c r="D8" s="49">
        <f>(('Input and Output'!C$23*'Input and Output'!$B$10)+('Input and Output'!C$24*Calculations!$C$5)+('Input and Output'!C$25*Calculations!$C$6)+('Input and Output'!C$26*(IF('Input and Output'!E$7="Detritus",Calculations!$C$4,H8))-(SUM('Input and Output'!C$27:C$32))*I7))</f>
        <v>3278.6629940781986</v>
      </c>
      <c r="E8" s="49">
        <f>(('Input and Output'!D$23*'Input and Output'!$B$10)+('Input and Output'!D$24*Calculations!$C$5)+('Input and Output'!D$25*Calculations!$C$6)+('Input and Output'!D$26*(IF('Input and Output'!F$7="Detritus",Calculations!$C$4,I8))-(SUM('Input and Output'!D$27:D$32))*J7))</f>
        <v>3607.1100680283421</v>
      </c>
      <c r="F8" s="49" t="e">
        <f>(('Input and Output'!E$23*'Input and Output'!$B$10)+('Input and Output'!E$24*Calculations!$C$5)+('Input and Output'!E$25*Calculations!$C$6)+('Input and Output'!E$26*(IF('Input and Output'!G$7="Detritus",Calculations!$C$4,J8))-(SUM('Input and Output'!E$27:E$32))*K7))</f>
        <v>#N/A</v>
      </c>
      <c r="H8" s="49">
        <f>IF(H$2="",NA(),C8*$B8+H7)</f>
        <v>195.47830456010351</v>
      </c>
      <c r="I8" s="49">
        <f>IF(I$2="",NA(),D8*$B8+I7)</f>
        <v>2049.4536871081909</v>
      </c>
      <c r="J8" s="49">
        <f>IF(J$2="",NA(),E8*$B8+J7)</f>
        <v>2265.3871491895629</v>
      </c>
      <c r="K8" s="49" t="e">
        <f>IF(K$2="",NA(),F8*$B8+K7)</f>
        <v>#N/A</v>
      </c>
    </row>
    <row r="9" spans="1:11" x14ac:dyDescent="0.4">
      <c r="A9" s="49">
        <v>6</v>
      </c>
      <c r="B9" s="49">
        <f>A9/$B$1</f>
        <v>0.25</v>
      </c>
      <c r="C9" s="49">
        <f>(('Input and Output'!B$23*'Input and Output'!$B$10)+('Input and Output'!B$24*Calculations!$C$5)+('Input and Output'!B$25*Calculations!$C$6)+('Input and Output'!B$26*(IF('Input and Output'!D$7="Detritus",Calculations!$C$4,G9))-(SUM('Input and Output'!B$27:B$32))*H8))</f>
        <v>312.64802982368587</v>
      </c>
      <c r="D9" s="49">
        <f>(('Input and Output'!C$23*'Input and Output'!$B$10)+('Input and Output'!C$24*Calculations!$C$5)+('Input and Output'!C$25*Calculations!$C$6)+('Input and Output'!C$26*(IF('Input and Output'!E$7="Detritus",Calculations!$C$4,H9))-(SUM('Input and Output'!C$27:C$32))*I8))</f>
        <v>3277.9841764854873</v>
      </c>
      <c r="E9" s="49">
        <f>(('Input and Output'!D$23*'Input and Output'!$B$10)+('Input and Output'!D$24*Calculations!$C$5)+('Input and Output'!D$25*Calculations!$C$6)+('Input and Output'!D$26*(IF('Input and Output'!F$7="Detritus",Calculations!$C$4,I9))-(SUM('Input and Output'!D$27:D$32))*J8))</f>
        <v>3585.3345016420617</v>
      </c>
      <c r="F9" s="49" t="e">
        <f>(('Input and Output'!E$23*'Input and Output'!$B$10)+('Input and Output'!E$24*Calculations!$C$5)+('Input and Output'!E$25*Calculations!$C$6)+('Input and Output'!E$26*(IF('Input and Output'!G$7="Detritus",Calculations!$C$4,J9))-(SUM('Input and Output'!E$27:E$32))*K8))</f>
        <v>#N/A</v>
      </c>
      <c r="H9" s="49">
        <f>IF(H$2="",NA(),C9*$B9+H8)</f>
        <v>273.64031201602495</v>
      </c>
      <c r="I9" s="49">
        <f>IF(I$2="",NA(),D9*$B9+I8)</f>
        <v>2868.9497312295625</v>
      </c>
      <c r="J9" s="49">
        <f>IF(J$2="",NA(),E9*$B9+J8)</f>
        <v>3161.7207746000786</v>
      </c>
      <c r="K9" s="49" t="e">
        <f>IF(K$2="",NA(),F9*$B9+K8)</f>
        <v>#N/A</v>
      </c>
    </row>
    <row r="10" spans="1:11" x14ac:dyDescent="0.4">
      <c r="A10" s="49">
        <v>7</v>
      </c>
      <c r="B10" s="49">
        <f>A10/$B$1</f>
        <v>0.29166666666666669</v>
      </c>
      <c r="C10" s="49">
        <f>(('Input and Output'!B$23*'Input and Output'!$B$10)+('Input and Output'!B$24*Calculations!$C$5)+('Input and Output'!B$25*Calculations!$C$6)+('Input and Output'!B$26*(IF('Input and Output'!D$7="Detritus",Calculations!$C$4,G10))-(SUM('Input and Output'!B$27:B$32))*H9))</f>
        <v>312.57267272999962</v>
      </c>
      <c r="D10" s="49">
        <f>(('Input and Output'!C$23*'Input and Output'!$B$10)+('Input and Output'!C$24*Calculations!$C$5)+('Input and Output'!C$25*Calculations!$C$6)+('Input and Output'!C$26*(IF('Input and Output'!E$7="Detritus",Calculations!$C$4,H10))-(SUM('Input and Output'!C$27:C$32))*I9))</f>
        <v>3277.1159929618079</v>
      </c>
      <c r="E10" s="49">
        <f>(('Input and Output'!D$23*'Input and Output'!$B$10)+('Input and Output'!D$24*Calculations!$C$5)+('Input and Output'!D$25*Calculations!$C$6)+('Input and Output'!D$26*(IF('Input and Output'!F$7="Detritus",Calculations!$C$4,I10))-(SUM('Input and Output'!D$27:D$32))*J9))</f>
        <v>3558.8244795350874</v>
      </c>
      <c r="F10" s="49" t="e">
        <f>(('Input and Output'!E$23*'Input and Output'!$B$10)+('Input and Output'!E$24*Calculations!$C$5)+('Input and Output'!E$25*Calculations!$C$6)+('Input and Output'!E$26*(IF('Input and Output'!G$7="Detritus",Calculations!$C$4,J10))-(SUM('Input and Output'!E$27:E$32))*K9))</f>
        <v>#N/A</v>
      </c>
      <c r="H10" s="49">
        <f>IF(H$2="",NA(),C10*$B10+H9)</f>
        <v>364.80734156227481</v>
      </c>
      <c r="I10" s="49">
        <f>IF(I$2="",NA(),D10*$B10+I9)</f>
        <v>3824.7752291767565</v>
      </c>
      <c r="J10" s="49">
        <f>IF(J$2="",NA(),E10*$B10+J9)</f>
        <v>4199.7112477978126</v>
      </c>
      <c r="K10" s="49" t="e">
        <f>IF(K$2="",NA(),F10*$B10+K9)</f>
        <v>#N/A</v>
      </c>
    </row>
    <row r="11" spans="1:11" x14ac:dyDescent="0.4">
      <c r="A11" s="49">
        <v>8</v>
      </c>
      <c r="B11" s="49">
        <f>A11/$B$1</f>
        <v>0.33333333333333331</v>
      </c>
      <c r="C11" s="49">
        <f>(('Input and Output'!B$23*'Input and Output'!$B$10)+('Input and Output'!B$24*Calculations!$C$5)+('Input and Output'!B$25*Calculations!$C$6)+('Input and Output'!B$26*(IF('Input and Output'!D$7="Detritus",Calculations!$C$4,G11))-(SUM('Input and Output'!B$27:B$32))*H10))</f>
        <v>312.48477731110978</v>
      </c>
      <c r="D11" s="49">
        <f>(('Input and Output'!C$23*'Input and Output'!$B$10)+('Input and Output'!C$24*Calculations!$C$5)+('Input and Output'!C$25*Calculations!$C$6)+('Input and Output'!C$26*(IF('Input and Output'!E$7="Detritus",Calculations!$C$4,H11))-(SUM('Input and Output'!C$27:C$32))*I10))</f>
        <v>3276.0586027374056</v>
      </c>
      <c r="E11" s="49">
        <f>(('Input and Output'!D$23*'Input and Output'!$B$10)+('Input and Output'!D$24*Calculations!$C$5)+('Input and Output'!D$25*Calculations!$C$6)+('Input and Output'!D$26*(IF('Input and Output'!F$7="Detritus",Calculations!$C$4,I11))-(SUM('Input and Output'!D$27:D$32))*J10))</f>
        <v>3527.7557515555059</v>
      </c>
      <c r="F11" s="49" t="e">
        <f>(('Input and Output'!E$23*'Input and Output'!$B$10)+('Input and Output'!E$24*Calculations!$C$5)+('Input and Output'!E$25*Calculations!$C$6)+('Input and Output'!E$26*(IF('Input and Output'!G$7="Detritus",Calculations!$C$4,J11))-(SUM('Input and Output'!E$27:E$32))*K10))</f>
        <v>#N/A</v>
      </c>
      <c r="H11" s="49">
        <f>IF(H$2="",NA(),C11*$B11+H10)</f>
        <v>468.96893399931139</v>
      </c>
      <c r="I11" s="49">
        <f>IF(I$2="",NA(),D11*$B11+I10)</f>
        <v>4916.7947634225584</v>
      </c>
      <c r="J11" s="49">
        <f>IF(J$2="",NA(),E11*$B11+J10)</f>
        <v>5375.6298316496477</v>
      </c>
      <c r="K11" s="49" t="e">
        <f>IF(K$2="",NA(),F11*$B11+K10)</f>
        <v>#N/A</v>
      </c>
    </row>
    <row r="12" spans="1:11" x14ac:dyDescent="0.4">
      <c r="A12" s="49">
        <v>9</v>
      </c>
      <c r="B12" s="49">
        <f>A12/$B$1</f>
        <v>0.375</v>
      </c>
      <c r="C12" s="49">
        <f>(('Input and Output'!B$23*'Input and Output'!$B$10)+('Input and Output'!B$24*Calculations!$C$5)+('Input and Output'!B$25*Calculations!$C$6)+('Input and Output'!B$26*(IF('Input and Output'!D$7="Detritus",Calculations!$C$4,G12))-(SUM('Input and Output'!B$27:B$32))*H11))</f>
        <v>312.38435365087804</v>
      </c>
      <c r="D12" s="49">
        <f>(('Input and Output'!C$23*'Input and Output'!$B$10)+('Input and Output'!C$24*Calculations!$C$5)+('Input and Output'!C$25*Calculations!$C$6)+('Input and Output'!C$26*(IF('Input and Output'!E$7="Detritus",Calculations!$C$4,H12))-(SUM('Input and Output'!C$27:C$32))*I11))</f>
        <v>3274.8122119989225</v>
      </c>
      <c r="E12" s="49">
        <f>(('Input and Output'!D$23*'Input and Output'!$B$10)+('Input and Output'!D$24*Calculations!$C$5)+('Input and Output'!D$25*Calculations!$C$6)+('Input and Output'!D$26*(IF('Input and Output'!F$7="Detritus",Calculations!$C$4,I12))-(SUM('Input and Output'!D$27:D$32))*J11))</f>
        <v>3492.3333700346234</v>
      </c>
      <c r="F12" s="49" t="e">
        <f>(('Input and Output'!E$23*'Input and Output'!$B$10)+('Input and Output'!E$24*Calculations!$C$5)+('Input and Output'!E$25*Calculations!$C$6)+('Input and Output'!E$26*(IF('Input and Output'!G$7="Detritus",Calculations!$C$4,J12))-(SUM('Input and Output'!E$27:E$32))*K11))</f>
        <v>#N/A</v>
      </c>
      <c r="H12" s="49">
        <f>IF(H$2="",NA(),C12*$B12+H11)</f>
        <v>586.11306661839069</v>
      </c>
      <c r="I12" s="49">
        <f>IF(I$2="",NA(),D12*$B12+I11)</f>
        <v>6144.8493429221544</v>
      </c>
      <c r="J12" s="49">
        <f>IF(J$2="",NA(),E12*$B12+J11)</f>
        <v>6685.2548454126318</v>
      </c>
      <c r="K12" s="49" t="e">
        <f>IF(K$2="",NA(),F12*$B12+K11)</f>
        <v>#N/A</v>
      </c>
    </row>
    <row r="13" spans="1:11" x14ac:dyDescent="0.4">
      <c r="A13" s="49">
        <v>10</v>
      </c>
      <c r="B13" s="49">
        <f>A13/$B$1</f>
        <v>0.41666666666666669</v>
      </c>
      <c r="C13" s="49">
        <f>(('Input and Output'!B$23*'Input and Output'!$B$10)+('Input and Output'!B$24*Calculations!$C$5)+('Input and Output'!B$25*Calculations!$C$6)+('Input and Output'!B$26*(IF('Input and Output'!D$7="Detritus",Calculations!$C$4,G13))-(SUM('Input and Output'!B$27:B$32))*H12))</f>
        <v>312.27141334056751</v>
      </c>
      <c r="D13" s="49">
        <f>(('Input and Output'!C$23*'Input and Output'!$B$10)+('Input and Output'!C$24*Calculations!$C$5)+('Input and Output'!C$25*Calculations!$C$6)+('Input and Output'!C$26*(IF('Input and Output'!E$7="Detritus",Calculations!$C$4,H13))-(SUM('Input and Output'!C$27:C$32))*I12))</f>
        <v>3273.3770737889658</v>
      </c>
      <c r="E13" s="49">
        <f>(('Input and Output'!D$23*'Input and Output'!$B$10)+('Input and Output'!D$24*Calculations!$C$5)+('Input and Output'!D$25*Calculations!$C$6)+('Input and Output'!D$26*(IF('Input and Output'!F$7="Detritus",Calculations!$C$4,I13))-(SUM('Input and Output'!D$27:D$32))*J12))</f>
        <v>3452.7894333845579</v>
      </c>
      <c r="F13" s="49" t="e">
        <f>(('Input and Output'!E$23*'Input and Output'!$B$10)+('Input and Output'!E$24*Calculations!$C$5)+('Input and Output'!E$25*Calculations!$C$6)+('Input and Output'!E$26*(IF('Input and Output'!G$7="Detritus",Calculations!$C$4,J13))-(SUM('Input and Output'!E$27:E$32))*K12))</f>
        <v>#N/A</v>
      </c>
      <c r="H13" s="49">
        <f>IF(H$2="",NA(),C13*$B13+H12)</f>
        <v>716.22615551029389</v>
      </c>
      <c r="I13" s="49">
        <f>IF(I$2="",NA(),D13*$B13+I12)</f>
        <v>7508.7564570008899</v>
      </c>
      <c r="J13" s="49">
        <f>IF(J$2="",NA(),E13*$B13+J12)</f>
        <v>8123.9171093228642</v>
      </c>
      <c r="K13" s="49" t="e">
        <f>IF(K$2="",NA(),F13*$B13+K12)</f>
        <v>#N/A</v>
      </c>
    </row>
    <row r="14" spans="1:11" x14ac:dyDescent="0.4">
      <c r="A14" s="49">
        <v>11</v>
      </c>
      <c r="B14" s="49">
        <f>A14/$B$1</f>
        <v>0.45833333333333331</v>
      </c>
      <c r="C14" s="49">
        <f>(('Input and Output'!B$23*'Input and Output'!$B$10)+('Input and Output'!B$24*Calculations!$C$5)+('Input and Output'!B$25*Calculations!$C$6)+('Input and Output'!B$26*(IF('Input and Output'!D$7="Detritus",Calculations!$C$4,G14))-(SUM('Input and Output'!B$27:B$32))*H13))</f>
        <v>312.14596947661659</v>
      </c>
      <c r="D14" s="49">
        <f>(('Input and Output'!C$23*'Input and Output'!$B$10)+('Input and Output'!C$24*Calculations!$C$5)+('Input and Output'!C$25*Calculations!$C$6)+('Input and Output'!C$26*(IF('Input and Output'!E$7="Detritus",Calculations!$C$4,H14))-(SUM('Input and Output'!C$27:C$32))*I13))</f>
        <v>3271.7534878794741</v>
      </c>
      <c r="E14" s="49">
        <f>(('Input and Output'!D$23*'Input and Output'!$B$10)+('Input and Output'!D$24*Calculations!$C$5)+('Input and Output'!D$25*Calculations!$C$6)+('Input and Output'!D$26*(IF('Input and Output'!F$7="Detritus",Calculations!$C$4,I14))-(SUM('Input and Output'!D$27:D$32))*J13))</f>
        <v>3409.380540460189</v>
      </c>
      <c r="F14" s="49" t="e">
        <f>(('Input and Output'!E$23*'Input and Output'!$B$10)+('Input and Output'!E$24*Calculations!$C$5)+('Input and Output'!E$25*Calculations!$C$6)+('Input and Output'!E$26*(IF('Input and Output'!G$7="Detritus",Calculations!$C$4,J14))-(SUM('Input and Output'!E$27:E$32))*K13))</f>
        <v>#N/A</v>
      </c>
      <c r="H14" s="49">
        <f>IF(H$2="",NA(),C14*$B14+H13)</f>
        <v>859.29305818707644</v>
      </c>
      <c r="I14" s="49">
        <f>IF(I$2="",NA(),D14*$B14+I13)</f>
        <v>9008.3101389456497</v>
      </c>
      <c r="J14" s="49">
        <f>IF(J$2="",NA(),E14*$B14+J13)</f>
        <v>9686.5498570337841</v>
      </c>
      <c r="K14" s="49" t="e">
        <f>IF(K$2="",NA(),F14*$B14+K13)</f>
        <v>#N/A</v>
      </c>
    </row>
    <row r="15" spans="1:11" x14ac:dyDescent="0.4">
      <c r="A15" s="49">
        <v>12</v>
      </c>
      <c r="B15" s="49">
        <f>A15/$B$1</f>
        <v>0.5</v>
      </c>
      <c r="C15" s="49">
        <f>(('Input and Output'!B$23*'Input and Output'!$B$10)+('Input and Output'!B$24*Calculations!$C$5)+('Input and Output'!B$25*Calculations!$C$6)+('Input and Output'!B$26*(IF('Input and Output'!D$7="Detritus",Calculations!$C$4,G15))-(SUM('Input and Output'!B$27:B$32))*H14))</f>
        <v>312.00803665811151</v>
      </c>
      <c r="D15" s="49">
        <f>(('Input and Output'!C$23*'Input and Output'!$B$10)+('Input and Output'!C$24*Calculations!$C$5)+('Input and Output'!C$25*Calculations!$C$6)+('Input and Output'!C$26*(IF('Input and Output'!E$7="Detritus",Calculations!$C$4,H15))-(SUM('Input and Output'!C$27:C$32))*I14))</f>
        <v>3269.9418006189803</v>
      </c>
      <c r="E15" s="49">
        <f>(('Input and Output'!D$23*'Input and Output'!$B$10)+('Input and Output'!D$24*Calculations!$C$5)+('Input and Output'!D$25*Calculations!$C$6)+('Input and Output'!D$26*(IF('Input and Output'!F$7="Detritus",Calculations!$C$4,I15))-(SUM('Input and Output'!D$27:D$32))*J14))</f>
        <v>3362.3849947332656</v>
      </c>
      <c r="F15" s="49" t="e">
        <f>(('Input and Output'!E$23*'Input and Output'!$B$10)+('Input and Output'!E$24*Calculations!$C$5)+('Input and Output'!E$25*Calculations!$C$6)+('Input and Output'!E$26*(IF('Input and Output'!G$7="Detritus",Calculations!$C$4,J15))-(SUM('Input and Output'!E$27:E$32))*K14))</f>
        <v>#N/A</v>
      </c>
      <c r="H15" s="49">
        <f>IF(H$2="",NA(),C15*$B15+H14)</f>
        <v>1015.2970765161322</v>
      </c>
      <c r="I15" s="49">
        <f>IF(I$2="",NA(),D15*$B15+I14)</f>
        <v>10643.28103925514</v>
      </c>
      <c r="J15" s="49">
        <f>IF(J$2="",NA(),E15*$B15+J14)</f>
        <v>11367.742354400416</v>
      </c>
      <c r="K15" s="49" t="e">
        <f>IF(K$2="",NA(),F15*$B15+K14)</f>
        <v>#N/A</v>
      </c>
    </row>
    <row r="16" spans="1:11" x14ac:dyDescent="0.4">
      <c r="A16" s="49">
        <v>13</v>
      </c>
      <c r="B16" s="49">
        <f>A16/$B$1</f>
        <v>0.54166666666666663</v>
      </c>
      <c r="C16" s="49">
        <f>(('Input and Output'!B$23*'Input and Output'!$B$10)+('Input and Output'!B$24*Calculations!$C$5)+('Input and Output'!B$25*Calculations!$C$6)+('Input and Output'!B$26*(IF('Input and Output'!D$7="Detritus",Calculations!$C$4,G16))-(SUM('Input and Output'!B$27:B$32))*H15))</f>
        <v>311.85763098395734</v>
      </c>
      <c r="D16" s="49">
        <f>(('Input and Output'!C$23*'Input and Output'!$B$10)+('Input and Output'!C$24*Calculations!$C$5)+('Input and Output'!C$25*Calculations!$C$6)+('Input and Output'!C$26*(IF('Input and Output'!E$7="Detritus",Calculations!$C$4,H16))-(SUM('Input and Output'!C$27:C$32))*I15))</f>
        <v>3267.9424047539123</v>
      </c>
      <c r="E16" s="49">
        <f>(('Input and Output'!D$23*'Input and Output'!$B$10)+('Input and Output'!D$24*Calculations!$C$5)+('Input and Output'!D$25*Calculations!$C$6)+('Input and Output'!D$26*(IF('Input and Output'!F$7="Detritus",Calculations!$C$4,I16))-(SUM('Input and Output'!D$27:D$32))*J15))</f>
        <v>3312.0998009604464</v>
      </c>
      <c r="F16" s="49" t="e">
        <f>(('Input and Output'!E$23*'Input and Output'!$B$10)+('Input and Output'!E$24*Calculations!$C$5)+('Input and Output'!E$25*Calculations!$C$6)+('Input and Output'!E$26*(IF('Input and Output'!G$7="Detritus",Calculations!$C$4,J16))-(SUM('Input and Output'!E$27:E$32))*K15))</f>
        <v>#N/A</v>
      </c>
      <c r="H16" s="49">
        <f>IF(H$2="",NA(),C16*$B16+H15)</f>
        <v>1184.2199599657756</v>
      </c>
      <c r="I16" s="49">
        <f>IF(I$2="",NA(),D16*$B16+I15)</f>
        <v>12413.416508496843</v>
      </c>
      <c r="J16" s="49">
        <f>IF(J$2="",NA(),E16*$B16+J15)</f>
        <v>13161.796413253991</v>
      </c>
      <c r="K16" s="49" t="e">
        <f>IF(K$2="",NA(),F16*$B16+K15)</f>
        <v>#N/A</v>
      </c>
    </row>
    <row r="17" spans="1:11" x14ac:dyDescent="0.4">
      <c r="A17" s="49">
        <v>14</v>
      </c>
      <c r="B17" s="49">
        <f>A17/$B$1</f>
        <v>0.58333333333333337</v>
      </c>
      <c r="C17" s="49">
        <f>(('Input and Output'!B$23*'Input and Output'!$B$10)+('Input and Output'!B$24*Calculations!$C$5)+('Input and Output'!B$25*Calculations!$C$6)+('Input and Output'!B$26*(IF('Input and Output'!D$7="Detritus",Calculations!$C$4,G17))-(SUM('Input and Output'!B$27:B$32))*H16))</f>
        <v>311.69477004974914</v>
      </c>
      <c r="D17" s="49">
        <f>(('Input and Output'!C$23*'Input and Output'!$B$10)+('Input and Output'!C$24*Calculations!$C$5)+('Input and Output'!C$25*Calculations!$C$6)+('Input and Output'!C$26*(IF('Input and Output'!E$7="Detritus",Calculations!$C$4,H17))-(SUM('Input and Output'!C$27:C$32))*I16))</f>
        <v>3265.7557392240878</v>
      </c>
      <c r="E17" s="49">
        <f>(('Input and Output'!D$23*'Input and Output'!$B$10)+('Input and Output'!D$24*Calculations!$C$5)+('Input and Output'!D$25*Calculations!$C$6)+('Input and Output'!D$26*(IF('Input and Output'!F$7="Detritus",Calculations!$C$4,I17))-(SUM('Input and Output'!D$27:D$32))*J16))</f>
        <v>3258.8374998211202</v>
      </c>
      <c r="F17" s="49" t="e">
        <f>(('Input and Output'!E$23*'Input and Output'!$B$10)+('Input and Output'!E$24*Calculations!$C$5)+('Input and Output'!E$25*Calculations!$C$6)+('Input and Output'!E$26*(IF('Input and Output'!G$7="Detritus",Calculations!$C$4,J17))-(SUM('Input and Output'!E$27:E$32))*K16))</f>
        <v>#N/A</v>
      </c>
      <c r="H17" s="49">
        <f>IF(H$2="",NA(),C17*$B17+H16)</f>
        <v>1366.0419091614626</v>
      </c>
      <c r="I17" s="49">
        <f>IF(I$2="",NA(),D17*$B17+I16)</f>
        <v>14318.440689710895</v>
      </c>
      <c r="J17" s="49">
        <f>IF(J$2="",NA(),E17*$B17+J16)</f>
        <v>15062.78495481631</v>
      </c>
      <c r="K17" s="49" t="e">
        <f>IF(K$2="",NA(),F17*$B17+K16)</f>
        <v>#N/A</v>
      </c>
    </row>
    <row r="18" spans="1:11" x14ac:dyDescent="0.4">
      <c r="A18" s="49">
        <v>15</v>
      </c>
      <c r="B18" s="49">
        <f>A18/$B$1</f>
        <v>0.625</v>
      </c>
      <c r="C18" s="49">
        <f>(('Input and Output'!B$23*'Input and Output'!$B$10)+('Input and Output'!B$24*Calculations!$C$5)+('Input and Output'!B$25*Calculations!$C$6)+('Input and Output'!B$26*(IF('Input and Output'!D$7="Detritus",Calculations!$C$4,G18))-(SUM('Input and Output'!B$27:B$32))*H17))</f>
        <v>311.51947294434302</v>
      </c>
      <c r="D18" s="49">
        <f>(('Input and Output'!C$23*'Input and Output'!$B$10)+('Input and Output'!C$24*Calculations!$C$5)+('Input and Output'!C$25*Calculations!$C$6)+('Input and Output'!C$26*(IF('Input and Output'!E$7="Detritus",Calculations!$C$4,H18))-(SUM('Input and Output'!C$27:C$32))*I17))</f>
        <v>3263.382288932577</v>
      </c>
      <c r="E18" s="49">
        <f>(('Input and Output'!D$23*'Input and Output'!$B$10)+('Input and Output'!D$24*Calculations!$C$5)+('Input and Output'!D$25*Calculations!$C$6)+('Input and Output'!D$26*(IF('Input and Output'!F$7="Detritus",Calculations!$C$4,I18))-(SUM('Input and Output'!D$27:D$32))*J17))</f>
        <v>3202.9228879061216</v>
      </c>
      <c r="F18" s="49" t="e">
        <f>(('Input and Output'!E$23*'Input and Output'!$B$10)+('Input and Output'!E$24*Calculations!$C$5)+('Input and Output'!E$25*Calculations!$C$6)+('Input and Output'!E$26*(IF('Input and Output'!G$7="Detritus",Calculations!$C$4,J18))-(SUM('Input and Output'!E$27:E$32))*K17))</f>
        <v>#N/A</v>
      </c>
      <c r="H18" s="49">
        <f>IF(H$2="",NA(),C18*$B18+H17)</f>
        <v>1560.7415797516769</v>
      </c>
      <c r="I18" s="49">
        <f>IF(I$2="",NA(),D18*$B18+I17)</f>
        <v>16358.054620293755</v>
      </c>
      <c r="J18" s="49">
        <f>IF(J$2="",NA(),E18*$B18+J17)</f>
        <v>17064.611759757638</v>
      </c>
      <c r="K18" s="49" t="e">
        <f>IF(K$2="",NA(),F18*$B18+K17)</f>
        <v>#N/A</v>
      </c>
    </row>
    <row r="19" spans="1:11" x14ac:dyDescent="0.4">
      <c r="A19" s="49">
        <v>16</v>
      </c>
      <c r="B19" s="49">
        <f>A19/$B$1</f>
        <v>0.66666666666666663</v>
      </c>
      <c r="C19" s="49">
        <f>(('Input and Output'!B$23*'Input and Output'!$B$10)+('Input and Output'!B$24*Calculations!$C$5)+('Input and Output'!B$25*Calculations!$C$6)+('Input and Output'!B$26*(IF('Input and Output'!D$7="Detritus",Calculations!$C$4,G19))-(SUM('Input and Output'!B$27:B$32))*H18))</f>
        <v>311.33176024612942</v>
      </c>
      <c r="D19" s="49">
        <f>(('Input and Output'!C$23*'Input and Output'!$B$10)+('Input and Output'!C$24*Calculations!$C$5)+('Input and Output'!C$25*Calculations!$C$6)+('Input and Output'!C$26*(IF('Input and Output'!E$7="Detritus",Calculations!$C$4,H19))-(SUM('Input and Output'!C$27:C$32))*I18))</f>
        <v>3260.8225844901458</v>
      </c>
      <c r="E19" s="49">
        <f>(('Input and Output'!D$23*'Input and Output'!$B$10)+('Input and Output'!D$24*Calculations!$C$5)+('Input and Output'!D$25*Calculations!$C$6)+('Input and Output'!D$26*(IF('Input and Output'!F$7="Detritus",Calculations!$C$4,I19))-(SUM('Input and Output'!D$27:D$32))*J18))</f>
        <v>3144.6896714273439</v>
      </c>
      <c r="F19" s="49" t="e">
        <f>(('Input and Output'!E$23*'Input and Output'!$B$10)+('Input and Output'!E$24*Calculations!$C$5)+('Input and Output'!E$25*Calculations!$C$6)+('Input and Output'!E$26*(IF('Input and Output'!G$7="Detritus",Calculations!$C$4,J19))-(SUM('Input and Output'!E$27:E$32))*K18))</f>
        <v>#N/A</v>
      </c>
      <c r="H19" s="49">
        <f>IF(H$2="",NA(),C19*$B19+H18)</f>
        <v>1768.2960865824298</v>
      </c>
      <c r="I19" s="49">
        <f>IF(I$2="",NA(),D19*$B19+I18)</f>
        <v>18531.936343287183</v>
      </c>
      <c r="J19" s="49">
        <f>IF(J$2="",NA(),E19*$B19+J18)</f>
        <v>19161.071540709199</v>
      </c>
      <c r="K19" s="49" t="e">
        <f>IF(K$2="",NA(),F19*$B19+K18)</f>
        <v>#N/A</v>
      </c>
    </row>
    <row r="20" spans="1:11" x14ac:dyDescent="0.4">
      <c r="A20" s="49">
        <v>17</v>
      </c>
      <c r="B20" s="49">
        <f>A20/$B$1</f>
        <v>0.70833333333333337</v>
      </c>
      <c r="C20" s="49">
        <f>(('Input and Output'!B$23*'Input and Output'!$B$10)+('Input and Output'!B$24*Calculations!$C$5)+('Input and Output'!B$25*Calculations!$C$6)+('Input and Output'!B$26*(IF('Input and Output'!D$7="Detritus",Calculations!$C$4,G20))-(SUM('Input and Output'!B$27:B$32))*H19))</f>
        <v>311.13165401900801</v>
      </c>
      <c r="D20" s="49">
        <f>(('Input and Output'!C$23*'Input and Output'!$B$10)+('Input and Output'!C$24*Calculations!$C$5)+('Input and Output'!C$25*Calculations!$C$6)+('Input and Output'!C$26*(IF('Input and Output'!E$7="Detritus",Calculations!$C$4,H20))-(SUM('Input and Output'!C$27:C$32))*I19))</f>
        <v>3258.0772019345</v>
      </c>
      <c r="E20" s="49">
        <f>(('Input and Output'!D$23*'Input and Output'!$B$10)+('Input and Output'!D$24*Calculations!$C$5)+('Input and Output'!D$25*Calculations!$C$6)+('Input and Output'!D$26*(IF('Input and Output'!F$7="Detritus",Calculations!$C$4,I20))-(SUM('Input and Output'!D$27:D$32))*J19))</f>
        <v>3084.477102084908</v>
      </c>
      <c r="F20" s="49" t="e">
        <f>(('Input and Output'!E$23*'Input and Output'!$B$10)+('Input and Output'!E$24*Calculations!$C$5)+('Input and Output'!E$25*Calculations!$C$6)+('Input and Output'!E$26*(IF('Input and Output'!G$7="Detritus",Calculations!$C$4,J20))-(SUM('Input and Output'!E$27:E$32))*K19))</f>
        <v>#N/A</v>
      </c>
      <c r="H20" s="49">
        <f>IF(H$2="",NA(),C20*$B20+H19)</f>
        <v>1988.6810081792271</v>
      </c>
      <c r="I20" s="49">
        <f>IF(I$2="",NA(),D20*$B20+I19)</f>
        <v>20839.741027990789</v>
      </c>
      <c r="J20" s="49">
        <f>IF(J$2="",NA(),E20*$B20+J19)</f>
        <v>21345.909488019344</v>
      </c>
      <c r="K20" s="49" t="e">
        <f>IF(K$2="",NA(),F20*$B20+K19)</f>
        <v>#N/A</v>
      </c>
    </row>
    <row r="21" spans="1:11" x14ac:dyDescent="0.4">
      <c r="A21" s="49">
        <v>18</v>
      </c>
      <c r="B21" s="49">
        <f>A21/$B$1</f>
        <v>0.75</v>
      </c>
      <c r="C21" s="49">
        <f>(('Input and Output'!B$23*'Input and Output'!$B$10)+('Input and Output'!B$24*Calculations!$C$5)+('Input and Output'!B$25*Calculations!$C$6)+('Input and Output'!B$26*(IF('Input and Output'!D$7="Detritus",Calculations!$C$4,G21))-(SUM('Input and Output'!B$27:B$32))*H20))</f>
        <v>310.91917780806671</v>
      </c>
      <c r="D21" s="49">
        <f>(('Input and Output'!C$23*'Input and Output'!$B$10)+('Input and Output'!C$24*Calculations!$C$5)+('Input and Output'!C$25*Calculations!$C$6)+('Input and Output'!C$26*(IF('Input and Output'!E$7="Detritus",Calculations!$C$4,H21))-(SUM('Input and Output'!C$27:C$32))*I20))</f>
        <v>3255.1467624245793</v>
      </c>
      <c r="E21" s="49">
        <f>(('Input and Output'!D$23*'Input and Output'!$B$10)+('Input and Output'!D$24*Calculations!$C$5)+('Input and Output'!D$25*Calculations!$C$6)+('Input and Output'!D$26*(IF('Input and Output'!F$7="Detritus",Calculations!$C$4,I21))-(SUM('Input and Output'!D$27:D$32))*J20))</f>
        <v>3022.6266426888483</v>
      </c>
      <c r="F21" s="49" t="e">
        <f>(('Input and Output'!E$23*'Input and Output'!$B$10)+('Input and Output'!E$24*Calculations!$C$5)+('Input and Output'!E$25*Calculations!$C$6)+('Input and Output'!E$26*(IF('Input and Output'!G$7="Detritus",Calculations!$C$4,J21))-(SUM('Input and Output'!E$27:E$32))*K20))</f>
        <v>#N/A</v>
      </c>
      <c r="H21" s="49">
        <f>IF(H$2="",NA(),C21*$B21+H20)</f>
        <v>2221.8703915352771</v>
      </c>
      <c r="I21" s="49">
        <f>IF(I$2="",NA(),D21*$B21+I20)</f>
        <v>23281.101099809224</v>
      </c>
      <c r="J21" s="49">
        <f>IF(J$2="",NA(),E21*$B21+J20)</f>
        <v>23612.879470035979</v>
      </c>
      <c r="K21" s="49" t="e">
        <f>IF(K$2="",NA(),F21*$B21+K20)</f>
        <v>#N/A</v>
      </c>
    </row>
    <row r="22" spans="1:11" x14ac:dyDescent="0.4">
      <c r="A22" s="49">
        <v>19</v>
      </c>
      <c r="B22" s="49">
        <f>A22/$B$1</f>
        <v>0.79166666666666663</v>
      </c>
      <c r="C22" s="49">
        <f>(('Input and Output'!B$23*'Input and Output'!$B$10)+('Input and Output'!B$24*Calculations!$C$5)+('Input and Output'!B$25*Calculations!$C$6)+('Input and Output'!B$26*(IF('Input and Output'!D$7="Detritus",Calculations!$C$4,G22))-(SUM('Input and Output'!B$27:B$32))*H21))</f>
        <v>310.69435663496535</v>
      </c>
      <c r="D22" s="49">
        <f>(('Input and Output'!C$23*'Input and Output'!$B$10)+('Input and Output'!C$24*Calculations!$C$5)+('Input and Output'!C$25*Calculations!$C$6)+('Input and Output'!C$26*(IF('Input and Output'!E$7="Detritus",Calculations!$C$4,H22))-(SUM('Input and Output'!C$27:C$32))*I21))</f>
        <v>3252.031931910175</v>
      </c>
      <c r="E22" s="49">
        <f>(('Input and Output'!D$23*'Input and Output'!$B$10)+('Input and Output'!D$24*Calculations!$C$5)+('Input and Output'!D$25*Calculations!$C$6)+('Input and Output'!D$26*(IF('Input and Output'!F$7="Detritus",Calculations!$C$4,I22))-(SUM('Input and Output'!D$27:D$32))*J21))</f>
        <v>2959.4787084228983</v>
      </c>
      <c r="F22" s="49" t="e">
        <f>(('Input and Output'!E$23*'Input and Output'!$B$10)+('Input and Output'!E$24*Calculations!$C$5)+('Input and Output'!E$25*Calculations!$C$6)+('Input and Output'!E$26*(IF('Input and Output'!G$7="Detritus",Calculations!$C$4,J22))-(SUM('Input and Output'!E$27:E$32))*K21))</f>
        <v>#N/A</v>
      </c>
      <c r="H22" s="49">
        <f>IF(H$2="",NA(),C22*$B22+H21)</f>
        <v>2467.8367572046245</v>
      </c>
      <c r="I22" s="49">
        <f>IF(I$2="",NA(),D22*$B22+I21)</f>
        <v>25855.626379238114</v>
      </c>
      <c r="J22" s="49">
        <f>IF(J$2="",NA(),E22*$B22+J21)</f>
        <v>25955.800114204107</v>
      </c>
      <c r="K22" s="49" t="e">
        <f>IF(K$2="",NA(),F22*$B22+K21)</f>
        <v>#N/A</v>
      </c>
    </row>
    <row r="23" spans="1:11" x14ac:dyDescent="0.4">
      <c r="A23" s="49">
        <v>20</v>
      </c>
      <c r="B23" s="49">
        <f>A23/$B$1</f>
        <v>0.83333333333333337</v>
      </c>
      <c r="C23" s="49">
        <f>(('Input and Output'!B$23*'Input and Output'!$B$10)+('Input and Output'!B$24*Calculations!$C$5)+('Input and Output'!B$25*Calculations!$C$6)+('Input and Output'!B$26*(IF('Input and Output'!D$7="Detritus",Calculations!$C$4,G23))-(SUM('Input and Output'!B$27:B$32))*H22))</f>
        <v>310.45721699302544</v>
      </c>
      <c r="D23" s="49">
        <f>(('Input and Output'!C$23*'Input and Output'!$B$10)+('Input and Output'!C$24*Calculations!$C$5)+('Input and Output'!C$25*Calculations!$C$6)+('Input and Output'!C$26*(IF('Input and Output'!E$7="Detritus",Calculations!$C$4,H23))-(SUM('Input and Output'!C$27:C$32))*I22))</f>
        <v>3248.7334207771619</v>
      </c>
      <c r="E23" s="49">
        <f>(('Input and Output'!D$23*'Input and Output'!$B$10)+('Input and Output'!D$24*Calculations!$C$5)+('Input and Output'!D$25*Calculations!$C$6)+('Input and Output'!D$26*(IF('Input and Output'!F$7="Detritus",Calculations!$C$4,I23))-(SUM('Input and Output'!D$27:D$32))*J22))</f>
        <v>2895.3695271151455</v>
      </c>
      <c r="F23" s="49" t="e">
        <f>(('Input and Output'!E$23*'Input and Output'!$B$10)+('Input and Output'!E$24*Calculations!$C$5)+('Input and Output'!E$25*Calculations!$C$6)+('Input and Output'!E$26*(IF('Input and Output'!G$7="Detritus",Calculations!$C$4,J23))-(SUM('Input and Output'!E$27:E$32))*K22))</f>
        <v>#N/A</v>
      </c>
      <c r="H23" s="49">
        <f>IF(H$2="",NA(),C23*$B23+H22)</f>
        <v>2726.5511046988122</v>
      </c>
      <c r="I23" s="49">
        <f>IF(I$2="",NA(),D23*$B23+I22)</f>
        <v>28562.904229885749</v>
      </c>
      <c r="J23" s="49">
        <f>IF(J$2="",NA(),E23*$B23+J22)</f>
        <v>28368.608053466727</v>
      </c>
      <c r="K23" s="49" t="e">
        <f>IF(K$2="",NA(),F23*$B23+K22)</f>
        <v>#N/A</v>
      </c>
    </row>
    <row r="24" spans="1:11" x14ac:dyDescent="0.4">
      <c r="A24" s="49">
        <v>21</v>
      </c>
      <c r="B24" s="49">
        <f>A24/$B$1</f>
        <v>0.875</v>
      </c>
      <c r="C24" s="49">
        <f>(('Input and Output'!B$23*'Input and Output'!$B$10)+('Input and Output'!B$24*Calculations!$C$5)+('Input and Output'!B$25*Calculations!$C$6)+('Input and Output'!B$26*(IF('Input and Output'!D$7="Detritus",Calculations!$C$4,G24))-(SUM('Input and Output'!B$27:B$32))*H23))</f>
        <v>310.20778684202679</v>
      </c>
      <c r="D24" s="49">
        <f>(('Input and Output'!C$23*'Input and Output'!$B$10)+('Input and Output'!C$24*Calculations!$C$5)+('Input and Output'!C$25*Calculations!$C$6)+('Input and Output'!C$26*(IF('Input and Output'!E$7="Detritus",Calculations!$C$4,H24))-(SUM('Input and Output'!C$27:C$32))*I23))</f>
        <v>3245.2519834686595</v>
      </c>
      <c r="E24" s="49">
        <f>(('Input and Output'!D$23*'Input and Output'!$B$10)+('Input and Output'!D$24*Calculations!$C$5)+('Input and Output'!D$25*Calculations!$C$6)+('Input and Output'!D$26*(IF('Input and Output'!F$7="Detritus",Calculations!$C$4,I24))-(SUM('Input and Output'!D$27:D$32))*J23))</f>
        <v>2830.6281586180103</v>
      </c>
      <c r="F24" s="49" t="e">
        <f>(('Input and Output'!E$23*'Input and Output'!$B$10)+('Input and Output'!E$24*Calculations!$C$5)+('Input and Output'!E$25*Calculations!$C$6)+('Input and Output'!E$26*(IF('Input and Output'!G$7="Detritus",Calculations!$C$4,J24))-(SUM('Input and Output'!E$27:E$32))*K23))</f>
        <v>#N/A</v>
      </c>
      <c r="H24" s="49">
        <f>IF(H$2="",NA(),C24*$B24+H23)</f>
        <v>2997.9829181855857</v>
      </c>
      <c r="I24" s="49">
        <f>IF(I$2="",NA(),D24*$B24+I23)</f>
        <v>31402.499715420825</v>
      </c>
      <c r="J24" s="49">
        <f>IF(J$2="",NA(),E24*$B24+J23)</f>
        <v>30845.407692257486</v>
      </c>
      <c r="K24" s="49" t="e">
        <f>IF(K$2="",NA(),F24*$B24+K23)</f>
        <v>#N/A</v>
      </c>
    </row>
    <row r="25" spans="1:11" x14ac:dyDescent="0.4">
      <c r="A25" s="49">
        <v>22</v>
      </c>
      <c r="B25" s="49">
        <f>A25/$B$1</f>
        <v>0.91666666666666663</v>
      </c>
      <c r="C25" s="49">
        <f>(('Input and Output'!B$23*'Input and Output'!$B$10)+('Input and Output'!B$24*Calculations!$C$5)+('Input and Output'!B$25*Calculations!$C$6)+('Input and Output'!B$26*(IF('Input and Output'!D$7="Detritus",Calculations!$C$4,G25))-(SUM('Input and Output'!B$27:B$32))*H24))</f>
        <v>309.94609560271363</v>
      </c>
      <c r="D25" s="49">
        <f>(('Input and Output'!C$23*'Input and Output'!$B$10)+('Input and Output'!C$24*Calculations!$C$5)+('Input and Output'!C$25*Calculations!$C$6)+('Input and Output'!C$26*(IF('Input and Output'!E$7="Detritus",Calculations!$C$4,H25))-(SUM('Input and Output'!C$27:C$32))*I24))</f>
        <v>3241.5884180824573</v>
      </c>
      <c r="E25" s="49">
        <f>(('Input and Output'!D$23*'Input and Output'!$B$10)+('Input and Output'!D$24*Calculations!$C$5)+('Input and Output'!D$25*Calculations!$C$6)+('Input and Output'!D$26*(IF('Input and Output'!F$7="Detritus",Calculations!$C$4,I25))-(SUM('Input and Output'!D$27:D$32))*J24))</f>
        <v>2765.5737094874721</v>
      </c>
      <c r="F25" s="49" t="e">
        <f>(('Input and Output'!E$23*'Input and Output'!$B$10)+('Input and Output'!E$24*Calculations!$C$5)+('Input and Output'!E$25*Calculations!$C$6)+('Input and Output'!E$26*(IF('Input and Output'!G$7="Detritus",Calculations!$C$4,J25))-(SUM('Input and Output'!E$27:E$32))*K24))</f>
        <v>#N/A</v>
      </c>
      <c r="H25" s="49">
        <f>IF(H$2="",NA(),C25*$B25+H24)</f>
        <v>3282.1001724880734</v>
      </c>
      <c r="I25" s="49">
        <f>IF(I$2="",NA(),D25*$B25+I24)</f>
        <v>34373.955765329745</v>
      </c>
      <c r="J25" s="49">
        <f>IF(J$2="",NA(),E25*$B25+J24)</f>
        <v>33380.516925954333</v>
      </c>
      <c r="K25" s="49" t="e">
        <f>IF(K$2="",NA(),F25*$B25+K24)</f>
        <v>#N/A</v>
      </c>
    </row>
    <row r="26" spans="1:11" x14ac:dyDescent="0.4">
      <c r="A26" s="49">
        <v>23</v>
      </c>
      <c r="B26" s="49">
        <f>A26/$B$1</f>
        <v>0.95833333333333337</v>
      </c>
      <c r="C26" s="49">
        <f>(('Input and Output'!B$23*'Input and Output'!$B$10)+('Input and Output'!B$24*Calculations!$C$5)+('Input and Output'!B$25*Calculations!$C$6)+('Input and Output'!B$26*(IF('Input and Output'!D$7="Detritus",Calculations!$C$4,G26))-(SUM('Input and Output'!B$27:B$32))*H25))</f>
        <v>309.67217415101067</v>
      </c>
      <c r="D26" s="49">
        <f>(('Input and Output'!C$23*'Input and Output'!$B$10)+('Input and Output'!C$24*Calculations!$C$5)+('Input and Output'!C$25*Calculations!$C$6)+('Input and Output'!C$26*(IF('Input and Output'!E$7="Detritus",Calculations!$C$4,H26))-(SUM('Input and Output'!C$27:C$32))*I25))</f>
        <v>3237.7435659450657</v>
      </c>
      <c r="E26" s="49">
        <f>(('Input and Output'!D$23*'Input and Output'!$B$10)+('Input and Output'!D$24*Calculations!$C$5)+('Input and Output'!D$25*Calculations!$C$6)+('Input and Output'!D$26*(IF('Input and Output'!F$7="Detritus",Calculations!$C$4,I26))-(SUM('Input and Output'!D$27:D$32))*J25))</f>
        <v>2700.5127746907101</v>
      </c>
      <c r="F26" s="49" t="e">
        <f>(('Input and Output'!E$23*'Input and Output'!$B$10)+('Input and Output'!E$24*Calculations!$C$5)+('Input and Output'!E$25*Calculations!$C$6)+('Input and Output'!E$26*(IF('Input and Output'!G$7="Detritus",Calculations!$C$4,J26))-(SUM('Input and Output'!E$27:E$32))*K25))</f>
        <v>#N/A</v>
      </c>
      <c r="H26" s="49">
        <f>IF(H$2="",NA(),C26*$B26+H25)</f>
        <v>3578.8693393827921</v>
      </c>
      <c r="I26" s="49">
        <f>IF(I$2="",NA(),D26*$B26+I25)</f>
        <v>37476.793349360436</v>
      </c>
      <c r="J26" s="49">
        <f>IF(J$2="",NA(),E26*$B26+J25)</f>
        <v>35968.50833503293</v>
      </c>
      <c r="K26" s="49" t="e">
        <f>IF(K$2="",NA(),F26*$B26+K25)</f>
        <v>#N/A</v>
      </c>
    </row>
    <row r="27" spans="1:11" x14ac:dyDescent="0.4">
      <c r="A27" s="49">
        <v>24</v>
      </c>
      <c r="B27" s="49">
        <f>A27/$B$1</f>
        <v>1</v>
      </c>
      <c r="C27" s="49">
        <f>(('Input and Output'!B$23*'Input and Output'!$B$10)+('Input and Output'!B$24*Calculations!$C$5)+('Input and Output'!B$25*Calculations!$C$6)+('Input and Output'!B$26*(IF('Input and Output'!D$7="Detritus",Calculations!$C$4,G27))-(SUM('Input and Output'!B$27:B$32))*H26))</f>
        <v>309.38605481195094</v>
      </c>
      <c r="D27" s="49">
        <f>(('Input and Output'!C$23*'Input and Output'!$B$10)+('Input and Output'!C$24*Calculations!$C$5)+('Input and Output'!C$25*Calculations!$C$6)+('Input and Output'!C$26*(IF('Input and Output'!E$7="Detritus",Calculations!$C$4,H27))-(SUM('Input and Output'!C$27:C$32))*I26))</f>
        <v>3233.7183111627596</v>
      </c>
      <c r="E27" s="49">
        <f>(('Input and Output'!D$23*'Input and Output'!$B$10)+('Input and Output'!D$24*Calculations!$C$5)+('Input and Output'!D$25*Calculations!$C$6)+('Input and Output'!D$26*(IF('Input and Output'!F$7="Detritus",Calculations!$C$4,I27))-(SUM('Input and Output'!D$27:D$32))*J26))</f>
        <v>2635.7371331740119</v>
      </c>
      <c r="F27" s="49" t="e">
        <f>(('Input and Output'!E$23*'Input and Output'!$B$10)+('Input and Output'!E$24*Calculations!$C$5)+('Input and Output'!E$25*Calculations!$C$6)+('Input and Output'!E$26*(IF('Input and Output'!G$7="Detritus",Calculations!$C$4,J27))-(SUM('Input and Output'!E$27:E$32))*K26))</f>
        <v>#N/A</v>
      </c>
      <c r="H27" s="49">
        <f>IF(H$2="",NA(),C27*$B27+H26)</f>
        <v>3888.2553941947431</v>
      </c>
      <c r="I27" s="49">
        <f>IF(I$2="",NA(),D27*$B27+I26)</f>
        <v>40710.511660523196</v>
      </c>
      <c r="J27" s="49">
        <f>IF(J$2="",NA(),E27*$B27+J26)</f>
        <v>38604.245468206944</v>
      </c>
      <c r="K27" s="49" t="e">
        <f>IF(K$2="",NA(),F27*$B27+K26)</f>
        <v>#N/A</v>
      </c>
    </row>
    <row r="28" spans="1:11" x14ac:dyDescent="0.4">
      <c r="A28" s="49">
        <v>25</v>
      </c>
      <c r="B28" s="49">
        <f>A28/$B$1</f>
        <v>1.0416666666666667</v>
      </c>
      <c r="C28" s="49">
        <f>(('Input and Output'!B$23*'Input and Output'!$B$10)+('Input and Output'!B$24*Calculations!$C$5)+('Input and Output'!B$25*Calculations!$C$6)+('Input and Output'!B$26*(IF('Input and Output'!D$7="Detritus",Calculations!$C$4,G28))-(SUM('Input and Output'!B$27:B$32))*H27))</f>
        <v>309.08777135331763</v>
      </c>
      <c r="D28" s="49">
        <f>(('Input and Output'!C$23*'Input and Output'!$B$10)+('Input and Output'!C$24*Calculations!$C$5)+('Input and Output'!C$25*Calculations!$C$6)+('Input and Output'!C$26*(IF('Input and Output'!E$7="Detritus",Calculations!$C$4,H28))-(SUM('Input and Output'!C$27:C$32))*I27))</f>
        <v>3229.5135801500228</v>
      </c>
      <c r="E28" s="49">
        <f>(('Input and Output'!D$23*'Input and Output'!$B$10)+('Input and Output'!D$24*Calculations!$C$5)+('Input and Output'!D$25*Calculations!$C$6)+('Input and Output'!D$26*(IF('Input and Output'!F$7="Detritus",Calculations!$C$4,I28))-(SUM('Input and Output'!D$27:D$32))*J27))</f>
        <v>2571.5217189071932</v>
      </c>
      <c r="F28" s="49" t="e">
        <f>(('Input and Output'!E$23*'Input and Output'!$B$10)+('Input and Output'!E$24*Calculations!$C$5)+('Input and Output'!E$25*Calculations!$C$6)+('Input and Output'!E$26*(IF('Input and Output'!G$7="Detritus",Calculations!$C$4,J28))-(SUM('Input and Output'!E$27:E$32))*K27))</f>
        <v>#N/A</v>
      </c>
      <c r="H28" s="49">
        <f>IF(H$2="",NA(),C28*$B28+H27)</f>
        <v>4210.2218226877822</v>
      </c>
      <c r="I28" s="49">
        <f>IF(I$2="",NA(),D28*$B28+I27)</f>
        <v>44074.5883065128</v>
      </c>
      <c r="J28" s="49">
        <f>IF(J$2="",NA(),E28*$B28+J27)</f>
        <v>41282.913925401939</v>
      </c>
      <c r="K28" s="49" t="e">
        <f>IF(K$2="",NA(),F28*$B28+K27)</f>
        <v>#N/A</v>
      </c>
    </row>
    <row r="29" spans="1:11" x14ac:dyDescent="0.4">
      <c r="A29" s="49">
        <v>26</v>
      </c>
      <c r="B29" s="49">
        <f>A29/$B$1</f>
        <v>1.0833333333333333</v>
      </c>
      <c r="C29" s="49">
        <f>(('Input and Output'!B$23*'Input and Output'!$B$10)+('Input and Output'!B$24*Calculations!$C$5)+('Input and Output'!B$25*Calculations!$C$6)+('Input and Output'!B$26*(IF('Input and Output'!D$7="Detritus",Calculations!$C$4,G29))-(SUM('Input and Output'!B$27:B$32))*H28))</f>
        <v>308.77735897900072</v>
      </c>
      <c r="D29" s="49">
        <f>(('Input and Output'!C$23*'Input and Output'!$B$10)+('Input and Output'!C$24*Calculations!$C$5)+('Input and Output'!C$25*Calculations!$C$6)+('Input and Output'!C$26*(IF('Input and Output'!E$7="Detritus",Calculations!$C$4,H29))-(SUM('Input and Output'!C$27:C$32))*I28))</f>
        <v>3225.1303411357994</v>
      </c>
      <c r="E29" s="49">
        <f>(('Input and Output'!D$23*'Input and Output'!$B$10)+('Input and Output'!D$24*Calculations!$C$5)+('Input and Output'!D$25*Calculations!$C$6)+('Input and Output'!D$26*(IF('Input and Output'!F$7="Detritus",Calculations!$C$4,I29))-(SUM('Input and Output'!D$27:D$32))*J28))</f>
        <v>2508.1228836083428</v>
      </c>
      <c r="F29" s="49" t="e">
        <f>(('Input and Output'!E$23*'Input and Output'!$B$10)+('Input and Output'!E$24*Calculations!$C$5)+('Input and Output'!E$25*Calculations!$C$6)+('Input and Output'!E$26*(IF('Input and Output'!G$7="Detritus",Calculations!$C$4,J29))-(SUM('Input and Output'!E$27:E$32))*K28))</f>
        <v>#N/A</v>
      </c>
      <c r="H29" s="49">
        <f>IF(H$2="",NA(),C29*$B29+H28)</f>
        <v>4544.730628248366</v>
      </c>
      <c r="I29" s="49">
        <f>IF(I$2="",NA(),D29*$B29+I28)</f>
        <v>47568.479509409917</v>
      </c>
      <c r="J29" s="49">
        <f>IF(J$2="",NA(),E29*$B29+J28)</f>
        <v>44000.047049310975</v>
      </c>
      <c r="K29" s="49" t="e">
        <f>IF(K$2="",NA(),F29*$B29+K28)</f>
        <v>#N/A</v>
      </c>
    </row>
    <row r="30" spans="1:11" x14ac:dyDescent="0.4">
      <c r="A30" s="49">
        <v>27</v>
      </c>
      <c r="B30" s="49">
        <f>A30/$B$1</f>
        <v>1.125</v>
      </c>
      <c r="C30" s="49">
        <f>(('Input and Output'!B$23*'Input and Output'!$B$10)+('Input and Output'!B$24*Calculations!$C$5)+('Input and Output'!B$25*Calculations!$C$6)+('Input and Output'!B$26*(IF('Input and Output'!D$7="Detritus",Calculations!$C$4,G30))-(SUM('Input and Output'!B$27:B$32))*H29))</f>
        <v>308.45485432207124</v>
      </c>
      <c r="D30" s="49">
        <f>(('Input and Output'!C$23*'Input and Output'!$B$10)+('Input and Output'!C$24*Calculations!$C$5)+('Input and Output'!C$25*Calculations!$C$6)+('Input and Output'!C$26*(IF('Input and Output'!E$7="Detritus",Calculations!$C$4,H30))-(SUM('Input and Output'!C$27:C$32))*I29))</f>
        <v>3220.5696036479935</v>
      </c>
      <c r="E30" s="49">
        <f>(('Input and Output'!D$23*'Input and Output'!$B$10)+('Input and Output'!D$24*Calculations!$C$5)+('Input and Output'!D$25*Calculations!$C$6)+('Input and Output'!D$26*(IF('Input and Output'!F$7="Detritus",Calculations!$C$4,I30))-(SUM('Input and Output'!D$27:D$32))*J29))</f>
        <v>2445.7769618650968</v>
      </c>
      <c r="F30" s="49" t="e">
        <f>(('Input and Output'!E$23*'Input and Output'!$B$10)+('Input and Output'!E$24*Calculations!$C$5)+('Input and Output'!E$25*Calculations!$C$6)+('Input and Output'!E$26*(IF('Input and Output'!G$7="Detritus",Calculations!$C$4,J30))-(SUM('Input and Output'!E$27:E$32))*K29))</f>
        <v>#N/A</v>
      </c>
      <c r="H30" s="49">
        <f>IF(H$2="",NA(),C30*$B30+H29)</f>
        <v>4891.742339360696</v>
      </c>
      <c r="I30" s="49">
        <f>IF(I$2="",NA(),D30*$B30+I29)</f>
        <v>51191.620313513908</v>
      </c>
      <c r="J30" s="49">
        <f>IF(J$2="",NA(),E30*$B30+J29)</f>
        <v>46751.54613140921</v>
      </c>
      <c r="K30" s="49" t="e">
        <f>IF(K$2="",NA(),F30*$B30+K29)</f>
        <v>#N/A</v>
      </c>
    </row>
    <row r="31" spans="1:11" x14ac:dyDescent="0.4">
      <c r="A31" s="49">
        <v>28</v>
      </c>
      <c r="B31" s="49">
        <f>A31/$B$1</f>
        <v>1.1666666666666667</v>
      </c>
      <c r="C31" s="49">
        <f>(('Input and Output'!B$23*'Input and Output'!$B$10)+('Input and Output'!B$24*Calculations!$C$5)+('Input and Output'!B$25*Calculations!$C$6)+('Input and Output'!B$26*(IF('Input and Output'!D$7="Detritus",Calculations!$C$4,G31))-(SUM('Input and Output'!B$27:B$32))*H30))</f>
        <v>308.1202954375741</v>
      </c>
      <c r="D31" s="49">
        <f>(('Input and Output'!C$23*'Input and Output'!$B$10)+('Input and Output'!C$24*Calculations!$C$5)+('Input and Output'!C$25*Calculations!$C$6)+('Input and Output'!C$26*(IF('Input and Output'!E$7="Detritus",Calculations!$C$4,H31))-(SUM('Input and Output'!C$27:C$32))*I30))</f>
        <v>3215.832417976671</v>
      </c>
      <c r="E31" s="49">
        <f>(('Input and Output'!D$23*'Input and Output'!$B$10)+('Input and Output'!D$24*Calculations!$C$5)+('Input and Output'!D$25*Calculations!$C$6)+('Input and Output'!D$26*(IF('Input and Output'!F$7="Detritus",Calculations!$C$4,I31))-(SUM('Input and Output'!D$27:D$32))*J30))</f>
        <v>2384.6991439243002</v>
      </c>
      <c r="F31" s="49" t="e">
        <f>(('Input and Output'!E$23*'Input and Output'!$B$10)+('Input and Output'!E$24*Calculations!$C$5)+('Input and Output'!E$25*Calculations!$C$6)+('Input and Output'!E$26*(IF('Input and Output'!G$7="Detritus",Calculations!$C$4,J31))-(SUM('Input and Output'!E$27:E$32))*K30))</f>
        <v>#N/A</v>
      </c>
      <c r="H31" s="49">
        <f>IF(H$2="",NA(),C31*$B31+H30)</f>
        <v>5251.2160173711991</v>
      </c>
      <c r="I31" s="49">
        <f>IF(I$2="",NA(),D31*$B31+I30)</f>
        <v>54943.424801153356</v>
      </c>
      <c r="J31" s="49">
        <f>IF(J$2="",NA(),E31*$B31+J30)</f>
        <v>49533.695132654226</v>
      </c>
      <c r="K31" s="49" t="e">
        <f>IF(K$2="",NA(),F31*$B31+K30)</f>
        <v>#N/A</v>
      </c>
    </row>
    <row r="32" spans="1:11" x14ac:dyDescent="0.4">
      <c r="A32" s="49">
        <v>29</v>
      </c>
      <c r="B32" s="49">
        <f>A32/$B$1</f>
        <v>1.2083333333333333</v>
      </c>
      <c r="C32" s="49">
        <f>(('Input and Output'!B$23*'Input and Output'!$B$10)+('Input and Output'!B$24*Calculations!$C$5)+('Input and Output'!B$25*Calculations!$C$6)+('Input and Output'!B$26*(IF('Input and Output'!D$7="Detritus",Calculations!$C$4,G32))-(SUM('Input and Output'!B$27:B$32))*H31))</f>
        <v>307.77372179504266</v>
      </c>
      <c r="D32" s="49">
        <f>(('Input and Output'!C$23*'Input and Output'!$B$10)+('Input and Output'!C$24*Calculations!$C$5)+('Input and Output'!C$25*Calculations!$C$6)+('Input and Output'!C$26*(IF('Input and Output'!E$7="Detritus",Calculations!$C$4,H32))-(SUM('Input and Output'!C$27:C$32))*I31))</f>
        <v>3210.9198746164279</v>
      </c>
      <c r="E32" s="49">
        <f>(('Input and Output'!D$23*'Input and Output'!$B$10)+('Input and Output'!D$24*Calculations!$C$5)+('Input and Output'!D$25*Calculations!$C$6)+('Input and Output'!D$26*(IF('Input and Output'!F$7="Detritus",Calculations!$C$4,I32))-(SUM('Input and Output'!D$27:D$32))*J31))</f>
        <v>2325.0826561333847</v>
      </c>
      <c r="F32" s="49" t="e">
        <f>(('Input and Output'!E$23*'Input and Output'!$B$10)+('Input and Output'!E$24*Calculations!$C$5)+('Input and Output'!E$25*Calculations!$C$6)+('Input and Output'!E$26*(IF('Input and Output'!G$7="Detritus",Calculations!$C$4,J32))-(SUM('Input and Output'!E$27:E$32))*K31))</f>
        <v>#N/A</v>
      </c>
      <c r="H32" s="49">
        <f>IF(H$2="",NA(),C32*$B32+H31)</f>
        <v>5623.1092645402086</v>
      </c>
      <c r="I32" s="49">
        <f>IF(I$2="",NA(),D32*$B32+I31)</f>
        <v>58823.286316314872</v>
      </c>
      <c r="J32" s="49">
        <f>IF(J$2="",NA(),E32*$B32+J31)</f>
        <v>52343.170008815396</v>
      </c>
      <c r="K32" s="49" t="e">
        <f>IF(K$2="",NA(),F32*$B32+K31)</f>
        <v>#N/A</v>
      </c>
    </row>
    <row r="33" spans="1:11" x14ac:dyDescent="0.4">
      <c r="A33" s="49">
        <v>30</v>
      </c>
      <c r="B33" s="49">
        <f>A33/$B$1</f>
        <v>1.25</v>
      </c>
      <c r="C33" s="49">
        <f>(('Input and Output'!B$23*'Input and Output'!$B$10)+('Input and Output'!B$24*Calculations!$C$5)+('Input and Output'!B$25*Calculations!$C$6)+('Input and Output'!B$26*(IF('Input and Output'!D$7="Detritus",Calculations!$C$4,G33))-(SUM('Input and Output'!B$27:B$32))*H32))</f>
        <v>307.41517427073563</v>
      </c>
      <c r="D33" s="49">
        <f>(('Input and Output'!C$23*'Input and Output'!$B$10)+('Input and Output'!C$24*Calculations!$C$5)+('Input and Output'!C$25*Calculations!$C$6)+('Input and Output'!C$26*(IF('Input and Output'!E$7="Detritus",Calculations!$C$4,H33))-(SUM('Input and Output'!C$27:C$32))*I32))</f>
        <v>3205.8331036884233</v>
      </c>
      <c r="E33" s="49">
        <f>(('Input and Output'!D$23*'Input and Output'!$B$10)+('Input and Output'!D$24*Calculations!$C$5)+('Input and Output'!D$25*Calculations!$C$6)+('Input and Output'!D$26*(IF('Input and Output'!F$7="Detritus",Calculations!$C$4,I33))-(SUM('Input and Output'!D$27:D$32))*J32))</f>
        <v>2267.0982439879635</v>
      </c>
      <c r="F33" s="49" t="e">
        <f>(('Input and Output'!E$23*'Input and Output'!$B$10)+('Input and Output'!E$24*Calculations!$C$5)+('Input and Output'!E$25*Calculations!$C$6)+('Input and Output'!E$26*(IF('Input and Output'!G$7="Detritus",Calculations!$C$4,J33))-(SUM('Input and Output'!E$27:E$32))*K32))</f>
        <v>#N/A</v>
      </c>
      <c r="H33" s="49">
        <f>IF(H$2="",NA(),C33*$B33+H32)</f>
        <v>6007.3782323786281</v>
      </c>
      <c r="I33" s="49">
        <f>IF(I$2="",NA(),D33*$B33+I32)</f>
        <v>62830.5776959254</v>
      </c>
      <c r="J33" s="49">
        <f>IF(J$2="",NA(),E33*$B33+J32)</f>
        <v>55177.042813800348</v>
      </c>
      <c r="K33" s="49" t="e">
        <f>IF(K$2="",NA(),F33*$B33+K32)</f>
        <v>#N/A</v>
      </c>
    </row>
    <row r="34" spans="1:11" x14ac:dyDescent="0.4">
      <c r="A34" s="49">
        <v>31</v>
      </c>
      <c r="B34" s="49">
        <f>A34/$B$1</f>
        <v>1.2916666666666667</v>
      </c>
      <c r="C34" s="49">
        <f>(('Input and Output'!B$23*'Input and Output'!$B$10)+('Input and Output'!B$24*Calculations!$C$5)+('Input and Output'!B$25*Calculations!$C$6)+('Input and Output'!B$26*(IF('Input and Output'!D$7="Detritus",Calculations!$C$4,G34))-(SUM('Input and Output'!B$27:B$32))*H33))</f>
        <v>307.04469513959975</v>
      </c>
      <c r="D34" s="49">
        <f>(('Input and Output'!C$23*'Input and Output'!$B$10)+('Input and Output'!C$24*Calculations!$C$5)+('Input and Output'!C$25*Calculations!$C$6)+('Input and Output'!C$26*(IF('Input and Output'!E$7="Detritus",Calculations!$C$4,H34))-(SUM('Input and Output'!C$27:C$32))*I33))</f>
        <v>3200.5732743425738</v>
      </c>
      <c r="E34" s="49">
        <f>(('Input and Output'!D$23*'Input and Output'!$B$10)+('Input and Output'!D$24*Calculations!$C$5)+('Input and Output'!D$25*Calculations!$C$6)+('Input and Output'!D$26*(IF('Input and Output'!F$7="Detritus",Calculations!$C$4,I34))-(SUM('Input and Output'!D$27:D$32))*J33))</f>
        <v>2210.8939480639528</v>
      </c>
      <c r="F34" s="49" t="e">
        <f>(('Input and Output'!E$23*'Input and Output'!$B$10)+('Input and Output'!E$24*Calculations!$C$5)+('Input and Output'!E$25*Calculations!$C$6)+('Input and Output'!E$26*(IF('Input and Output'!G$7="Detritus",Calculations!$C$4,J34))-(SUM('Input and Output'!E$27:E$32))*K33))</f>
        <v>#N/A</v>
      </c>
      <c r="H34" s="49">
        <f>IF(H$2="",NA(),C34*$B34+H33)</f>
        <v>6403.9776302672781</v>
      </c>
      <c r="I34" s="49">
        <f>IF(I$2="",NA(),D34*$B34+I33)</f>
        <v>66964.651508617884</v>
      </c>
      <c r="J34" s="49">
        <f>IF(J$2="",NA(),E34*$B34+J33)</f>
        <v>58032.780830049618</v>
      </c>
      <c r="K34" s="49" t="e">
        <f>IF(K$2="",NA(),F34*$B34+K33)</f>
        <v>#N/A</v>
      </c>
    </row>
    <row r="35" spans="1:11" x14ac:dyDescent="0.4">
      <c r="A35" s="49">
        <v>32</v>
      </c>
      <c r="B35" s="49">
        <f>A35/$B$1</f>
        <v>1.3333333333333333</v>
      </c>
      <c r="C35" s="49">
        <f>(('Input and Output'!B$23*'Input and Output'!$B$10)+('Input and Output'!B$24*Calculations!$C$5)+('Input and Output'!B$25*Calculations!$C$6)+('Input and Output'!B$26*(IF('Input and Output'!D$7="Detritus",Calculations!$C$4,G35))-(SUM('Input and Output'!B$27:B$32))*H34))</f>
        <v>306.66232806695967</v>
      </c>
      <c r="D35" s="49">
        <f>(('Input and Output'!C$23*'Input and Output'!$B$10)+('Input and Output'!C$24*Calculations!$C$5)+('Input and Output'!C$25*Calculations!$C$6)+('Input and Output'!C$26*(IF('Input and Output'!E$7="Detritus",Calculations!$C$4,H35))-(SUM('Input and Output'!C$27:C$32))*I34))</f>
        <v>3195.1415941404393</v>
      </c>
      <c r="E35" s="49">
        <f>(('Input and Output'!D$23*'Input and Output'!$B$10)+('Input and Output'!D$24*Calculations!$C$5)+('Input and Output'!D$25*Calculations!$C$6)+('Input and Output'!D$26*(IF('Input and Output'!F$7="Detritus",Calculations!$C$4,I35))-(SUM('Input and Output'!D$27:D$32))*J34))</f>
        <v>2156.595158869171</v>
      </c>
      <c r="F35" s="49" t="e">
        <f>(('Input and Output'!E$23*'Input and Output'!$B$10)+('Input and Output'!E$24*Calculations!$C$5)+('Input and Output'!E$25*Calculations!$C$6)+('Input and Output'!E$26*(IF('Input and Output'!G$7="Detritus",Calculations!$C$4,J35))-(SUM('Input and Output'!E$27:E$32))*K34))</f>
        <v>#N/A</v>
      </c>
      <c r="H35" s="49">
        <f>IF(H$2="",NA(),C35*$B35+H34)</f>
        <v>6812.8607343565573</v>
      </c>
      <c r="I35" s="49">
        <f>IF(I$2="",NA(),D35*$B35+I34)</f>
        <v>71224.840300805139</v>
      </c>
      <c r="J35" s="49">
        <f>IF(J$2="",NA(),E35*$B35+J34)</f>
        <v>60908.241041875182</v>
      </c>
      <c r="K35" s="49" t="e">
        <f>IF(K$2="",NA(),F35*$B35+K34)</f>
        <v>#N/A</v>
      </c>
    </row>
    <row r="36" spans="1:11" x14ac:dyDescent="0.4">
      <c r="A36" s="49">
        <v>33</v>
      </c>
      <c r="B36" s="49">
        <f>A36/$B$1</f>
        <v>1.375</v>
      </c>
      <c r="C36" s="49">
        <f>(('Input and Output'!B$23*'Input and Output'!$B$10)+('Input and Output'!B$24*Calculations!$C$5)+('Input and Output'!B$25*Calculations!$C$6)+('Input and Output'!B$26*(IF('Input and Output'!D$7="Detritus",Calculations!$C$4,G36))-(SUM('Input and Output'!B$27:B$32))*H35))</f>
        <v>306.26811809993768</v>
      </c>
      <c r="D36" s="49">
        <f>(('Input and Output'!C$23*'Input and Output'!$B$10)+('Input and Output'!C$24*Calculations!$C$5)+('Input and Output'!C$25*Calculations!$C$6)+('Input and Output'!C$26*(IF('Input and Output'!E$7="Detritus",Calculations!$C$4,H36))-(SUM('Input and Output'!C$27:C$32))*I35))</f>
        <v>3189.5393084193283</v>
      </c>
      <c r="E36" s="49">
        <f>(('Input and Output'!D$23*'Input and Output'!$B$10)+('Input and Output'!D$24*Calculations!$C$5)+('Input and Output'!D$25*Calculations!$C$6)+('Input and Output'!D$26*(IF('Input and Output'!F$7="Detritus",Calculations!$C$4,I36))-(SUM('Input and Output'!D$27:D$32))*J35))</f>
        <v>2104.3049329047872</v>
      </c>
      <c r="F36" s="49" t="e">
        <f>(('Input and Output'!E$23*'Input and Output'!$B$10)+('Input and Output'!E$24*Calculations!$C$5)+('Input and Output'!E$25*Calculations!$C$6)+('Input and Output'!E$26*(IF('Input and Output'!G$7="Detritus",Calculations!$C$4,J36))-(SUM('Input and Output'!E$27:E$32))*K35))</f>
        <v>#N/A</v>
      </c>
      <c r="H36" s="49">
        <f>IF(H$2="",NA(),C36*$B36+H35)</f>
        <v>7233.9793967439718</v>
      </c>
      <c r="I36" s="49">
        <f>IF(I$2="",NA(),D36*$B36+I35)</f>
        <v>75610.45684988171</v>
      </c>
      <c r="J36" s="49">
        <f>IF(J$2="",NA(),E36*$B36+J35)</f>
        <v>63801.660324619268</v>
      </c>
      <c r="K36" s="49" t="e">
        <f>IF(K$2="",NA(),F36*$B36+K35)</f>
        <v>#N/A</v>
      </c>
    </row>
    <row r="37" spans="1:11" x14ac:dyDescent="0.4">
      <c r="A37" s="49">
        <v>34</v>
      </c>
      <c r="B37" s="49">
        <f>A37/$B$1</f>
        <v>1.4166666666666667</v>
      </c>
      <c r="C37" s="49">
        <f>(('Input and Output'!B$23*'Input and Output'!$B$10)+('Input and Output'!B$24*Calculations!$C$5)+('Input and Output'!B$25*Calculations!$C$6)+('Input and Output'!B$26*(IF('Input and Output'!D$7="Detritus",Calculations!$C$4,G37))-(SUM('Input and Output'!B$27:B$32))*H36))</f>
        <v>305.86211165860567</v>
      </c>
      <c r="D37" s="49">
        <f>(('Input and Output'!C$23*'Input and Output'!$B$10)+('Input and Output'!C$24*Calculations!$C$5)+('Input and Output'!C$25*Calculations!$C$6)+('Input and Output'!C$26*(IF('Input and Output'!E$7="Detritus",Calculations!$C$4,H37))-(SUM('Input and Output'!C$27:C$32))*I36))</f>
        <v>3183.7676996381815</v>
      </c>
      <c r="E37" s="49">
        <f>(('Input and Output'!D$23*'Input and Output'!$B$10)+('Input and Output'!D$24*Calculations!$C$5)+('Input and Output'!D$25*Calculations!$C$6)+('Input and Output'!D$26*(IF('Input and Output'!F$7="Detritus",Calculations!$C$4,I37))-(SUM('Input and Output'!D$27:D$32))*J36))</f>
        <v>2054.104549031922</v>
      </c>
      <c r="F37" s="49" t="e">
        <f>(('Input and Output'!E$23*'Input and Output'!$B$10)+('Input and Output'!E$24*Calculations!$C$5)+('Input and Output'!E$25*Calculations!$C$6)+('Input and Output'!E$26*(IF('Input and Output'!G$7="Detritus",Calculations!$C$4,J37))-(SUM('Input and Output'!E$27:E$32))*K36))</f>
        <v>#N/A</v>
      </c>
      <c r="H37" s="49">
        <f>IF(H$2="",NA(),C37*$B37+H36)</f>
        <v>7667.2840549269968</v>
      </c>
      <c r="I37" s="49">
        <f>IF(I$2="",NA(),D37*$B37+I36)</f>
        <v>80120.794424369131</v>
      </c>
      <c r="J37" s="49">
        <f>IF(J$2="",NA(),E37*$B37+J36)</f>
        <v>66711.64176908115</v>
      </c>
      <c r="K37" s="49" t="e">
        <f>IF(K$2="",NA(),F37*$B37+K36)</f>
        <v>#N/A</v>
      </c>
    </row>
    <row r="38" spans="1:11" x14ac:dyDescent="0.4">
      <c r="A38" s="49">
        <v>35</v>
      </c>
      <c r="B38" s="49">
        <f>A38/$B$1</f>
        <v>1.4583333333333333</v>
      </c>
      <c r="C38" s="49">
        <f>(('Input and Output'!B$23*'Input and Output'!$B$10)+('Input and Output'!B$24*Calculations!$C$5)+('Input and Output'!B$25*Calculations!$C$6)+('Input and Output'!B$26*(IF('Input and Output'!D$7="Detritus",Calculations!$C$4,G38))-(SUM('Input and Output'!B$27:B$32))*H37))</f>
        <v>305.44435652687127</v>
      </c>
      <c r="D38" s="49">
        <f>(('Input and Output'!C$23*'Input and Output'!$B$10)+('Input and Output'!C$24*Calculations!$C$5)+('Input and Output'!C$25*Calculations!$C$6)+('Input and Output'!C$26*(IF('Input and Output'!E$7="Detritus",Calculations!$C$4,H38))-(SUM('Input and Output'!C$27:C$32))*I37))</f>
        <v>3177.8280867057942</v>
      </c>
      <c r="E38" s="49">
        <f>(('Input and Output'!D$23*'Input and Output'!$B$10)+('Input and Output'!D$24*Calculations!$C$5)+('Input and Output'!D$25*Calculations!$C$6)+('Input and Output'!D$26*(IF('Input and Output'!F$7="Detritus",Calculations!$C$4,I38))-(SUM('Input and Output'!D$27:D$32))*J37))</f>
        <v>2006.0542816281959</v>
      </c>
      <c r="F38" s="49" t="e">
        <f>(('Input and Output'!E$23*'Input and Output'!$B$10)+('Input and Output'!E$24*Calculations!$C$5)+('Input and Output'!E$25*Calculations!$C$6)+('Input and Output'!E$26*(IF('Input and Output'!G$7="Detritus",Calculations!$C$4,J38))-(SUM('Input and Output'!E$27:E$32))*K37))</f>
        <v>#N/A</v>
      </c>
      <c r="H38" s="49">
        <f>IF(H$2="",NA(),C38*$B38+H37)</f>
        <v>8112.7237415286836</v>
      </c>
      <c r="I38" s="49">
        <f>IF(I$2="",NA(),D38*$B38+I37)</f>
        <v>84755.127050815077</v>
      </c>
      <c r="J38" s="49">
        <f>IF(J$2="",NA(),E38*$B38+J37)</f>
        <v>69637.137596455606</v>
      </c>
      <c r="K38" s="49" t="e">
        <f>IF(K$2="",NA(),F38*$B38+K37)</f>
        <v>#N/A</v>
      </c>
    </row>
    <row r="39" spans="1:11" x14ac:dyDescent="0.4">
      <c r="A39" s="49">
        <v>36</v>
      </c>
      <c r="B39" s="49">
        <f>A39/$B$1</f>
        <v>1.5</v>
      </c>
      <c r="C39" s="49">
        <f>(('Input and Output'!B$23*'Input and Output'!$B$10)+('Input and Output'!B$24*Calculations!$C$5)+('Input and Output'!B$25*Calculations!$C$6)+('Input and Output'!B$26*(IF('Input and Output'!D$7="Detritus",Calculations!$C$4,G39))-(SUM('Input and Output'!B$27:B$32))*H38))</f>
        <v>305.01490184310137</v>
      </c>
      <c r="D39" s="49">
        <f>(('Input and Output'!C$23*'Input and Output'!$B$10)+('Input and Output'!C$24*Calculations!$C$5)+('Input and Output'!C$25*Calculations!$C$6)+('Input and Output'!C$26*(IF('Input and Output'!E$7="Detritus",Calculations!$C$4,H39))-(SUM('Input and Output'!C$27:C$32))*I38))</f>
        <v>3171.7218242919662</v>
      </c>
      <c r="E39" s="49">
        <f>(('Input and Output'!D$23*'Input and Output'!$B$10)+('Input and Output'!D$24*Calculations!$C$5)+('Input and Output'!D$25*Calculations!$C$6)+('Input and Output'!D$26*(IF('Input and Output'!F$7="Detritus",Calculations!$C$4,I39))-(SUM('Input and Output'!D$27:D$32))*J38))</f>
        <v>1960.1943650125686</v>
      </c>
      <c r="F39" s="49" t="e">
        <f>(('Input and Output'!E$23*'Input and Output'!$B$10)+('Input and Output'!E$24*Calculations!$C$5)+('Input and Output'!E$25*Calculations!$C$6)+('Input and Output'!E$26*(IF('Input and Output'!G$7="Detritus",Calculations!$C$4,J39))-(SUM('Input and Output'!E$27:E$32))*K38))</f>
        <v>#N/A</v>
      </c>
      <c r="H39" s="49">
        <f>IF(H$2="",NA(),C39*$B39+H38)</f>
        <v>8570.2460942933358</v>
      </c>
      <c r="I39" s="49">
        <f>IF(I$2="",NA(),D39*$B39+I38)</f>
        <v>89512.709787253028</v>
      </c>
      <c r="J39" s="49">
        <f>IF(J$2="",NA(),E39*$B39+J38)</f>
        <v>72577.429143974456</v>
      </c>
      <c r="K39" s="49" t="e">
        <f>IF(K$2="",NA(),F39*$B39+K38)</f>
        <v>#N/A</v>
      </c>
    </row>
    <row r="40" spans="1:11" x14ac:dyDescent="0.4">
      <c r="A40" s="49">
        <v>37</v>
      </c>
      <c r="B40" s="49">
        <f>A40/$B$1</f>
        <v>1.5416666666666667</v>
      </c>
      <c r="C40" s="49">
        <f>(('Input and Output'!B$23*'Input and Output'!$B$10)+('Input and Output'!B$24*Calculations!$C$5)+('Input and Output'!B$25*Calculations!$C$6)+('Input and Output'!B$26*(IF('Input and Output'!D$7="Detritus",Calculations!$C$4,G40))-(SUM('Input and Output'!B$27:B$32))*H39))</f>
        <v>304.57379809048513</v>
      </c>
      <c r="D40" s="49">
        <f>(('Input and Output'!C$23*'Input and Output'!$B$10)+('Input and Output'!C$24*Calculations!$C$5)+('Input and Output'!C$25*Calculations!$C$6)+('Input and Output'!C$26*(IF('Input and Output'!E$7="Detritus",Calculations!$C$4,H40))-(SUM('Input and Output'!C$27:C$32))*I39))</f>
        <v>3165.4503021221562</v>
      </c>
      <c r="E40" s="49">
        <f>(('Input and Output'!D$23*'Input and Output'!$B$10)+('Input and Output'!D$24*Calculations!$C$5)+('Input and Output'!D$25*Calculations!$C$6)+('Input and Output'!D$26*(IF('Input and Output'!F$7="Detritus",Calculations!$C$4,I40))-(SUM('Input and Output'!D$27:D$32))*J39))</f>
        <v>1916.5461222182953</v>
      </c>
      <c r="F40" s="49" t="e">
        <f>(('Input and Output'!E$23*'Input and Output'!$B$10)+('Input and Output'!E$24*Calculations!$C$5)+('Input and Output'!E$25*Calculations!$C$6)+('Input and Output'!E$26*(IF('Input and Output'!G$7="Detritus",Calculations!$C$4,J40))-(SUM('Input and Output'!E$27:E$32))*K39))</f>
        <v>#N/A</v>
      </c>
      <c r="H40" s="49">
        <f>IF(H$2="",NA(),C40*$B40+H39)</f>
        <v>9039.7973663494995</v>
      </c>
      <c r="I40" s="49">
        <f>IF(I$2="",NA(),D40*$B40+I39)</f>
        <v>94392.779003024683</v>
      </c>
      <c r="J40" s="49">
        <f>IF(J$2="",NA(),E40*$B40+J39)</f>
        <v>75532.104415727663</v>
      </c>
      <c r="K40" s="49" t="e">
        <f>IF(K$2="",NA(),F40*$B40+K39)</f>
        <v>#N/A</v>
      </c>
    </row>
    <row r="41" spans="1:11" x14ac:dyDescent="0.4">
      <c r="A41" s="49">
        <v>38</v>
      </c>
      <c r="B41" s="49">
        <f>A41/$B$1</f>
        <v>1.5833333333333333</v>
      </c>
      <c r="C41" s="49">
        <f>(('Input and Output'!B$23*'Input and Output'!$B$10)+('Input and Output'!B$24*Calculations!$C$5)+('Input and Output'!B$25*Calculations!$C$6)+('Input and Output'!B$26*(IF('Input and Output'!D$7="Detritus",Calculations!$C$4,G41))-(SUM('Input and Output'!B$27:B$32))*H40))</f>
        <v>304.12109708713928</v>
      </c>
      <c r="D41" s="49">
        <f>(('Input and Output'!C$23*'Input and Output'!$B$10)+('Input and Output'!C$24*Calculations!$C$5)+('Input and Output'!C$25*Calculations!$C$6)+('Input and Output'!C$26*(IF('Input and Output'!E$7="Detritus",Calculations!$C$4,H41))-(SUM('Input and Output'!C$27:C$32))*I40))</f>
        <v>3159.0149442562647</v>
      </c>
      <c r="E41" s="49">
        <f>(('Input and Output'!D$23*'Input and Output'!$B$10)+('Input and Output'!D$24*Calculations!$C$5)+('Input and Output'!D$25*Calculations!$C$6)+('Input and Output'!D$26*(IF('Input and Output'!F$7="Detritus",Calculations!$C$4,I41))-(SUM('Input and Output'!D$27:D$32))*J40))</f>
        <v>1875.1132303931004</v>
      </c>
      <c r="F41" s="49" t="e">
        <f>(('Input and Output'!E$23*'Input and Output'!$B$10)+('Input and Output'!E$24*Calculations!$C$5)+('Input and Output'!E$25*Calculations!$C$6)+('Input and Output'!E$26*(IF('Input and Output'!G$7="Detritus",Calculations!$C$4,J41))-(SUM('Input and Output'!E$27:E$32))*K40))</f>
        <v>#N/A</v>
      </c>
      <c r="H41" s="49">
        <f>IF(H$2="",NA(),C41*$B41+H40)</f>
        <v>9521.3224367374696</v>
      </c>
      <c r="I41" s="49">
        <f>IF(I$2="",NA(),D41*$B41+I40)</f>
        <v>99394.552664763774</v>
      </c>
      <c r="J41" s="49">
        <f>IF(J$2="",NA(),E41*$B41+J40)</f>
        <v>78501.033697183404</v>
      </c>
      <c r="K41" s="49" t="e">
        <f>IF(K$2="",NA(),F41*$B41+K40)</f>
        <v>#N/A</v>
      </c>
    </row>
    <row r="42" spans="1:11" x14ac:dyDescent="0.4">
      <c r="A42" s="49">
        <v>39</v>
      </c>
      <c r="B42" s="49">
        <f>A42/$B$1</f>
        <v>1.625</v>
      </c>
      <c r="C42" s="49">
        <f>(('Input and Output'!B$23*'Input and Output'!$B$10)+('Input and Output'!B$24*Calculations!$C$5)+('Input and Output'!B$25*Calculations!$C$6)+('Input and Output'!B$26*(IF('Input and Output'!D$7="Detritus",Calculations!$C$4,G42))-(SUM('Input and Output'!B$27:B$32))*H41))</f>
        <v>303.65685197595843</v>
      </c>
      <c r="D42" s="49">
        <f>(('Input and Output'!C$23*'Input and Output'!$B$10)+('Input and Output'!C$24*Calculations!$C$5)+('Input and Output'!C$25*Calculations!$C$6)+('Input and Output'!C$26*(IF('Input and Output'!E$7="Detritus",Calculations!$C$4,H42))-(SUM('Input and Output'!C$27:C$32))*I41))</f>
        <v>3152.4172083521412</v>
      </c>
      <c r="E42" s="49">
        <f>(('Input and Output'!D$23*'Input and Output'!$B$10)+('Input and Output'!D$24*Calculations!$C$5)+('Input and Output'!D$25*Calculations!$C$6)+('Input and Output'!D$26*(IF('Input and Output'!F$7="Detritus",Calculations!$C$4,I42))-(SUM('Input and Output'!D$27:D$32))*J41))</f>
        <v>1835.8830948789223</v>
      </c>
      <c r="F42" s="49" t="e">
        <f>(('Input and Output'!E$23*'Input and Output'!$B$10)+('Input and Output'!E$24*Calculations!$C$5)+('Input and Output'!E$25*Calculations!$C$6)+('Input and Output'!E$26*(IF('Input and Output'!G$7="Detritus",Calculations!$C$4,J42))-(SUM('Input and Output'!E$27:E$32))*K41))</f>
        <v>#N/A</v>
      </c>
      <c r="H42" s="49">
        <f>IF(H$2="",NA(),C42*$B42+H41)</f>
        <v>10014.764821198401</v>
      </c>
      <c r="I42" s="49">
        <f>IF(I$2="",NA(),D42*$B42+I41)</f>
        <v>104517.23062833601</v>
      </c>
      <c r="J42" s="49">
        <f>IF(J$2="",NA(),E42*$B42+J41)</f>
        <v>81484.343726361651</v>
      </c>
      <c r="K42" s="49" t="e">
        <f>IF(K$2="",NA(),F42*$B42+K41)</f>
        <v>#N/A</v>
      </c>
    </row>
    <row r="43" spans="1:11" x14ac:dyDescent="0.4">
      <c r="A43" s="49">
        <v>40</v>
      </c>
      <c r="B43" s="49">
        <f>A43/$B$1</f>
        <v>1.6666666666666667</v>
      </c>
      <c r="C43" s="49">
        <f>(('Input and Output'!B$23*'Input and Output'!$B$10)+('Input and Output'!B$24*Calculations!$C$5)+('Input and Output'!B$25*Calculations!$C$6)+('Input and Output'!B$26*(IF('Input and Output'!D$7="Detritus",Calculations!$C$4,G43))-(SUM('Input and Output'!B$27:B$32))*H42))</f>
        <v>303.1811172142132</v>
      </c>
      <c r="D43" s="49">
        <f>(('Input and Output'!C$23*'Input and Output'!$B$10)+('Input and Output'!C$24*Calculations!$C$5)+('Input and Output'!C$25*Calculations!$C$6)+('Input and Output'!C$26*(IF('Input and Output'!E$7="Detritus",Calculations!$C$4,H43))-(SUM('Input and Output'!C$27:C$32))*I42))</f>
        <v>3145.6585849144608</v>
      </c>
      <c r="E43" s="49">
        <f>(('Input and Output'!D$23*'Input and Output'!$B$10)+('Input and Output'!D$24*Calculations!$C$5)+('Input and Output'!D$25*Calculations!$C$6)+('Input and Output'!D$26*(IF('Input and Output'!F$7="Detritus",Calculations!$C$4,I43))-(SUM('Input and Output'!D$27:D$32))*J42))</f>
        <v>1798.8283043354463</v>
      </c>
      <c r="F43" s="49" t="e">
        <f>(('Input and Output'!E$23*'Input and Output'!$B$10)+('Input and Output'!E$24*Calculations!$C$5)+('Input and Output'!E$25*Calculations!$C$6)+('Input and Output'!E$26*(IF('Input and Output'!G$7="Detritus",Calculations!$C$4,J43))-(SUM('Input and Output'!E$27:E$32))*K42))</f>
        <v>#N/A</v>
      </c>
      <c r="H43" s="49">
        <f>IF(H$2="",NA(),C43*$B43+H42)</f>
        <v>10520.06668322209</v>
      </c>
      <c r="I43" s="49">
        <f>IF(I$2="",NA(),D43*$B43+I42)</f>
        <v>109759.99493652678</v>
      </c>
      <c r="J43" s="49">
        <f>IF(J$2="",NA(),E43*$B43+J42)</f>
        <v>84482.39090025406</v>
      </c>
      <c r="K43" s="49" t="e">
        <f>IF(K$2="",NA(),F43*$B43+K42)</f>
        <v>#N/A</v>
      </c>
    </row>
    <row r="44" spans="1:11" x14ac:dyDescent="0.4">
      <c r="A44" s="49">
        <v>41</v>
      </c>
      <c r="B44" s="49">
        <f>A44/$B$1</f>
        <v>1.7083333333333333</v>
      </c>
      <c r="C44" s="49">
        <f>(('Input and Output'!B$23*'Input and Output'!$B$10)+('Input and Output'!B$24*Calculations!$C$5)+('Input and Output'!B$25*Calculations!$C$6)+('Input and Output'!B$26*(IF('Input and Output'!D$7="Detritus",Calculations!$C$4,G44))-(SUM('Input and Output'!B$27:B$32))*H43))</f>
        <v>302.69394856289858</v>
      </c>
      <c r="D44" s="49">
        <f>(('Input and Output'!C$23*'Input and Output'!$B$10)+('Input and Output'!C$24*Calculations!$C$5)+('Input and Output'!C$25*Calculations!$C$6)+('Input and Output'!C$26*(IF('Input and Output'!E$7="Detritus",Calculations!$C$4,H44))-(SUM('Input and Output'!C$27:C$32))*I43))</f>
        <v>3138.7405965295948</v>
      </c>
      <c r="E44" s="49">
        <f>(('Input and Output'!D$23*'Input and Output'!$B$10)+('Input and Output'!D$24*Calculations!$C$5)+('Input and Output'!D$25*Calculations!$C$6)+('Input and Output'!D$26*(IF('Input and Output'!F$7="Detritus",Calculations!$C$4,I44))-(SUM('Input and Output'!D$27:D$32))*J43))</f>
        <v>1763.9081400765285</v>
      </c>
      <c r="F44" s="49" t="e">
        <f>(('Input and Output'!E$23*'Input and Output'!$B$10)+('Input and Output'!E$24*Calculations!$C$5)+('Input and Output'!E$25*Calculations!$C$6)+('Input and Output'!E$26*(IF('Input and Output'!G$7="Detritus",Calculations!$C$4,J44))-(SUM('Input and Output'!E$27:E$32))*K43))</f>
        <v>#N/A</v>
      </c>
      <c r="H44" s="49">
        <f>IF(H$2="",NA(),C44*$B44+H43)</f>
        <v>11037.168845350376</v>
      </c>
      <c r="I44" s="49">
        <f>IF(I$2="",NA(),D44*$B44+I43)</f>
        <v>115122.01012226484</v>
      </c>
      <c r="J44" s="49">
        <f>IF(J$2="",NA(),E44*$B44+J43)</f>
        <v>87495.733972884802</v>
      </c>
      <c r="K44" s="49" t="e">
        <f>IF(K$2="",NA(),F44*$B44+K43)</f>
        <v>#N/A</v>
      </c>
    </row>
    <row r="45" spans="1:11" x14ac:dyDescent="0.4">
      <c r="A45" s="49">
        <v>42</v>
      </c>
      <c r="B45" s="49">
        <f>A45/$B$1</f>
        <v>1.75</v>
      </c>
      <c r="C45" s="49">
        <f>(('Input and Output'!B$23*'Input and Output'!$B$10)+('Input and Output'!B$24*Calculations!$C$5)+('Input and Output'!B$25*Calculations!$C$6)+('Input and Output'!B$26*(IF('Input and Output'!D$7="Detritus",Calculations!$C$4,G45))-(SUM('Input and Output'!B$27:B$32))*H44))</f>
        <v>302.19540307583668</v>
      </c>
      <c r="D45" s="49">
        <f>(('Input and Output'!C$23*'Input and Output'!$B$10)+('Input and Output'!C$24*Calculations!$C$5)+('Input and Output'!C$25*Calculations!$C$6)+('Input and Output'!C$26*(IF('Input and Output'!E$7="Detritus",Calculations!$C$4,H45))-(SUM('Input and Output'!C$27:C$32))*I44))</f>
        <v>3131.6647970871231</v>
      </c>
      <c r="E45" s="49">
        <f>(('Input and Output'!D$23*'Input and Output'!$B$10)+('Input and Output'!D$24*Calculations!$C$5)+('Input and Output'!D$25*Calculations!$C$6)+('Input and Output'!D$26*(IF('Input and Output'!F$7="Detritus",Calculations!$C$4,I45))-(SUM('Input and Output'!D$27:D$32))*J44))</f>
        <v>1731.0701140328028</v>
      </c>
      <c r="F45" s="49" t="e">
        <f>(('Input and Output'!E$23*'Input and Output'!$B$10)+('Input and Output'!E$24*Calculations!$C$5)+('Input and Output'!E$25*Calculations!$C$6)+('Input and Output'!E$26*(IF('Input and Output'!G$7="Detritus",Calculations!$C$4,J45))-(SUM('Input and Output'!E$27:E$32))*K44))</f>
        <v>#N/A</v>
      </c>
      <c r="H45" s="49">
        <f>IF(H$2="",NA(),C45*$B45+H44)</f>
        <v>11566.010800733089</v>
      </c>
      <c r="I45" s="49">
        <f>IF(I$2="",NA(),D45*$B45+I44)</f>
        <v>120602.42351716731</v>
      </c>
      <c r="J45" s="49">
        <f>IF(J$2="",NA(),E45*$B45+J44)</f>
        <v>90525.106672442213</v>
      </c>
      <c r="K45" s="49" t="e">
        <f>IF(K$2="",NA(),F45*$B45+K44)</f>
        <v>#N/A</v>
      </c>
    </row>
    <row r="46" spans="1:11" x14ac:dyDescent="0.4">
      <c r="A46" s="49">
        <v>43</v>
      </c>
      <c r="B46" s="49">
        <f>A46/$B$1</f>
        <v>1.7916666666666667</v>
      </c>
      <c r="C46" s="49">
        <f>(('Input and Output'!B$23*'Input and Output'!$B$10)+('Input and Output'!B$24*Calculations!$C$5)+('Input and Output'!B$25*Calculations!$C$6)+('Input and Output'!B$26*(IF('Input and Output'!D$7="Detritus",Calculations!$C$4,G46))-(SUM('Input and Output'!B$27:B$32))*H45))</f>
        <v>301.68553908853499</v>
      </c>
      <c r="D46" s="49">
        <f>(('Input and Output'!C$23*'Input and Output'!$B$10)+('Input and Output'!C$24*Calculations!$C$5)+('Input and Output'!C$25*Calculations!$C$6)+('Input and Output'!C$26*(IF('Input and Output'!E$7="Detritus",Calculations!$C$4,H46))-(SUM('Input and Output'!C$27:C$32))*I45))</f>
        <v>3124.4327709886529</v>
      </c>
      <c r="E46" s="49">
        <f>(('Input and Output'!D$23*'Input and Output'!$B$10)+('Input and Output'!D$24*Calculations!$C$5)+('Input and Output'!D$25*Calculations!$C$6)+('Input and Output'!D$26*(IF('Input and Output'!F$7="Detritus",Calculations!$C$4,I46))-(SUM('Input and Output'!D$27:D$32))*J45))</f>
        <v>1700.251511377156</v>
      </c>
      <c r="F46" s="49" t="e">
        <f>(('Input and Output'!E$23*'Input and Output'!$B$10)+('Input and Output'!E$24*Calculations!$C$5)+('Input and Output'!E$25*Calculations!$C$6)+('Input and Output'!E$26*(IF('Input and Output'!G$7="Detritus",Calculations!$C$4,J46))-(SUM('Input and Output'!E$27:E$32))*K45))</f>
        <v>#N/A</v>
      </c>
      <c r="H46" s="49">
        <f>IF(H$2="",NA(),C46*$B46+H45)</f>
        <v>12106.530724933382</v>
      </c>
      <c r="I46" s="49">
        <f>IF(I$2="",NA(),D46*$B46+I45)</f>
        <v>126200.36556518864</v>
      </c>
      <c r="J46" s="49">
        <f>IF(J$2="",NA(),E46*$B46+J45)</f>
        <v>93571.390630326277</v>
      </c>
      <c r="K46" s="49" t="e">
        <f>IF(K$2="",NA(),F46*$B46+K45)</f>
        <v>#N/A</v>
      </c>
    </row>
    <row r="47" spans="1:11" x14ac:dyDescent="0.4">
      <c r="A47" s="49">
        <v>44</v>
      </c>
      <c r="B47" s="49">
        <f>A47/$B$1</f>
        <v>1.8333333333333333</v>
      </c>
      <c r="C47" s="49">
        <f>(('Input and Output'!B$23*'Input and Output'!$B$10)+('Input and Output'!B$24*Calculations!$C$5)+('Input and Output'!B$25*Calculations!$C$6)+('Input and Output'!B$26*(IF('Input and Output'!D$7="Detritus",Calculations!$C$4,G47))-(SUM('Input and Output'!B$27:B$32))*H46))</f>
        <v>301.16441620680502</v>
      </c>
      <c r="D47" s="49">
        <f>(('Input and Output'!C$23*'Input and Output'!$B$10)+('Input and Output'!C$24*Calculations!$C$5)+('Input and Output'!C$25*Calculations!$C$6)+('Input and Output'!C$26*(IF('Input and Output'!E$7="Detritus",Calculations!$C$4,H47))-(SUM('Input and Output'!C$27:C$32))*I46))</f>
        <v>3117.0461323445879</v>
      </c>
      <c r="E47" s="49">
        <f>(('Input and Output'!D$23*'Input and Output'!$B$10)+('Input and Output'!D$24*Calculations!$C$5)+('Input and Output'!D$25*Calculations!$C$6)+('Input and Output'!D$26*(IF('Input and Output'!F$7="Detritus",Calculations!$C$4,I47))-(SUM('Input and Output'!D$27:D$32))*J46))</f>
        <v>1671.3809157882647</v>
      </c>
      <c r="F47" s="49" t="e">
        <f>(('Input and Output'!E$23*'Input and Output'!$B$10)+('Input and Output'!E$24*Calculations!$C$5)+('Input and Output'!E$25*Calculations!$C$6)+('Input and Output'!E$26*(IF('Input and Output'!G$7="Detritus",Calculations!$C$4,J47))-(SUM('Input and Output'!E$27:E$32))*K46))</f>
        <v>#N/A</v>
      </c>
      <c r="H47" s="49">
        <f>IF(H$2="",NA(),C47*$B47+H46)</f>
        <v>12658.665487979191</v>
      </c>
      <c r="I47" s="49">
        <f>IF(I$2="",NA(),D47*$B47+I46)</f>
        <v>131914.95014115371</v>
      </c>
      <c r="J47" s="49">
        <f>IF(J$2="",NA(),E47*$B47+J46)</f>
        <v>96635.588975938095</v>
      </c>
      <c r="K47" s="49" t="e">
        <f>IF(K$2="",NA(),F47*$B47+K46)</f>
        <v>#N/A</v>
      </c>
    </row>
    <row r="48" spans="1:11" x14ac:dyDescent="0.4">
      <c r="A48" s="49">
        <v>45</v>
      </c>
      <c r="B48" s="49">
        <f>A48/$B$1</f>
        <v>1.875</v>
      </c>
      <c r="C48" s="49">
        <f>(('Input and Output'!B$23*'Input and Output'!$B$10)+('Input and Output'!B$24*Calculations!$C$5)+('Input and Output'!B$25*Calculations!$C$6)+('Input and Output'!B$26*(IF('Input and Output'!D$7="Detritus",Calculations!$C$4,G48))-(SUM('Input and Output'!B$27:B$32))*H47))</f>
        <v>300.63209529514307</v>
      </c>
      <c r="D48" s="49">
        <f>(('Input and Output'!C$23*'Input and Output'!$B$10)+('Input and Output'!C$24*Calculations!$C$5)+('Input and Output'!C$25*Calculations!$C$6)+('Input and Output'!C$26*(IF('Input and Output'!E$7="Detritus",Calculations!$C$4,H48))-(SUM('Input and Output'!C$27:C$32))*I47))</f>
        <v>3109.5065241595371</v>
      </c>
      <c r="E48" s="49">
        <f>(('Input and Output'!D$23*'Input and Output'!$B$10)+('Input and Output'!D$24*Calculations!$C$5)+('Input and Output'!D$25*Calculations!$C$6)+('Input and Output'!D$26*(IF('Input and Output'!F$7="Detritus",Calculations!$C$4,I48))-(SUM('Input and Output'!D$27:D$32))*J47))</f>
        <v>1644.3796975143314</v>
      </c>
      <c r="F48" s="49" t="e">
        <f>(('Input and Output'!E$23*'Input and Output'!$B$10)+('Input and Output'!E$24*Calculations!$C$5)+('Input and Output'!E$25*Calculations!$C$6)+('Input and Output'!E$26*(IF('Input and Output'!G$7="Detritus",Calculations!$C$4,J48))-(SUM('Input and Output'!E$27:E$32))*K47))</f>
        <v>#N/A</v>
      </c>
      <c r="H48" s="49">
        <f>IF(H$2="",NA(),C48*$B48+H47)</f>
        <v>13222.350666657585</v>
      </c>
      <c r="I48" s="49">
        <f>IF(I$2="",NA(),D48*$B48+I47)</f>
        <v>137745.27487395285</v>
      </c>
      <c r="J48" s="49">
        <f>IF(J$2="",NA(),E48*$B48+J47)</f>
        <v>99718.80090877747</v>
      </c>
      <c r="K48" s="49" t="e">
        <f>IF(K$2="",NA(),F48*$B48+K47)</f>
        <v>#N/A</v>
      </c>
    </row>
    <row r="49" spans="1:11" x14ac:dyDescent="0.4">
      <c r="A49" s="49">
        <v>46</v>
      </c>
      <c r="B49" s="49">
        <f>A49/$B$1</f>
        <v>1.9166666666666667</v>
      </c>
      <c r="C49" s="49">
        <f>(('Input and Output'!B$23*'Input and Output'!$B$10)+('Input and Output'!B$24*Calculations!$C$5)+('Input and Output'!B$25*Calculations!$C$6)+('Input and Output'!B$26*(IF('Input and Output'!D$7="Detritus",Calculations!$C$4,G49))-(SUM('Input and Output'!B$27:B$32))*H48))</f>
        <v>300.08863846487736</v>
      </c>
      <c r="D49" s="49">
        <f>(('Input and Output'!C$23*'Input and Output'!$B$10)+('Input and Output'!C$24*Calculations!$C$5)+('Input and Output'!C$25*Calculations!$C$6)+('Input and Output'!C$26*(IF('Input and Output'!E$7="Detritus",Calculations!$C$4,H49))-(SUM('Input and Output'!C$27:C$32))*I48))</f>
        <v>3101.8156175070249</v>
      </c>
      <c r="E49" s="49">
        <f>(('Input and Output'!D$23*'Input and Output'!$B$10)+('Input and Output'!D$24*Calculations!$C$5)+('Input and Output'!D$25*Calculations!$C$6)+('Input and Output'!D$26*(IF('Input and Output'!F$7="Detritus",Calculations!$C$4,I49))-(SUM('Input and Output'!D$27:D$32))*J48))</f>
        <v>1619.1634467678582</v>
      </c>
      <c r="F49" s="49" t="e">
        <f>(('Input and Output'!E$23*'Input and Output'!$B$10)+('Input and Output'!E$24*Calculations!$C$5)+('Input and Output'!E$25*Calculations!$C$6)+('Input and Output'!E$26*(IF('Input and Output'!G$7="Detritus",Calculations!$C$4,J49))-(SUM('Input and Output'!E$27:E$32))*K48))</f>
        <v>#N/A</v>
      </c>
      <c r="H49" s="49">
        <f>IF(H$2="",NA(),C49*$B49+H48)</f>
        <v>13797.5205570486</v>
      </c>
      <c r="I49" s="49">
        <f>IF(I$2="",NA(),D49*$B49+I48)</f>
        <v>143690.42147417465</v>
      </c>
      <c r="J49" s="49">
        <f>IF(J$2="",NA(),E49*$B49+J48)</f>
        <v>102822.19751508253</v>
      </c>
      <c r="K49" s="49" t="e">
        <f>IF(K$2="",NA(),F49*$B49+K48)</f>
        <v>#N/A</v>
      </c>
    </row>
    <row r="50" spans="1:11" x14ac:dyDescent="0.4">
      <c r="A50" s="49">
        <v>47</v>
      </c>
      <c r="B50" s="49">
        <f>A50/$B$1</f>
        <v>1.9583333333333333</v>
      </c>
      <c r="C50" s="49">
        <f>(('Input and Output'!B$23*'Input and Output'!$B$10)+('Input and Output'!B$24*Calculations!$C$5)+('Input and Output'!B$25*Calculations!$C$6)+('Input and Output'!B$26*(IF('Input and Output'!D$7="Detritus",Calculations!$C$4,G50))-(SUM('Input and Output'!B$27:B$32))*H49))</f>
        <v>299.53410906208364</v>
      </c>
      <c r="D50" s="49">
        <f>(('Input and Output'!C$23*'Input and Output'!$B$10)+('Input and Output'!C$24*Calculations!$C$5)+('Input and Output'!C$25*Calculations!$C$6)+('Input and Output'!C$26*(IF('Input and Output'!E$7="Detritus",Calculations!$C$4,H50))-(SUM('Input and Output'!C$27:C$32))*I49))</f>
        <v>3093.975110694189</v>
      </c>
      <c r="E50" s="49">
        <f>(('Input and Output'!D$23*'Input and Output'!$B$10)+('Input and Output'!D$24*Calculations!$C$5)+('Input and Output'!D$25*Calculations!$C$6)+('Input and Output'!D$26*(IF('Input and Output'!F$7="Detritus",Calculations!$C$4,I50))-(SUM('Input and Output'!D$27:D$32))*J49))</f>
        <v>1595.6433374670987</v>
      </c>
      <c r="F50" s="49" t="e">
        <f>(('Input and Output'!E$23*'Input and Output'!$B$10)+('Input and Output'!E$24*Calculations!$C$5)+('Input and Output'!E$25*Calculations!$C$6)+('Input and Output'!E$26*(IF('Input and Output'!G$7="Detritus",Calculations!$C$4,J50))-(SUM('Input and Output'!E$27:E$32))*K49))</f>
        <v>#N/A</v>
      </c>
      <c r="H50" s="49">
        <f>IF(H$2="",NA(),C50*$B50+H49)</f>
        <v>14384.10818729518</v>
      </c>
      <c r="I50" s="49">
        <f>IF(I$2="",NA(),D50*$B50+I49)</f>
        <v>149749.45606595077</v>
      </c>
      <c r="J50" s="49">
        <f>IF(J$2="",NA(),E50*$B50+J49)</f>
        <v>105946.99905095559</v>
      </c>
      <c r="K50" s="49" t="e">
        <f>IF(K$2="",NA(),F50*$B50+K49)</f>
        <v>#N/A</v>
      </c>
    </row>
    <row r="51" spans="1:11" x14ac:dyDescent="0.4">
      <c r="A51" s="49">
        <v>48</v>
      </c>
      <c r="B51" s="49">
        <f>A51/$B$1</f>
        <v>2</v>
      </c>
      <c r="C51" s="49">
        <f>(('Input and Output'!B$23*'Input and Output'!$B$10)+('Input and Output'!B$24*Calculations!$C$5)+('Input and Output'!B$25*Calculations!$C$6)+('Input and Output'!B$26*(IF('Input and Output'!D$7="Detritus",Calculations!$C$4,G51))-(SUM('Input and Output'!B$27:B$32))*H50))</f>
        <v>298.96857165527388</v>
      </c>
      <c r="D51" s="49">
        <f>(('Input and Output'!C$23*'Input and Output'!$B$10)+('Input and Output'!C$24*Calculations!$C$5)+('Input and Output'!C$25*Calculations!$C$6)+('Input and Output'!C$26*(IF('Input and Output'!E$7="Detritus",Calculations!$C$4,H51))-(SUM('Input and Output'!C$27:C$32))*I50))</f>
        <v>3085.9867284171505</v>
      </c>
      <c r="E51" s="49">
        <f>(('Input and Output'!D$23*'Input and Output'!$B$10)+('Input and Output'!D$24*Calculations!$C$5)+('Input and Output'!D$25*Calculations!$C$6)+('Input and Output'!D$26*(IF('Input and Output'!F$7="Detritus",Calculations!$C$4,I51))-(SUM('Input and Output'!D$27:D$32))*J50))</f>
        <v>1573.7274088783497</v>
      </c>
      <c r="F51" s="49" t="e">
        <f>(('Input and Output'!E$23*'Input and Output'!$B$10)+('Input and Output'!E$24*Calculations!$C$5)+('Input and Output'!E$25*Calculations!$C$6)+('Input and Output'!E$26*(IF('Input and Output'!G$7="Detritus",Calculations!$C$4,J51))-(SUM('Input and Output'!E$27:E$32))*K50))</f>
        <v>#N/A</v>
      </c>
      <c r="H51" s="49">
        <f>IF(H$2="",NA(),C51*$B51+H50)</f>
        <v>14982.045330605728</v>
      </c>
      <c r="I51" s="49">
        <f>IF(I$2="",NA(),D51*$B51+I50)</f>
        <v>155921.42952278507</v>
      </c>
      <c r="J51" s="49">
        <f>IF(J$2="",NA(),E51*$B51+J50)</f>
        <v>109094.4538687123</v>
      </c>
      <c r="K51" s="49" t="e">
        <f>IF(K$2="",NA(),F51*$B51+K50)</f>
        <v>#N/A</v>
      </c>
    </row>
    <row r="52" spans="1:11" x14ac:dyDescent="0.4">
      <c r="A52" s="49">
        <v>49</v>
      </c>
      <c r="B52" s="49">
        <f>A52/$B$1</f>
        <v>2.0416666666666665</v>
      </c>
      <c r="C52" s="49">
        <f>(('Input and Output'!B$23*'Input and Output'!$B$10)+('Input and Output'!B$24*Calculations!$C$5)+('Input and Output'!B$25*Calculations!$C$6)+('Input and Output'!B$26*(IF('Input and Output'!D$7="Detritus",Calculations!$C$4,G52))-(SUM('Input and Output'!B$27:B$32))*H51))</f>
        <v>298.39209202285991</v>
      </c>
      <c r="D52" s="49">
        <f>(('Input and Output'!C$23*'Input and Output'!$B$10)+('Input and Output'!C$24*Calculations!$C$5)+('Input and Output'!C$25*Calculations!$C$6)+('Input and Output'!C$26*(IF('Input and Output'!E$7="Detritus",Calculations!$C$4,H52))-(SUM('Input and Output'!C$27:C$32))*I51))</f>
        <v>3077.8522209077523</v>
      </c>
      <c r="E52" s="49">
        <f>(('Input and Output'!D$23*'Input and Output'!$B$10)+('Input and Output'!D$24*Calculations!$C$5)+('Input and Output'!D$25*Calculations!$C$6)+('Input and Output'!D$26*(IF('Input and Output'!F$7="Detritus",Calculations!$C$4,I52))-(SUM('Input and Output'!D$27:D$32))*J51))</f>
        <v>1553.3217552470906</v>
      </c>
      <c r="F52" s="49" t="e">
        <f>(('Input and Output'!E$23*'Input and Output'!$B$10)+('Input and Output'!E$24*Calculations!$C$5)+('Input and Output'!E$25*Calculations!$C$6)+('Input and Output'!E$26*(IF('Input and Output'!G$7="Detritus",Calculations!$C$4,J52))-(SUM('Input and Output'!E$27:E$32))*K51))</f>
        <v>#N/A</v>
      </c>
      <c r="H52" s="49">
        <f>IF(H$2="",NA(),C52*$B52+H51)</f>
        <v>15591.262518485733</v>
      </c>
      <c r="I52" s="49">
        <f>IF(I$2="",NA(),D52*$B52+I51)</f>
        <v>162205.3778071384</v>
      </c>
      <c r="J52" s="49">
        <f>IF(J$2="",NA(),E52*$B52+J51)</f>
        <v>112265.81911900845</v>
      </c>
      <c r="K52" s="49" t="e">
        <f>IF(K$2="",NA(),F52*$B52+K51)</f>
        <v>#N/A</v>
      </c>
    </row>
    <row r="53" spans="1:11" x14ac:dyDescent="0.4">
      <c r="A53" s="49">
        <v>50</v>
      </c>
      <c r="B53" s="49">
        <f>A53/$B$1</f>
        <v>2.0833333333333335</v>
      </c>
      <c r="C53" s="49">
        <f>(('Input and Output'!B$23*'Input and Output'!$B$10)+('Input and Output'!B$24*Calculations!$C$5)+('Input and Output'!B$25*Calculations!$C$6)+('Input and Output'!B$26*(IF('Input and Output'!D$7="Detritus",Calculations!$C$4,G53))-(SUM('Input and Output'!B$27:B$32))*H52))</f>
        <v>297.80473714039709</v>
      </c>
      <c r="D53" s="49">
        <f>(('Input and Output'!C$23*'Input and Output'!$B$10)+('Input and Output'!C$24*Calculations!$C$5)+('Input and Output'!C$25*Calculations!$C$6)+('Input and Output'!C$26*(IF('Input and Output'!E$7="Detritus",Calculations!$C$4,H53))-(SUM('Input and Output'!C$27:C$32))*I52))</f>
        <v>3069.5733630723435</v>
      </c>
      <c r="E53" s="49">
        <f>(('Input and Output'!D$23*'Input and Output'!$B$10)+('Input and Output'!D$24*Calculations!$C$5)+('Input and Output'!D$25*Calculations!$C$6)+('Input and Output'!D$26*(IF('Input and Output'!F$7="Detritus",Calculations!$C$4,I53))-(SUM('Input and Output'!D$27:D$32))*J52))</f>
        <v>1534.3316159824535</v>
      </c>
      <c r="F53" s="49" t="e">
        <f>(('Input and Output'!E$23*'Input and Output'!$B$10)+('Input and Output'!E$24*Calculations!$C$5)+('Input and Output'!E$25*Calculations!$C$6)+('Input and Output'!E$26*(IF('Input and Output'!G$7="Detritus",Calculations!$C$4,J53))-(SUM('Input and Output'!E$27:E$32))*K52))</f>
        <v>#N/A</v>
      </c>
      <c r="H53" s="49">
        <f>IF(H$2="",NA(),C53*$B53+H52)</f>
        <v>16211.689054194894</v>
      </c>
      <c r="I53" s="49">
        <f>IF(I$2="",NA(),D53*$B53+I52)</f>
        <v>168600.3223135391</v>
      </c>
      <c r="J53" s="49">
        <f>IF(J$2="",NA(),E53*$B53+J52)</f>
        <v>115462.34331897189</v>
      </c>
      <c r="K53" s="49" t="e">
        <f>IF(K$2="",NA(),F53*$B53+K52)</f>
        <v>#N/A</v>
      </c>
    </row>
    <row r="54" spans="1:11" x14ac:dyDescent="0.4">
      <c r="A54" s="49">
        <v>51</v>
      </c>
      <c r="B54" s="49">
        <f>A54/$B$1</f>
        <v>2.125</v>
      </c>
      <c r="C54" s="49">
        <f>(('Input and Output'!B$23*'Input and Output'!$B$10)+('Input and Output'!B$24*Calculations!$C$5)+('Input and Output'!B$25*Calculations!$C$6)+('Input and Output'!B$26*(IF('Input and Output'!D$7="Detritus",Calculations!$C$4,G54))-(SUM('Input and Output'!B$27:B$32))*H53))</f>
        <v>297.2065751676098</v>
      </c>
      <c r="D54" s="49">
        <f>(('Input and Output'!C$23*'Input and Output'!$B$10)+('Input and Output'!C$24*Calculations!$C$5)+('Input and Output'!C$25*Calculations!$C$6)+('Input and Output'!C$26*(IF('Input and Output'!E$7="Detritus",Calculations!$C$4,H54))-(SUM('Input and Output'!C$27:C$32))*I53))</f>
        <v>3061.1519536233272</v>
      </c>
      <c r="E54" s="49">
        <f>(('Input and Output'!D$23*'Input and Output'!$B$10)+('Input and Output'!D$24*Calculations!$C$5)+('Input and Output'!D$25*Calculations!$C$6)+('Input and Output'!D$26*(IF('Input and Output'!F$7="Detritus",Calculations!$C$4,I54))-(SUM('Input and Output'!D$27:D$32))*J53))</f>
        <v>1516.6623613319698</v>
      </c>
      <c r="F54" s="49" t="e">
        <f>(('Input and Output'!E$23*'Input and Output'!$B$10)+('Input and Output'!E$24*Calculations!$C$5)+('Input and Output'!E$25*Calculations!$C$6)+('Input and Output'!E$26*(IF('Input and Output'!G$7="Detritus",Calculations!$C$4,J54))-(SUM('Input and Output'!E$27:E$32))*K53))</f>
        <v>#N/A</v>
      </c>
      <c r="H54" s="49">
        <f>IF(H$2="",NA(),C54*$B54+H53)</f>
        <v>16843.253026426064</v>
      </c>
      <c r="I54" s="49">
        <f>IF(I$2="",NA(),D54*$B54+I53)</f>
        <v>175105.27021498868</v>
      </c>
      <c r="J54" s="49">
        <f>IF(J$2="",NA(),E54*$B54+J53)</f>
        <v>118685.25083680233</v>
      </c>
      <c r="K54" s="49" t="e">
        <f>IF(K$2="",NA(),F54*$B54+K53)</f>
        <v>#N/A</v>
      </c>
    </row>
    <row r="55" spans="1:11" x14ac:dyDescent="0.4">
      <c r="A55" s="49">
        <v>52</v>
      </c>
      <c r="B55" s="49">
        <f>A55/$B$1</f>
        <v>2.1666666666666665</v>
      </c>
      <c r="C55" s="49">
        <f>(('Input and Output'!B$23*'Input and Output'!$B$10)+('Input and Output'!B$24*Calculations!$C$5)+('Input and Output'!B$25*Calculations!$C$6)+('Input and Output'!B$26*(IF('Input and Output'!D$7="Detritus",Calculations!$C$4,G55))-(SUM('Input and Output'!B$27:B$32))*H54))</f>
        <v>296.59767543520326</v>
      </c>
      <c r="D55" s="49">
        <f>(('Input and Output'!C$23*'Input and Output'!$B$10)+('Input and Output'!C$24*Calculations!$C$5)+('Input and Output'!C$25*Calculations!$C$6)+('Input and Output'!C$26*(IF('Input and Output'!E$7="Detritus",Calculations!$C$4,H55))-(SUM('Input and Output'!C$27:C$32))*I54))</f>
        <v>3052.5898142041465</v>
      </c>
      <c r="E55" s="49">
        <f>(('Input and Output'!D$23*'Input and Output'!$B$10)+('Input and Output'!D$24*Calculations!$C$5)+('Input and Output'!D$25*Calculations!$C$6)+('Input and Output'!D$26*(IF('Input and Output'!F$7="Detritus",Calculations!$C$4,I55))-(SUM('Input and Output'!D$27:D$32))*J54))</f>
        <v>1500.220370712339</v>
      </c>
      <c r="F55" s="49" t="e">
        <f>(('Input and Output'!E$23*'Input and Output'!$B$10)+('Input and Output'!E$24*Calculations!$C$5)+('Input and Output'!E$25*Calculations!$C$6)+('Input and Output'!E$26*(IF('Input and Output'!G$7="Detritus",Calculations!$C$4,J55))-(SUM('Input and Output'!E$27:E$32))*K54))</f>
        <v>#N/A</v>
      </c>
      <c r="H55" s="49">
        <f>IF(H$2="",NA(),C55*$B55+H54)</f>
        <v>17485.881323202339</v>
      </c>
      <c r="I55" s="49">
        <f>IF(I$2="",NA(),D55*$B55+I54)</f>
        <v>181719.21481243099</v>
      </c>
      <c r="J55" s="49">
        <f>IF(J$2="",NA(),E55*$B55+J54)</f>
        <v>121935.72830667906</v>
      </c>
      <c r="K55" s="49" t="e">
        <f>IF(K$2="",NA(),F55*$B55+K54)</f>
        <v>#N/A</v>
      </c>
    </row>
    <row r="56" spans="1:11" x14ac:dyDescent="0.4">
      <c r="A56" s="49">
        <v>53</v>
      </c>
      <c r="B56" s="49">
        <f>A56/$B$1</f>
        <v>2.2083333333333335</v>
      </c>
      <c r="C56" s="49">
        <f>(('Input and Output'!B$23*'Input and Output'!$B$10)+('Input and Output'!B$24*Calculations!$C$5)+('Input and Output'!B$25*Calculations!$C$6)+('Input and Output'!B$26*(IF('Input and Output'!D$7="Detritus",Calculations!$C$4,G56))-(SUM('Input and Output'!B$27:B$32))*H55))</f>
        <v>295.97810843146561</v>
      </c>
      <c r="D56" s="49">
        <f>(('Input and Output'!C$23*'Input and Output'!$B$10)+('Input and Output'!C$24*Calculations!$C$5)+('Input and Output'!C$25*Calculations!$C$6)+('Input and Output'!C$26*(IF('Input and Output'!E$7="Detritus",Calculations!$C$4,H56))-(SUM('Input and Output'!C$27:C$32))*I55))</f>
        <v>3043.8887885084246</v>
      </c>
      <c r="E56" s="49">
        <f>(('Input and Output'!D$23*'Input and Output'!$B$10)+('Input and Output'!D$24*Calculations!$C$5)+('Input and Output'!D$25*Calculations!$C$6)+('Input and Output'!D$26*(IF('Input and Output'!F$7="Detritus",Calculations!$C$4,I56))-(SUM('Input and Output'!D$27:D$32))*J55))</f>
        <v>1484.9138029147243</v>
      </c>
      <c r="F56" s="49" t="e">
        <f>(('Input and Output'!E$23*'Input and Output'!$B$10)+('Input and Output'!E$24*Calculations!$C$5)+('Input and Output'!E$25*Calculations!$C$6)+('Input and Output'!E$26*(IF('Input and Output'!G$7="Detritus",Calculations!$C$4,J56))-(SUM('Input and Output'!E$27:E$32))*K55))</f>
        <v>#N/A</v>
      </c>
      <c r="H56" s="49">
        <f>IF(H$2="",NA(),C56*$B56+H55)</f>
        <v>18139.499645988493</v>
      </c>
      <c r="I56" s="49">
        <f>IF(I$2="",NA(),D56*$B56+I55)</f>
        <v>188441.13588705377</v>
      </c>
      <c r="J56" s="49">
        <f>IF(J$2="",NA(),E56*$B56+J55)</f>
        <v>125214.9129547824</v>
      </c>
      <c r="K56" s="49" t="e">
        <f>IF(K$2="",NA(),F56*$B56+K55)</f>
        <v>#N/A</v>
      </c>
    </row>
    <row r="57" spans="1:11" x14ac:dyDescent="0.4">
      <c r="A57" s="49">
        <v>54</v>
      </c>
      <c r="B57" s="49">
        <f>A57/$B$1</f>
        <v>2.25</v>
      </c>
      <c r="C57" s="49">
        <f>(('Input and Output'!B$23*'Input and Output'!$B$10)+('Input and Output'!B$24*Calculations!$C$5)+('Input and Output'!B$25*Calculations!$C$6)+('Input and Output'!B$26*(IF('Input and Output'!D$7="Detritus",Calculations!$C$4,G57))-(SUM('Input and Output'!B$27:B$32))*H56))</f>
        <v>295.3479457886624</v>
      </c>
      <c r="D57" s="49">
        <f>(('Input and Output'!C$23*'Input and Output'!$B$10)+('Input and Output'!C$24*Calculations!$C$5)+('Input and Output'!C$25*Calculations!$C$6)+('Input and Output'!C$26*(IF('Input and Output'!E$7="Detritus",Calculations!$C$4,H57))-(SUM('Input and Output'!C$27:C$32))*I56))</f>
        <v>3035.0507413939449</v>
      </c>
      <c r="E57" s="49">
        <f>(('Input and Output'!D$23*'Input and Output'!$B$10)+('Input and Output'!D$24*Calculations!$C$5)+('Input and Output'!D$25*Calculations!$C$6)+('Input and Output'!D$26*(IF('Input and Output'!F$7="Detritus",Calculations!$C$4,I57))-(SUM('Input and Output'!D$27:D$32))*J56))</f>
        <v>1470.6532592546837</v>
      </c>
      <c r="F57" s="49" t="e">
        <f>(('Input and Output'!E$23*'Input and Output'!$B$10)+('Input and Output'!E$24*Calculations!$C$5)+('Input and Output'!E$25*Calculations!$C$6)+('Input and Output'!E$26*(IF('Input and Output'!G$7="Detritus",Calculations!$C$4,J57))-(SUM('Input and Output'!E$27:E$32))*K56))</f>
        <v>#N/A</v>
      </c>
      <c r="H57" s="49">
        <f>IF(H$2="",NA(),C57*$B57+H56)</f>
        <v>18804.032524012982</v>
      </c>
      <c r="I57" s="49">
        <f>IF(I$2="",NA(),D57*$B57+I56)</f>
        <v>195270.00005519015</v>
      </c>
      <c r="J57" s="49">
        <f>IF(J$2="",NA(),E57*$B57+J56)</f>
        <v>128523.88278810543</v>
      </c>
      <c r="K57" s="49" t="e">
        <f>IF(K$2="",NA(),F57*$B57+K56)</f>
        <v>#N/A</v>
      </c>
    </row>
    <row r="58" spans="1:11" x14ac:dyDescent="0.4">
      <c r="A58" s="49">
        <v>55</v>
      </c>
      <c r="B58" s="49">
        <f>A58/$B$1</f>
        <v>2.2916666666666665</v>
      </c>
      <c r="C58" s="49">
        <f>(('Input and Output'!B$23*'Input and Output'!$B$10)+('Input and Output'!B$24*Calculations!$C$5)+('Input and Output'!B$25*Calculations!$C$6)+('Input and Output'!B$26*(IF('Input and Output'!D$7="Detritus",Calculations!$C$4,G58))-(SUM('Input and Output'!B$27:B$32))*H57))</f>
        <v>294.70726026922887</v>
      </c>
      <c r="D58" s="49">
        <f>(('Input and Output'!C$23*'Input and Output'!$B$10)+('Input and Output'!C$24*Calculations!$C$5)+('Input and Output'!C$25*Calculations!$C$6)+('Input and Output'!C$26*(IF('Input and Output'!E$7="Detritus",Calculations!$C$4,H58))-(SUM('Input and Output'!C$27:C$32))*I57))</f>
        <v>3026.0775579921774</v>
      </c>
      <c r="E58" s="49">
        <f>(('Input and Output'!D$23*'Input and Output'!$B$10)+('Input and Output'!D$24*Calculations!$C$5)+('Input and Output'!D$25*Calculations!$C$6)+('Input and Output'!D$26*(IF('Input and Output'!F$7="Detritus",Calculations!$C$4,I58))-(SUM('Input and Output'!D$27:D$32))*J57))</f>
        <v>1457.3523423695551</v>
      </c>
      <c r="F58" s="49" t="e">
        <f>(('Input and Output'!E$23*'Input and Output'!$B$10)+('Input and Output'!E$24*Calculations!$C$5)+('Input and Output'!E$25*Calculations!$C$6)+('Input and Output'!E$26*(IF('Input and Output'!G$7="Detritus",Calculations!$C$4,J58))-(SUM('Input and Output'!E$27:E$32))*K57))</f>
        <v>#N/A</v>
      </c>
      <c r="H58" s="49">
        <f>IF(H$2="",NA(),C58*$B58+H57)</f>
        <v>19479.40332879663</v>
      </c>
      <c r="I58" s="49">
        <f>IF(I$2="",NA(),D58*$B58+I57)</f>
        <v>202204.76112558888</v>
      </c>
      <c r="J58" s="49">
        <f>IF(J$2="",NA(),E58*$B58+J57)</f>
        <v>131863.64857270234</v>
      </c>
      <c r="K58" s="49" t="e">
        <f>IF(K$2="",NA(),F58*$B58+K57)</f>
        <v>#N/A</v>
      </c>
    </row>
    <row r="59" spans="1:11" x14ac:dyDescent="0.4">
      <c r="A59" s="49">
        <v>56</v>
      </c>
      <c r="B59" s="49">
        <f>A59/$B$1</f>
        <v>2.3333333333333335</v>
      </c>
      <c r="C59" s="49">
        <f>(('Input and Output'!B$23*'Input and Output'!$B$10)+('Input and Output'!B$24*Calculations!$C$5)+('Input and Output'!B$25*Calculations!$C$6)+('Input and Output'!B$26*(IF('Input and Output'!D$7="Detritus",Calculations!$C$4,G59))-(SUM('Input and Output'!B$27:B$32))*H58))</f>
        <v>294.05612575176241</v>
      </c>
      <c r="D59" s="49">
        <f>(('Input and Output'!C$23*'Input and Output'!$B$10)+('Input and Output'!C$24*Calculations!$C$5)+('Input and Output'!C$25*Calculations!$C$6)+('Input and Output'!C$26*(IF('Input and Output'!E$7="Detritus",Calculations!$C$4,H59))-(SUM('Input and Output'!C$27:C$32))*I58))</f>
        <v>3016.9711428140408</v>
      </c>
      <c r="E59" s="49">
        <f>(('Input and Output'!D$23*'Input and Output'!$B$10)+('Input and Output'!D$24*Calculations!$C$5)+('Input and Output'!D$25*Calculations!$C$6)+('Input and Output'!D$26*(IF('Input and Output'!F$7="Detritus",Calculations!$C$4,I59))-(SUM('Input and Output'!D$27:D$32))*J58))</f>
        <v>1444.9281147691017</v>
      </c>
      <c r="F59" s="49" t="e">
        <f>(('Input and Output'!E$23*'Input and Output'!$B$10)+('Input and Output'!E$24*Calculations!$C$5)+('Input and Output'!E$25*Calculations!$C$6)+('Input and Output'!E$26*(IF('Input and Output'!G$7="Detritus",Calculations!$C$4,J59))-(SUM('Input and Output'!E$27:E$32))*K58))</f>
        <v>#N/A</v>
      </c>
      <c r="H59" s="49">
        <f>IF(H$2="",NA(),C59*$B59+H58)</f>
        <v>20165.534288884075</v>
      </c>
      <c r="I59" s="49">
        <f>IF(I$2="",NA(),D59*$B59+I58)</f>
        <v>209244.36045882164</v>
      </c>
      <c r="J59" s="49">
        <f>IF(J$2="",NA(),E59*$B59+J58)</f>
        <v>135235.14750716358</v>
      </c>
      <c r="K59" s="49" t="e">
        <f>IF(K$2="",NA(),F59*$B59+K58)</f>
        <v>#N/A</v>
      </c>
    </row>
    <row r="60" spans="1:11" x14ac:dyDescent="0.4">
      <c r="A60" s="49">
        <v>57</v>
      </c>
      <c r="B60" s="49">
        <f>A60/$B$1</f>
        <v>2.375</v>
      </c>
      <c r="C60" s="49">
        <f>(('Input and Output'!B$23*'Input and Output'!$B$10)+('Input and Output'!B$24*Calculations!$C$5)+('Input and Output'!B$25*Calculations!$C$6)+('Input and Output'!B$26*(IF('Input and Output'!D$7="Detritus",Calculations!$C$4,G60))-(SUM('Input and Output'!B$27:B$32))*H59))</f>
        <v>293.39461721682</v>
      </c>
      <c r="D60" s="49">
        <f>(('Input and Output'!C$23*'Input and Output'!$B$10)+('Input and Output'!C$24*Calculations!$C$5)+('Input and Output'!C$25*Calculations!$C$6)+('Input and Output'!C$26*(IF('Input and Output'!E$7="Detritus",Calculations!$C$4,H60))-(SUM('Input and Output'!C$27:C$32))*I59))</f>
        <v>3007.7334188526002</v>
      </c>
      <c r="E60" s="49">
        <f>(('Input and Output'!D$23*'Input and Output'!$B$10)+('Input and Output'!D$24*Calculations!$C$5)+('Input and Output'!D$25*Calculations!$C$6)+('Input and Output'!D$26*(IF('Input and Output'!F$7="Detritus",Calculations!$C$4,I60))-(SUM('Input and Output'!D$27:D$32))*J59))</f>
        <v>1433.3014624142415</v>
      </c>
      <c r="F60" s="49" t="e">
        <f>(('Input and Output'!E$23*'Input and Output'!$B$10)+('Input and Output'!E$24*Calculations!$C$5)+('Input and Output'!E$25*Calculations!$C$6)+('Input and Output'!E$26*(IF('Input and Output'!G$7="Detritus",Calculations!$C$4,J60))-(SUM('Input and Output'!E$27:E$32))*K59))</f>
        <v>#N/A</v>
      </c>
      <c r="H60" s="49">
        <f>IF(H$2="",NA(),C60*$B60+H59)</f>
        <v>20862.346504774021</v>
      </c>
      <c r="I60" s="49">
        <f>IF(I$2="",NA(),D60*$B60+I59)</f>
        <v>216387.72732859658</v>
      </c>
      <c r="J60" s="49">
        <f>IF(J$2="",NA(),E60*$B60+J59)</f>
        <v>138639.23848039741</v>
      </c>
      <c r="K60" s="49" t="e">
        <f>IF(K$2="",NA(),F60*$B60+K59)</f>
        <v>#N/A</v>
      </c>
    </row>
    <row r="61" spans="1:11" x14ac:dyDescent="0.4">
      <c r="A61" s="49">
        <v>58</v>
      </c>
      <c r="B61" s="49">
        <f>A61/$B$1</f>
        <v>2.4166666666666665</v>
      </c>
      <c r="C61" s="49">
        <f>(('Input and Output'!B$23*'Input and Output'!$B$10)+('Input and Output'!B$24*Calculations!$C$5)+('Input and Output'!B$25*Calculations!$C$6)+('Input and Output'!B$26*(IF('Input and Output'!D$7="Detritus",Calculations!$C$4,G61))-(SUM('Input and Output'!B$27:B$32))*H60))</f>
        <v>292.72281073252344</v>
      </c>
      <c r="D61" s="49">
        <f>(('Input and Output'!C$23*'Input and Output'!$B$10)+('Input and Output'!C$24*Calculations!$C$5)+('Input and Output'!C$25*Calculations!$C$6)+('Input and Output'!C$26*(IF('Input and Output'!E$7="Detritus",Calculations!$C$4,H61))-(SUM('Input and Output'!C$27:C$32))*I60))</f>
        <v>2998.3663266833855</v>
      </c>
      <c r="E61" s="49">
        <f>(('Input and Output'!D$23*'Input and Output'!$B$10)+('Input and Output'!D$24*Calculations!$C$5)+('Input and Output'!D$25*Calculations!$C$6)+('Input and Output'!D$26*(IF('Input and Output'!F$7="Detritus",Calculations!$C$4,I61))-(SUM('Input and Output'!D$27:D$32))*J60))</f>
        <v>1422.3973695353707</v>
      </c>
      <c r="F61" s="49" t="e">
        <f>(('Input and Output'!E$23*'Input and Output'!$B$10)+('Input and Output'!E$24*Calculations!$C$5)+('Input and Output'!E$25*Calculations!$C$6)+('Input and Output'!E$26*(IF('Input and Output'!G$7="Detritus",Calculations!$C$4,J61))-(SUM('Input and Output'!E$27:E$32))*K60))</f>
        <v>#N/A</v>
      </c>
      <c r="H61" s="49">
        <f>IF(H$2="",NA(),C61*$B61+H60)</f>
        <v>21569.759964044286</v>
      </c>
      <c r="I61" s="49">
        <f>IF(I$2="",NA(),D61*$B61+I60)</f>
        <v>223633.7792847481</v>
      </c>
      <c r="J61" s="49">
        <f>IF(J$2="",NA(),E61*$B61+J60)</f>
        <v>142076.69879010788</v>
      </c>
      <c r="K61" s="49" t="e">
        <f>IF(K$2="",NA(),F61*$B61+K60)</f>
        <v>#N/A</v>
      </c>
    </row>
    <row r="62" spans="1:11" x14ac:dyDescent="0.4">
      <c r="A62" s="49">
        <v>59</v>
      </c>
      <c r="B62" s="49">
        <f>A62/$B$1</f>
        <v>2.4583333333333335</v>
      </c>
      <c r="C62" s="49">
        <f>(('Input and Output'!B$23*'Input and Output'!$B$10)+('Input and Output'!B$24*Calculations!$C$5)+('Input and Output'!B$25*Calculations!$C$6)+('Input and Output'!B$26*(IF('Input and Output'!D$7="Detritus",Calculations!$C$4,G62))-(SUM('Input and Output'!B$27:B$32))*H61))</f>
        <v>292.04078343997742</v>
      </c>
      <c r="D62" s="49">
        <f>(('Input and Output'!C$23*'Input and Output'!$B$10)+('Input and Output'!C$24*Calculations!$C$5)+('Input and Output'!C$25*Calculations!$C$6)+('Input and Output'!C$26*(IF('Input and Output'!E$7="Detritus",Calculations!$C$4,H62))-(SUM('Input and Output'!C$27:C$32))*I61))</f>
        <v>2988.8718235630245</v>
      </c>
      <c r="E62" s="49">
        <f>(('Input and Output'!D$23*'Input and Output'!$B$10)+('Input and Output'!D$24*Calculations!$C$5)+('Input and Output'!D$25*Calculations!$C$6)+('Input and Output'!D$26*(IF('Input and Output'!F$7="Detritus",Calculations!$C$4,I62))-(SUM('Input and Output'!D$27:D$32))*J61))</f>
        <v>1412.1451116130311</v>
      </c>
      <c r="F62" s="49" t="e">
        <f>(('Input and Output'!E$23*'Input and Output'!$B$10)+('Input and Output'!E$24*Calculations!$C$5)+('Input and Output'!E$25*Calculations!$C$6)+('Input and Output'!E$26*(IF('Input and Output'!G$7="Detritus",Calculations!$C$4,J62))-(SUM('Input and Output'!E$27:E$32))*K61))</f>
        <v>#N/A</v>
      </c>
      <c r="H62" s="49">
        <f>IF(H$2="",NA(),C62*$B62+H61)</f>
        <v>22287.693556667564</v>
      </c>
      <c r="I62" s="49">
        <f>IF(I$2="",NA(),D62*$B62+I61)</f>
        <v>230981.42251767387</v>
      </c>
      <c r="J62" s="49">
        <f>IF(J$2="",NA(),E62*$B62+J61)</f>
        <v>145548.22218948993</v>
      </c>
      <c r="K62" s="49" t="e">
        <f>IF(K$2="",NA(),F62*$B62+K61)</f>
        <v>#N/A</v>
      </c>
    </row>
    <row r="63" spans="1:11" x14ac:dyDescent="0.4">
      <c r="A63" s="49">
        <v>60</v>
      </c>
      <c r="B63" s="49">
        <f>A63/$B$1</f>
        <v>2.5</v>
      </c>
      <c r="C63" s="49">
        <f>(('Input and Output'!B$23*'Input and Output'!$B$10)+('Input and Output'!B$24*Calculations!$C$5)+('Input and Output'!B$25*Calculations!$C$6)+('Input and Output'!B$26*(IF('Input and Output'!D$7="Detritus",Calculations!$C$4,G63))-(SUM('Input and Output'!B$27:B$32))*H62))</f>
        <v>291.34861353850312</v>
      </c>
      <c r="D63" s="49">
        <f>(('Input and Output'!C$23*'Input and Output'!$B$10)+('Input and Output'!C$24*Calculations!$C$5)+('Input and Output'!C$25*Calculations!$C$6)+('Input and Output'!C$26*(IF('Input and Output'!E$7="Detritus",Calculations!$C$4,H63))-(SUM('Input and Output'!C$27:C$32))*I62))</f>
        <v>2979.2518825268717</v>
      </c>
      <c r="E63" s="49">
        <f>(('Input and Output'!D$23*'Input and Output'!$B$10)+('Input and Output'!D$24*Calculations!$C$5)+('Input and Output'!D$25*Calculations!$C$6)+('Input and Output'!D$26*(IF('Input and Output'!F$7="Detritus",Calculations!$C$4,I63))-(SUM('Input and Output'!D$27:D$32))*J62))</f>
        <v>1402.4783739409058</v>
      </c>
      <c r="F63" s="49" t="e">
        <f>(('Input and Output'!E$23*'Input and Output'!$B$10)+('Input and Output'!E$24*Calculations!$C$5)+('Input and Output'!E$25*Calculations!$C$6)+('Input and Output'!E$26*(IF('Input and Output'!G$7="Detritus",Calculations!$C$4,J63))-(SUM('Input and Output'!E$27:E$32))*K62))</f>
        <v>#N/A</v>
      </c>
      <c r="H63" s="49">
        <f>IF(H$2="",NA(),C63*$B63+H62)</f>
        <v>23016.065090513821</v>
      </c>
      <c r="I63" s="49">
        <f>IF(I$2="",NA(),D63*$B63+I62)</f>
        <v>238429.55222399105</v>
      </c>
      <c r="J63" s="49">
        <f>IF(J$2="",NA(),E63*$B63+J62)</f>
        <v>149054.41812434219</v>
      </c>
      <c r="K63" s="49" t="e">
        <f>IF(K$2="",NA(),F63*$B63+K62)</f>
        <v>#N/A</v>
      </c>
    </row>
    <row r="64" spans="1:11" x14ac:dyDescent="0.4">
      <c r="A64" s="49">
        <v>61</v>
      </c>
      <c r="B64" s="49">
        <f>A64/$B$1</f>
        <v>2.5416666666666665</v>
      </c>
      <c r="C64" s="49">
        <f>(('Input and Output'!B$23*'Input and Output'!$B$10)+('Input and Output'!B$24*Calculations!$C$5)+('Input and Output'!B$25*Calculations!$C$6)+('Input and Output'!B$26*(IF('Input and Output'!D$7="Detritus",Calculations!$C$4,G64))-(SUM('Input and Output'!B$27:B$32))*H63))</f>
        <v>290.64638027069225</v>
      </c>
      <c r="D64" s="49">
        <f>(('Input and Output'!C$23*'Input and Output'!$B$10)+('Input and Output'!C$24*Calculations!$C$5)+('Input and Output'!C$25*Calculations!$C$6)+('Input and Output'!C$26*(IF('Input and Output'!E$7="Detritus",Calculations!$C$4,H64))-(SUM('Input and Output'!C$27:C$32))*I63))</f>
        <v>2969.5084914863073</v>
      </c>
      <c r="E64" s="49">
        <f>(('Input and Output'!D$23*'Input and Output'!$B$10)+('Input and Output'!D$24*Calculations!$C$5)+('Input and Output'!D$25*Calculations!$C$6)+('Input and Output'!D$26*(IF('Input and Output'!F$7="Detritus",Calculations!$C$4,I64))-(SUM('Input and Output'!D$27:D$32))*J63))</f>
        <v>1393.3353034892943</v>
      </c>
      <c r="F64" s="49" t="e">
        <f>(('Input and Output'!E$23*'Input and Output'!$B$10)+('Input and Output'!E$24*Calculations!$C$5)+('Input and Output'!E$25*Calculations!$C$6)+('Input and Output'!E$26*(IF('Input and Output'!G$7="Detritus",Calculations!$C$4,J64))-(SUM('Input and Output'!E$27:E$32))*K63))</f>
        <v>#N/A</v>
      </c>
      <c r="H64" s="49">
        <f>IF(H$2="",NA(),C64*$B64+H63)</f>
        <v>23754.791307035164</v>
      </c>
      <c r="I64" s="49">
        <f>IF(I$2="",NA(),D64*$B64+I63)</f>
        <v>245977.0529731854</v>
      </c>
      <c r="J64" s="49">
        <f>IF(J$2="",NA(),E64*$B64+J63)</f>
        <v>152595.81202071081</v>
      </c>
      <c r="K64" s="49" t="e">
        <f>IF(K$2="",NA(),F64*$B64+K63)</f>
        <v>#N/A</v>
      </c>
    </row>
    <row r="65" spans="1:11" x14ac:dyDescent="0.4">
      <c r="A65" s="49">
        <v>62</v>
      </c>
      <c r="B65" s="49">
        <f>A65/$B$1</f>
        <v>2.5833333333333335</v>
      </c>
      <c r="C65" s="49">
        <f>(('Input and Output'!B$23*'Input and Output'!$B$10)+('Input and Output'!B$24*Calculations!$C$5)+('Input and Output'!B$25*Calculations!$C$6)+('Input and Output'!B$26*(IF('Input and Output'!D$7="Detritus",Calculations!$C$4,G65))-(SUM('Input and Output'!B$27:B$32))*H64))</f>
        <v>289.93416390728504</v>
      </c>
      <c r="D65" s="49">
        <f>(('Input and Output'!C$23*'Input and Output'!$B$10)+('Input and Output'!C$24*Calculations!$C$5)+('Input and Output'!C$25*Calculations!$C$6)+('Input and Output'!C$26*(IF('Input and Output'!E$7="Detritus",Calculations!$C$4,H65))-(SUM('Input and Output'!C$27:C$32))*I64))</f>
        <v>2959.6436523263878</v>
      </c>
      <c r="E65" s="49">
        <f>(('Input and Output'!D$23*'Input and Output'!$B$10)+('Input and Output'!D$24*Calculations!$C$5)+('Input and Output'!D$25*Calculations!$C$6)+('Input and Output'!D$26*(IF('Input and Output'!F$7="Detritus",Calculations!$C$4,I65))-(SUM('Input and Output'!D$27:D$32))*J64))</f>
        <v>1384.6585019042923</v>
      </c>
      <c r="F65" s="49" t="e">
        <f>(('Input and Output'!E$23*'Input and Output'!$B$10)+('Input and Output'!E$24*Calculations!$C$5)+('Input and Output'!E$25*Calculations!$C$6)+('Input and Output'!E$26*(IF('Input and Output'!G$7="Detritus",Calculations!$C$4,J65))-(SUM('Input and Output'!E$27:E$32))*K64))</f>
        <v>#N/A</v>
      </c>
      <c r="H65" s="49">
        <f>IF(H$2="",NA(),C65*$B65+H64)</f>
        <v>24503.787897128983</v>
      </c>
      <c r="I65" s="49">
        <f>IF(I$2="",NA(),D65*$B65+I64)</f>
        <v>253622.79907502857</v>
      </c>
      <c r="J65" s="49">
        <f>IF(J$2="",NA(),E65*$B65+J64)</f>
        <v>156172.84648396357</v>
      </c>
      <c r="K65" s="49" t="e">
        <f>IF(K$2="",NA(),F65*$B65+K64)</f>
        <v>#N/A</v>
      </c>
    </row>
    <row r="66" spans="1:11" x14ac:dyDescent="0.4">
      <c r="A66" s="49">
        <v>63</v>
      </c>
      <c r="B66" s="49">
        <f>A66/$B$1</f>
        <v>2.625</v>
      </c>
      <c r="C66" s="49">
        <f>(('Input and Output'!B$23*'Input and Output'!$B$10)+('Input and Output'!B$24*Calculations!$C$5)+('Input and Output'!B$25*Calculations!$C$6)+('Input and Output'!B$26*(IF('Input and Output'!D$7="Detritus",Calculations!$C$4,G66))-(SUM('Input and Output'!B$27:B$32))*H65))</f>
        <v>289.21204573187623</v>
      </c>
      <c r="D66" s="49">
        <f>(('Input and Output'!C$23*'Input and Output'!$B$10)+('Input and Output'!C$24*Calculations!$C$5)+('Input and Output'!C$25*Calculations!$C$6)+('Input and Output'!C$26*(IF('Input and Output'!E$7="Detritus",Calculations!$C$4,H66))-(SUM('Input and Output'!C$27:C$32))*I65))</f>
        <v>2949.6593800045043</v>
      </c>
      <c r="E66" s="49">
        <f>(('Input and Output'!D$23*'Input and Output'!$B$10)+('Input and Output'!D$24*Calculations!$C$5)+('Input and Output'!D$25*Calculations!$C$6)+('Input and Output'!D$26*(IF('Input and Output'!F$7="Detritus",Calculations!$C$4,I66))-(SUM('Input and Output'!D$27:D$32))*J65))</f>
        <v>1376.3949674338901</v>
      </c>
      <c r="F66" s="49" t="e">
        <f>(('Input and Output'!E$23*'Input and Output'!$B$10)+('Input and Output'!E$24*Calculations!$C$5)+('Input and Output'!E$25*Calculations!$C$6)+('Input and Output'!E$26*(IF('Input and Output'!G$7="Detritus",Calculations!$C$4,J66))-(SUM('Input and Output'!E$27:E$32))*K65))</f>
        <v>#N/A</v>
      </c>
      <c r="H66" s="49">
        <f>IF(H$2="",NA(),C66*$B66+H65)</f>
        <v>25262.969517175159</v>
      </c>
      <c r="I66" s="49">
        <f>IF(I$2="",NA(),D66*$B66+I65)</f>
        <v>261365.6549475404</v>
      </c>
      <c r="J66" s="49">
        <f>IF(J$2="",NA(),E66*$B66+J65)</f>
        <v>159785.88327347752</v>
      </c>
      <c r="K66" s="49" t="e">
        <f>IF(K$2="",NA(),F66*$B66+K65)</f>
        <v>#N/A</v>
      </c>
    </row>
    <row r="67" spans="1:11" x14ac:dyDescent="0.4">
      <c r="A67" s="49">
        <v>64</v>
      </c>
      <c r="B67" s="49">
        <f>A67/$B$1</f>
        <v>2.6666666666666665</v>
      </c>
      <c r="C67" s="49">
        <f>(('Input and Output'!B$23*'Input and Output'!$B$10)+('Input and Output'!B$24*Calculations!$C$5)+('Input and Output'!B$25*Calculations!$C$6)+('Input and Output'!B$26*(IF('Input and Output'!D$7="Detritus",Calculations!$C$4,G67))-(SUM('Input and Output'!B$27:B$32))*H66))</f>
        <v>288.48010802545355</v>
      </c>
      <c r="D67" s="49">
        <f>(('Input and Output'!C$23*'Input and Output'!$B$10)+('Input and Output'!C$24*Calculations!$C$5)+('Input and Output'!C$25*Calculations!$C$6)+('Input and Output'!C$26*(IF('Input and Output'!E$7="Detritus",Calculations!$C$4,H67))-(SUM('Input and Output'!C$27:C$32))*I66))</f>
        <v>2939.5577016507182</v>
      </c>
      <c r="E67" s="49">
        <f>(('Input and Output'!D$23*'Input and Output'!$B$10)+('Input and Output'!D$24*Calculations!$C$5)+('Input and Output'!D$25*Calculations!$C$6)+('Input and Output'!D$26*(IF('Input and Output'!F$7="Detritus",Calculations!$C$4,I67))-(SUM('Input and Output'!D$27:D$32))*J66))</f>
        <v>1368.4959933881664</v>
      </c>
      <c r="F67" s="49" t="e">
        <f>(('Input and Output'!E$23*'Input and Output'!$B$10)+('Input and Output'!E$24*Calculations!$C$5)+('Input and Output'!E$25*Calculations!$C$6)+('Input and Output'!E$26*(IF('Input and Output'!G$7="Detritus",Calculations!$C$4,J67))-(SUM('Input and Output'!E$27:E$32))*K66))</f>
        <v>#N/A</v>
      </c>
      <c r="H67" s="49">
        <f>IF(H$2="",NA(),C67*$B67+H66)</f>
        <v>26032.249805243035</v>
      </c>
      <c r="I67" s="49">
        <f>IF(I$2="",NA(),D67*$B67+I66)</f>
        <v>269204.47548527567</v>
      </c>
      <c r="J67" s="49">
        <f>IF(J$2="",NA(),E67*$B67+J66)</f>
        <v>163435.20592251263</v>
      </c>
      <c r="K67" s="49" t="e">
        <f>IF(K$2="",NA(),F67*$B67+K66)</f>
        <v>#N/A</v>
      </c>
    </row>
    <row r="68" spans="1:11" x14ac:dyDescent="0.4">
      <c r="A68" s="49">
        <v>65</v>
      </c>
      <c r="B68" s="49">
        <f>A68/$B$1</f>
        <v>2.7083333333333335</v>
      </c>
      <c r="C68" s="49">
        <f>(('Input and Output'!B$23*'Input and Output'!$B$10)+('Input and Output'!B$24*Calculations!$C$5)+('Input and Output'!B$25*Calculations!$C$6)+('Input and Output'!B$26*(IF('Input and Output'!D$7="Detritus",Calculations!$C$4,G68))-(SUM('Input and Output'!B$27:B$32))*H67))</f>
        <v>287.73843405077236</v>
      </c>
      <c r="D68" s="49">
        <f>(('Input and Output'!C$23*'Input and Output'!$B$10)+('Input and Output'!C$24*Calculations!$C$5)+('Input and Output'!C$25*Calculations!$C$6)+('Input and Output'!C$26*(IF('Input and Output'!E$7="Detritus",Calculations!$C$4,H68))-(SUM('Input and Output'!C$27:C$32))*I67))</f>
        <v>2929.3406556704181</v>
      </c>
      <c r="E68" s="49">
        <f>(('Input and Output'!D$23*'Input and Output'!$B$10)+('Input and Output'!D$24*Calculations!$C$5)+('Input and Output'!D$25*Calculations!$C$6)+('Input and Output'!D$26*(IF('Input and Output'!F$7="Detritus",Calculations!$C$4,I68))-(SUM('Input and Output'!D$27:D$32))*J67))</f>
        <v>1360.917030438748</v>
      </c>
      <c r="F68" s="49" t="e">
        <f>(('Input and Output'!E$23*'Input and Output'!$B$10)+('Input and Output'!E$24*Calculations!$C$5)+('Input and Output'!E$25*Calculations!$C$6)+('Input and Output'!E$26*(IF('Input and Output'!G$7="Detritus",Calculations!$C$4,J68))-(SUM('Input and Output'!E$27:E$32))*K67))</f>
        <v>#N/A</v>
      </c>
      <c r="H68" s="49">
        <f>IF(H$2="",NA(),C68*$B68+H67)</f>
        <v>26811.541397463876</v>
      </c>
      <c r="I68" s="49">
        <f>IF(I$2="",NA(),D68*$B68+I67)</f>
        <v>277138.10642771638</v>
      </c>
      <c r="J68" s="49">
        <f>IF(J$2="",NA(),E68*$B68+J67)</f>
        <v>167121.02287995091</v>
      </c>
      <c r="K68" s="49" t="e">
        <f>IF(K$2="",NA(),F68*$B68+K67)</f>
        <v>#N/A</v>
      </c>
    </row>
    <row r="69" spans="1:11" x14ac:dyDescent="0.4">
      <c r="A69" s="49">
        <v>66</v>
      </c>
      <c r="B69" s="49">
        <f>A69/$B$1</f>
        <v>2.75</v>
      </c>
      <c r="C69" s="49">
        <f>(('Input and Output'!B$23*'Input and Output'!$B$10)+('Input and Output'!B$24*Calculations!$C$5)+('Input and Output'!B$25*Calculations!$C$6)+('Input and Output'!B$26*(IF('Input and Output'!D$7="Detritus",Calculations!$C$4,G69))-(SUM('Input and Output'!B$27:B$32))*H68))</f>
        <v>286.98710803657053</v>
      </c>
      <c r="D69" s="49">
        <f>(('Input and Output'!C$23*'Input and Output'!$B$10)+('Input and Output'!C$24*Calculations!$C$5)+('Input and Output'!C$25*Calculations!$C$6)+('Input and Output'!C$26*(IF('Input and Output'!E$7="Detritus",Calculations!$C$4,H69))-(SUM('Input and Output'!C$27:C$32))*I68))</f>
        <v>2919.0102908499457</v>
      </c>
      <c r="E69" s="49">
        <f>(('Input and Output'!D$23*'Input and Output'!$B$10)+('Input and Output'!D$24*Calculations!$C$5)+('Input and Output'!D$25*Calculations!$C$6)+('Input and Output'!D$26*(IF('Input and Output'!F$7="Detritus",Calculations!$C$4,I69))-(SUM('Input and Output'!D$27:D$32))*J68))</f>
        <v>1353.6175196644353</v>
      </c>
      <c r="F69" s="49" t="e">
        <f>(('Input and Output'!E$23*'Input and Output'!$B$10)+('Input and Output'!E$24*Calculations!$C$5)+('Input and Output'!E$25*Calculations!$C$6)+('Input and Output'!E$26*(IF('Input and Output'!G$7="Detritus",Calculations!$C$4,J69))-(SUM('Input and Output'!E$27:E$32))*K68))</f>
        <v>#N/A</v>
      </c>
      <c r="H69" s="49">
        <f>IF(H$2="",NA(),C69*$B69+H68)</f>
        <v>27600.755944564444</v>
      </c>
      <c r="I69" s="49">
        <f>IF(I$2="",NA(),D69*$B69+I68)</f>
        <v>285165.38472755376</v>
      </c>
      <c r="J69" s="49">
        <f>IF(J$2="",NA(),E69*$B69+J68)</f>
        <v>170843.47105902812</v>
      </c>
      <c r="K69" s="49" t="e">
        <f>IF(K$2="",NA(),F69*$B69+K68)</f>
        <v>#N/A</v>
      </c>
    </row>
    <row r="70" spans="1:11" x14ac:dyDescent="0.4">
      <c r="A70" s="49">
        <v>67</v>
      </c>
      <c r="B70" s="49">
        <f>A70/$B$1</f>
        <v>2.7916666666666665</v>
      </c>
      <c r="C70" s="49">
        <f>(('Input and Output'!B$23*'Input and Output'!$B$10)+('Input and Output'!B$24*Calculations!$C$5)+('Input and Output'!B$25*Calculations!$C$6)+('Input and Output'!B$26*(IF('Input and Output'!D$7="Detritus",Calculations!$C$4,G70))-(SUM('Input and Output'!B$27:B$32))*H69))</f>
        <v>286.22621516162837</v>
      </c>
      <c r="D70" s="49">
        <f>(('Input and Output'!C$23*'Input and Output'!$B$10)+('Input and Output'!C$24*Calculations!$C$5)+('Input and Output'!C$25*Calculations!$C$6)+('Input and Output'!C$26*(IF('Input and Output'!E$7="Detritus",Calculations!$C$4,H70))-(SUM('Input and Output'!C$27:C$32))*I69))</f>
        <v>2908.5686654658239</v>
      </c>
      <c r="E70" s="49">
        <f>(('Input and Output'!D$23*'Input and Output'!$B$10)+('Input and Output'!D$24*Calculations!$C$5)+('Input and Output'!D$25*Calculations!$C$6)+('Input and Output'!D$26*(IF('Input and Output'!F$7="Detritus",Calculations!$C$4,I70))-(SUM('Input and Output'!D$27:D$32))*J69))</f>
        <v>1346.5607027764008</v>
      </c>
      <c r="F70" s="49" t="e">
        <f>(('Input and Output'!E$23*'Input and Output'!$B$10)+('Input and Output'!E$24*Calculations!$C$5)+('Input and Output'!E$25*Calculations!$C$6)+('Input and Output'!E$26*(IF('Input and Output'!G$7="Detritus",Calculations!$C$4,J70))-(SUM('Input and Output'!E$27:E$32))*K69))</f>
        <v>#N/A</v>
      </c>
      <c r="H70" s="49">
        <f>IF(H$2="",NA(),C70*$B70+H69)</f>
        <v>28399.804128557324</v>
      </c>
      <c r="I70" s="49">
        <f>IF(I$2="",NA(),D70*$B70+I69)</f>
        <v>293285.13891864585</v>
      </c>
      <c r="J70" s="49">
        <f>IF(J$2="",NA(),E70*$B70+J69)</f>
        <v>174602.61968761223</v>
      </c>
      <c r="K70" s="49" t="e">
        <f>IF(K$2="",NA(),F70*$B70+K69)</f>
        <v>#N/A</v>
      </c>
    </row>
    <row r="71" spans="1:11" x14ac:dyDescent="0.4">
      <c r="A71" s="49">
        <v>68</v>
      </c>
      <c r="B71" s="49">
        <f>A71/$B$1</f>
        <v>2.8333333333333335</v>
      </c>
      <c r="C71" s="49">
        <f>(('Input and Output'!B$23*'Input and Output'!$B$10)+('Input and Output'!B$24*Calculations!$C$5)+('Input and Output'!B$25*Calculations!$C$6)+('Input and Output'!B$26*(IF('Input and Output'!D$7="Detritus",Calculations!$C$4,G71))-(SUM('Input and Output'!B$27:B$32))*H70))</f>
        <v>285.45584153867719</v>
      </c>
      <c r="D71" s="49">
        <f>(('Input and Output'!C$23*'Input and Output'!$B$10)+('Input and Output'!C$24*Calculations!$C$5)+('Input and Output'!C$25*Calculations!$C$6)+('Input and Output'!C$26*(IF('Input and Output'!E$7="Detritus",Calculations!$C$4,H71))-(SUM('Input and Output'!C$27:C$32))*I70))</f>
        <v>2898.017846398212</v>
      </c>
      <c r="E71" s="49">
        <f>(('Input and Output'!D$23*'Input and Output'!$B$10)+('Input and Output'!D$24*Calculations!$C$5)+('Input and Output'!D$25*Calculations!$C$6)+('Input and Output'!D$26*(IF('Input and Output'!F$7="Detritus",Calculations!$C$4,I71))-(SUM('Input and Output'!D$27:D$32))*J70))</f>
        <v>1339.713415428123</v>
      </c>
      <c r="F71" s="49" t="e">
        <f>(('Input and Output'!E$23*'Input and Output'!$B$10)+('Input and Output'!E$24*Calculations!$C$5)+('Input and Output'!E$25*Calculations!$C$6)+('Input and Output'!E$26*(IF('Input and Output'!G$7="Detritus",Calculations!$C$4,J71))-(SUM('Input and Output'!E$27:E$32))*K70))</f>
        <v>#N/A</v>
      </c>
      <c r="H71" s="49">
        <f>IF(H$2="",NA(),C71*$B71+H70)</f>
        <v>29208.595679583577</v>
      </c>
      <c r="I71" s="49">
        <f>IF(I$2="",NA(),D71*$B71+I70)</f>
        <v>301496.18948344077</v>
      </c>
      <c r="J71" s="49">
        <f>IF(J$2="",NA(),E71*$B71+J70)</f>
        <v>178398.47436465858</v>
      </c>
      <c r="K71" s="49" t="e">
        <f>IF(K$2="",NA(),F71*$B71+K70)</f>
        <v>#N/A</v>
      </c>
    </row>
    <row r="72" spans="1:11" x14ac:dyDescent="0.4">
      <c r="A72" s="49">
        <v>69</v>
      </c>
      <c r="B72" s="49">
        <f>A72/$B$1</f>
        <v>2.875</v>
      </c>
      <c r="C72" s="49">
        <f>(('Input and Output'!B$23*'Input and Output'!$B$10)+('Input and Output'!B$24*Calculations!$C$5)+('Input and Output'!B$25*Calculations!$C$6)+('Input and Output'!B$26*(IF('Input and Output'!D$7="Detritus",Calculations!$C$4,G72))-(SUM('Input and Output'!B$27:B$32))*H71))</f>
        <v>284.67607419816102</v>
      </c>
      <c r="D72" s="49">
        <f>(('Input and Output'!C$23*'Input and Output'!$B$10)+('Input and Output'!C$24*Calculations!$C$5)+('Input and Output'!C$25*Calculations!$C$6)+('Input and Output'!C$26*(IF('Input and Output'!E$7="Detritus",Calculations!$C$4,H72))-(SUM('Input and Output'!C$27:C$32))*I71))</f>
        <v>2887.3599082492028</v>
      </c>
      <c r="E72" s="49">
        <f>(('Input and Output'!D$23*'Input and Output'!$B$10)+('Input and Output'!D$24*Calculations!$C$5)+('Input and Output'!D$25*Calculations!$C$6)+('Input and Output'!D$26*(IF('Input and Output'!F$7="Detritus",Calculations!$C$4,I72))-(SUM('Input and Output'!D$27:D$32))*J71))</f>
        <v>1333.0458689504449</v>
      </c>
      <c r="F72" s="49" t="e">
        <f>(('Input and Output'!E$23*'Input and Output'!$B$10)+('Input and Output'!E$24*Calculations!$C$5)+('Input and Output'!E$25*Calculations!$C$6)+('Input and Output'!E$26*(IF('Input and Output'!G$7="Detritus",Calculations!$C$4,J72))-(SUM('Input and Output'!E$27:E$32))*K71))</f>
        <v>#N/A</v>
      </c>
      <c r="H72" s="49">
        <f>IF(H$2="",NA(),C72*$B72+H71)</f>
        <v>30027.039392903291</v>
      </c>
      <c r="I72" s="49">
        <f>IF(I$2="",NA(),D72*$B72+I71)</f>
        <v>309797.34921965725</v>
      </c>
      <c r="J72" s="49">
        <f>IF(J$2="",NA(),E72*$B72+J71)</f>
        <v>182230.9812378911</v>
      </c>
      <c r="K72" s="49" t="e">
        <f>IF(K$2="",NA(),F72*$B72+K71)</f>
        <v>#N/A</v>
      </c>
    </row>
    <row r="73" spans="1:11" x14ac:dyDescent="0.4">
      <c r="A73" s="49">
        <v>70</v>
      </c>
      <c r="B73" s="49">
        <f>A73/$B$1</f>
        <v>2.9166666666666665</v>
      </c>
      <c r="C73" s="49">
        <f>(('Input and Output'!B$23*'Input and Output'!$B$10)+('Input and Output'!B$24*Calculations!$C$5)+('Input and Output'!B$25*Calculations!$C$6)+('Input and Output'!B$26*(IF('Input and Output'!D$7="Detritus",Calculations!$C$4,G73))-(SUM('Input and Output'!B$27:B$32))*H72))</f>
        <v>283.88700107185582</v>
      </c>
      <c r="D73" s="49">
        <f>(('Input and Output'!C$23*'Input and Output'!$B$10)+('Input and Output'!C$24*Calculations!$C$5)+('Input and Output'!C$25*Calculations!$C$6)+('Input and Output'!C$26*(IF('Input and Output'!E$7="Detritus",Calculations!$C$4,H73))-(SUM('Input and Output'!C$27:C$32))*I72))</f>
        <v>2876.5969324665675</v>
      </c>
      <c r="E73" s="49">
        <f>(('Input and Output'!D$23*'Input and Output'!$B$10)+('Input and Output'!D$24*Calculations!$C$5)+('Input and Output'!D$25*Calculations!$C$6)+('Input and Output'!D$26*(IF('Input and Output'!F$7="Detritus",Calculations!$C$4,I73))-(SUM('Input and Output'!D$27:D$32))*J72))</f>
        <v>1326.5314252682811</v>
      </c>
      <c r="F73" s="49" t="e">
        <f>(('Input and Output'!E$23*'Input and Output'!$B$10)+('Input and Output'!E$24*Calculations!$C$5)+('Input and Output'!E$25*Calculations!$C$6)+('Input and Output'!E$26*(IF('Input and Output'!G$7="Detritus",Calculations!$C$4,J73))-(SUM('Input and Output'!E$27:E$32))*K72))</f>
        <v>#N/A</v>
      </c>
      <c r="H73" s="49">
        <f>IF(H$2="",NA(),C73*$B73+H72)</f>
        <v>30855.043146029537</v>
      </c>
      <c r="I73" s="49">
        <f>IF(I$2="",NA(),D73*$B73+I72)</f>
        <v>318187.42360601807</v>
      </c>
      <c r="J73" s="49">
        <f>IF(J$2="",NA(),E73*$B73+J72)</f>
        <v>186100.03122825691</v>
      </c>
      <c r="K73" s="49" t="e">
        <f>IF(K$2="",NA(),F73*$B73+K72)</f>
        <v>#N/A</v>
      </c>
    </row>
    <row r="74" spans="1:11" x14ac:dyDescent="0.4">
      <c r="A74" s="49">
        <v>71</v>
      </c>
      <c r="B74" s="49">
        <f>A74/$B$1</f>
        <v>2.9583333333333335</v>
      </c>
      <c r="C74" s="49">
        <f>(('Input and Output'!B$23*'Input and Output'!$B$10)+('Input and Output'!B$24*Calculations!$C$5)+('Input and Output'!B$25*Calculations!$C$6)+('Input and Output'!B$26*(IF('Input and Output'!D$7="Detritus",Calculations!$C$4,G74))-(SUM('Input and Output'!B$27:B$32))*H73))</f>
        <v>283.08871097635051</v>
      </c>
      <c r="D74" s="49">
        <f>(('Input and Output'!C$23*'Input and Output'!$B$10)+('Input and Output'!C$24*Calculations!$C$5)+('Input and Output'!C$25*Calculations!$C$6)+('Input and Output'!C$26*(IF('Input and Output'!E$7="Detritus",Calculations!$C$4,H74))-(SUM('Input and Output'!C$27:C$32))*I73))</f>
        <v>2865.7310064735402</v>
      </c>
      <c r="E74" s="49">
        <f>(('Input and Output'!D$23*'Input and Output'!$B$10)+('Input and Output'!D$24*Calculations!$C$5)+('Input and Output'!D$25*Calculations!$C$6)+('Input and Output'!D$26*(IF('Input and Output'!F$7="Detritus",Calculations!$C$4,I74))-(SUM('Input and Output'!D$27:D$32))*J73))</f>
        <v>1320.1463691671333</v>
      </c>
      <c r="F74" s="49" t="e">
        <f>(('Input and Output'!E$23*'Input and Output'!$B$10)+('Input and Output'!E$24*Calculations!$C$5)+('Input and Output'!E$25*Calculations!$C$6)+('Input and Output'!E$26*(IF('Input and Output'!G$7="Detritus",Calculations!$C$4,J74))-(SUM('Input and Output'!E$27:E$32))*K73))</f>
        <v>#N/A</v>
      </c>
      <c r="H74" s="49">
        <f>IF(H$2="",NA(),C74*$B74+H73)</f>
        <v>31692.51391600124</v>
      </c>
      <c r="I74" s="49">
        <f>IF(I$2="",NA(),D74*$B74+I73)</f>
        <v>326665.21116683562</v>
      </c>
      <c r="J74" s="49">
        <f>IF(J$2="",NA(),E74*$B74+J73)</f>
        <v>190005.46423704302</v>
      </c>
      <c r="K74" s="49" t="e">
        <f>IF(K$2="",NA(),F74*$B74+K73)</f>
        <v>#N/A</v>
      </c>
    </row>
    <row r="75" spans="1:11" x14ac:dyDescent="0.4">
      <c r="A75" s="49">
        <v>72</v>
      </c>
      <c r="B75" s="49">
        <f>A75/$B$1</f>
        <v>3</v>
      </c>
      <c r="C75" s="49">
        <f>(('Input and Output'!B$23*'Input and Output'!$B$10)+('Input and Output'!B$24*Calculations!$C$5)+('Input and Output'!B$25*Calculations!$C$6)+('Input and Output'!B$26*(IF('Input and Output'!D$7="Detritus",Calculations!$C$4,G75))-(SUM('Input and Output'!B$27:B$32))*H74))</f>
        <v>282.28129359639365</v>
      </c>
      <c r="D75" s="49">
        <f>(('Input and Output'!C$23*'Input and Output'!$B$10)+('Input and Output'!C$24*Calculations!$C$5)+('Input and Output'!C$25*Calculations!$C$6)+('Input and Output'!C$26*(IF('Input and Output'!E$7="Detritus",Calculations!$C$4,H75))-(SUM('Input and Output'!C$27:C$32))*I74))</f>
        <v>2854.7642228052196</v>
      </c>
      <c r="E75" s="49">
        <f>(('Input and Output'!D$23*'Input and Output'!$B$10)+('Input and Output'!D$24*Calculations!$C$5)+('Input and Output'!D$25*Calculations!$C$6)+('Input and Output'!D$26*(IF('Input and Output'!F$7="Detritus",Calculations!$C$4,I75))-(SUM('Input and Output'!D$27:D$32))*J74))</f>
        <v>1313.8696814979776</v>
      </c>
      <c r="F75" s="49" t="e">
        <f>(('Input and Output'!E$23*'Input and Output'!$B$10)+('Input and Output'!E$24*Calculations!$C$5)+('Input and Output'!E$25*Calculations!$C$6)+('Input and Output'!E$26*(IF('Input and Output'!G$7="Detritus",Calculations!$C$4,J75))-(SUM('Input and Output'!E$27:E$32))*K74))</f>
        <v>#N/A</v>
      </c>
      <c r="H75" s="49">
        <f>IF(H$2="",NA(),C75*$B75+H74)</f>
        <v>32539.35779679042</v>
      </c>
      <c r="I75" s="49">
        <f>IF(I$2="",NA(),D75*$B75+I74)</f>
        <v>335229.50383525126</v>
      </c>
      <c r="J75" s="49">
        <f>IF(J$2="",NA(),E75*$B75+J74)</f>
        <v>193947.07328153696</v>
      </c>
      <c r="K75" s="49" t="e">
        <f>IF(K$2="",NA(),F75*$B75+K74)</f>
        <v>#N/A</v>
      </c>
    </row>
    <row r="76" spans="1:11" x14ac:dyDescent="0.4">
      <c r="A76" s="49">
        <v>73</v>
      </c>
      <c r="B76" s="49">
        <f>A76/$B$1</f>
        <v>3.0416666666666665</v>
      </c>
      <c r="C76" s="49">
        <f>(('Input and Output'!B$23*'Input and Output'!$B$10)+('Input and Output'!B$24*Calculations!$C$5)+('Input and Output'!B$25*Calculations!$C$6)+('Input and Output'!B$26*(IF('Input and Output'!D$7="Detritus",Calculations!$C$4,G76))-(SUM('Input and Output'!B$27:B$32))*H75))</f>
        <v>281.46483946811117</v>
      </c>
      <c r="D76" s="49">
        <f>(('Input and Output'!C$23*'Input and Output'!$B$10)+('Input and Output'!C$24*Calculations!$C$5)+('Input and Output'!C$25*Calculations!$C$6)+('Input and Output'!C$26*(IF('Input and Output'!E$7="Detritus",Calculations!$C$4,H76))-(SUM('Input and Output'!C$27:C$32))*I75))</f>
        <v>2843.6986782521644</v>
      </c>
      <c r="E76" s="49">
        <f>(('Input and Output'!D$23*'Input and Output'!$B$10)+('Input and Output'!D$24*Calculations!$C$5)+('Input and Output'!D$25*Calculations!$C$6)+('Input and Output'!D$26*(IF('Input and Output'!F$7="Detritus",Calculations!$C$4,I76))-(SUM('Input and Output'!D$27:D$32))*J75))</f>
        <v>1307.6828163491246</v>
      </c>
      <c r="F76" s="49" t="e">
        <f>(('Input and Output'!E$23*'Input and Output'!$B$10)+('Input and Output'!E$24*Calculations!$C$5)+('Input and Output'!E$25*Calculations!$C$6)+('Input and Output'!E$26*(IF('Input and Output'!G$7="Detritus",Calculations!$C$4,J76))-(SUM('Input and Output'!E$27:E$32))*K75))</f>
        <v>#N/A</v>
      </c>
      <c r="H76" s="49">
        <f>IF(H$2="",NA(),C76*$B76+H75)</f>
        <v>33395.480016839261</v>
      </c>
      <c r="I76" s="49">
        <f>IF(I$2="",NA(),D76*$B76+I75)</f>
        <v>343879.08731493494</v>
      </c>
      <c r="J76" s="49">
        <f>IF(J$2="",NA(),E76*$B76+J75)</f>
        <v>197924.60851459886</v>
      </c>
      <c r="K76" s="49" t="e">
        <f>IF(K$2="",NA(),F76*$B76+K75)</f>
        <v>#N/A</v>
      </c>
    </row>
    <row r="77" spans="1:11" x14ac:dyDescent="0.4">
      <c r="A77" s="49">
        <v>74</v>
      </c>
      <c r="B77" s="49">
        <f>A77/$B$1</f>
        <v>3.0833333333333335</v>
      </c>
      <c r="C77" s="49">
        <f>(('Input and Output'!B$23*'Input and Output'!$B$10)+('Input and Output'!B$24*Calculations!$C$5)+('Input and Output'!B$25*Calculations!$C$6)+('Input and Output'!B$26*(IF('Input and Output'!D$7="Detritus",Calculations!$C$4,G77))-(SUM('Input and Output'!B$27:B$32))*H76))</f>
        <v>280.63943996209849</v>
      </c>
      <c r="D77" s="49">
        <f>(('Input and Output'!C$23*'Input and Output'!$B$10)+('Input and Output'!C$24*Calculations!$C$5)+('Input and Output'!C$25*Calculations!$C$6)+('Input and Output'!C$26*(IF('Input and Output'!E$7="Detritus",Calculations!$C$4,H77))-(SUM('Input and Output'!C$27:C$32))*I76))</f>
        <v>2832.5364730117326</v>
      </c>
      <c r="E77" s="49">
        <f>(('Input and Output'!D$23*'Input and Output'!$B$10)+('Input and Output'!D$24*Calculations!$C$5)+('Input and Output'!D$25*Calculations!$C$6)+('Input and Output'!D$26*(IF('Input and Output'!F$7="Detritus",Calculations!$C$4,I77))-(SUM('Input and Output'!D$27:D$32))*J76))</f>
        <v>1301.5694846819933</v>
      </c>
      <c r="F77" s="49" t="e">
        <f>(('Input and Output'!E$23*'Input and Output'!$B$10)+('Input and Output'!E$24*Calculations!$C$5)+('Input and Output'!E$25*Calculations!$C$6)+('Input and Output'!E$26*(IF('Input and Output'!G$7="Detritus",Calculations!$C$4,J77))-(SUM('Input and Output'!E$27:E$32))*K76))</f>
        <v>#N/A</v>
      </c>
      <c r="H77" s="49">
        <f>IF(H$2="",NA(),C77*$B77+H76)</f>
        <v>34260.784956722397</v>
      </c>
      <c r="I77" s="49">
        <f>IF(I$2="",NA(),D77*$B77+I76)</f>
        <v>352612.74144005444</v>
      </c>
      <c r="J77" s="49">
        <f>IF(J$2="",NA(),E77*$B77+J76)</f>
        <v>201937.78109236833</v>
      </c>
      <c r="K77" s="49" t="e">
        <f>IF(K$2="",NA(),F77*$B77+K76)</f>
        <v>#N/A</v>
      </c>
    </row>
    <row r="78" spans="1:11" x14ac:dyDescent="0.4">
      <c r="A78" s="49">
        <v>75</v>
      </c>
      <c r="B78" s="49">
        <f>A78/$B$1</f>
        <v>3.125</v>
      </c>
      <c r="C78" s="49">
        <f>(('Input and Output'!B$23*'Input and Output'!$B$10)+('Input and Output'!B$24*Calculations!$C$5)+('Input and Output'!B$25*Calculations!$C$6)+('Input and Output'!B$26*(IF('Input and Output'!D$7="Detritus",Calculations!$C$4,G78))-(SUM('Input and Output'!B$27:B$32))*H77))</f>
        <v>279.80518726639212</v>
      </c>
      <c r="D78" s="49">
        <f>(('Input and Output'!C$23*'Input and Output'!$B$10)+('Input and Output'!C$24*Calculations!$C$5)+('Input and Output'!C$25*Calculations!$C$6)+('Input and Output'!C$26*(IF('Input and Output'!E$7="Detritus",Calculations!$C$4,H78))-(SUM('Input and Output'!C$27:C$32))*I77))</f>
        <v>2821.2797098477104</v>
      </c>
      <c r="E78" s="49">
        <f>(('Input and Output'!D$23*'Input and Output'!$B$10)+('Input and Output'!D$24*Calculations!$C$5)+('Input and Output'!D$25*Calculations!$C$6)+('Input and Output'!D$26*(IF('Input and Output'!F$7="Detritus",Calculations!$C$4,I78))-(SUM('Input and Output'!D$27:D$32))*J77))</f>
        <v>1295.5154464315365</v>
      </c>
      <c r="F78" s="49" t="e">
        <f>(('Input and Output'!E$23*'Input and Output'!$B$10)+('Input and Output'!E$24*Calculations!$C$5)+('Input and Output'!E$25*Calculations!$C$6)+('Input and Output'!E$26*(IF('Input and Output'!G$7="Detritus",Calculations!$C$4,J78))-(SUM('Input and Output'!E$27:E$32))*K77))</f>
        <v>#N/A</v>
      </c>
      <c r="H78" s="49">
        <f>IF(H$2="",NA(),C78*$B78+H77)</f>
        <v>35135.176166929872</v>
      </c>
      <c r="I78" s="49">
        <f>IF(I$2="",NA(),D78*$B78+I77)</f>
        <v>361429.24053332856</v>
      </c>
      <c r="J78" s="49">
        <f>IF(J$2="",NA(),E78*$B78+J77)</f>
        <v>205986.26686246687</v>
      </c>
      <c r="K78" s="49" t="e">
        <f>IF(K$2="",NA(),F78*$B78+K77)</f>
        <v>#N/A</v>
      </c>
    </row>
    <row r="79" spans="1:11" x14ac:dyDescent="0.4">
      <c r="A79" s="49">
        <v>76</v>
      </c>
      <c r="B79" s="49">
        <f>A79/$B$1</f>
        <v>3.1666666666666665</v>
      </c>
      <c r="C79" s="49">
        <f>(('Input and Output'!B$23*'Input and Output'!$B$10)+('Input and Output'!B$24*Calculations!$C$5)+('Input and Output'!B$25*Calculations!$C$6)+('Input and Output'!B$26*(IF('Input and Output'!D$7="Detritus",Calculations!$C$4,G79))-(SUM('Input and Output'!B$27:B$32))*H78))</f>
        <v>278.96217436932477</v>
      </c>
      <c r="D79" s="49">
        <f>(('Input and Output'!C$23*'Input and Output'!$B$10)+('Input and Output'!C$24*Calculations!$C$5)+('Input and Output'!C$25*Calculations!$C$6)+('Input and Output'!C$26*(IF('Input and Output'!E$7="Detritus",Calculations!$C$4,H79))-(SUM('Input and Output'!C$27:C$32))*I78))</f>
        <v>2809.9304932587575</v>
      </c>
      <c r="E79" s="49">
        <f>(('Input and Output'!D$23*'Input and Output'!$B$10)+('Input and Output'!D$24*Calculations!$C$5)+('Input and Output'!D$25*Calculations!$C$6)+('Input and Output'!D$26*(IF('Input and Output'!F$7="Detritus",Calculations!$C$4,I79))-(SUM('Input and Output'!D$27:D$32))*J78))</f>
        <v>1289.5083126159388</v>
      </c>
      <c r="F79" s="49" t="e">
        <f>(('Input and Output'!E$23*'Input and Output'!$B$10)+('Input and Output'!E$24*Calculations!$C$5)+('Input and Output'!E$25*Calculations!$C$6)+('Input and Output'!E$26*(IF('Input and Output'!G$7="Detritus",Calculations!$C$4,J79))-(SUM('Input and Output'!E$27:E$32))*K78))</f>
        <v>#N/A</v>
      </c>
      <c r="H79" s="49">
        <f>IF(H$2="",NA(),C79*$B79+H78)</f>
        <v>36018.556385766067</v>
      </c>
      <c r="I79" s="49">
        <f>IF(I$2="",NA(),D79*$B79+I78)</f>
        <v>370327.3537619813</v>
      </c>
      <c r="J79" s="49">
        <f>IF(J$2="",NA(),E79*$B79+J78)</f>
        <v>210069.70985241735</v>
      </c>
      <c r="K79" s="49" t="e">
        <f>IF(K$2="",NA(),F79*$B79+K78)</f>
        <v>#N/A</v>
      </c>
    </row>
    <row r="80" spans="1:11" x14ac:dyDescent="0.4">
      <c r="A80" s="49">
        <v>77</v>
      </c>
      <c r="B80" s="49">
        <f>A80/$B$1</f>
        <v>3.2083333333333335</v>
      </c>
      <c r="C80" s="49">
        <f>(('Input and Output'!B$23*'Input and Output'!$B$10)+('Input and Output'!B$24*Calculations!$C$5)+('Input and Output'!B$25*Calculations!$C$6)+('Input and Output'!B$26*(IF('Input and Output'!D$7="Detritus",Calculations!$C$4,G80))-(SUM('Input and Output'!B$27:B$32))*H79))</f>
        <v>278.11049504226895</v>
      </c>
      <c r="D80" s="49">
        <f>(('Input and Output'!C$23*'Input and Output'!$B$10)+('Input and Output'!C$24*Calculations!$C$5)+('Input and Output'!C$25*Calculations!$C$6)+('Input and Output'!C$26*(IF('Input and Output'!E$7="Detritus",Calculations!$C$4,H80))-(SUM('Input and Output'!C$27:C$32))*I79))</f>
        <v>2798.490928656186</v>
      </c>
      <c r="E80" s="49">
        <f>(('Input and Output'!D$23*'Input and Output'!$B$10)+('Input and Output'!D$24*Calculations!$C$5)+('Input and Output'!D$25*Calculations!$C$6)+('Input and Output'!D$26*(IF('Input and Output'!F$7="Detritus",Calculations!$C$4,I80))-(SUM('Input and Output'!D$27:D$32))*J79))</f>
        <v>1283.5373585878751</v>
      </c>
      <c r="F80" s="49" t="e">
        <f>(('Input and Output'!E$23*'Input and Output'!$B$10)+('Input and Output'!E$24*Calculations!$C$5)+('Input and Output'!E$25*Calculations!$C$6)+('Input and Output'!E$26*(IF('Input and Output'!G$7="Detritus",Calculations!$C$4,J80))-(SUM('Input and Output'!E$27:E$32))*K79))</f>
        <v>#N/A</v>
      </c>
      <c r="H80" s="49">
        <f>IF(H$2="",NA(),C80*$B80+H79)</f>
        <v>36910.827557360011</v>
      </c>
      <c r="I80" s="49">
        <f>IF(I$2="",NA(),D80*$B80+I79)</f>
        <v>379305.8454914199</v>
      </c>
      <c r="J80" s="49">
        <f>IF(J$2="",NA(),E80*$B80+J79)</f>
        <v>214187.72554455345</v>
      </c>
      <c r="K80" s="49" t="e">
        <f>IF(K$2="",NA(),F80*$B80+K79)</f>
        <v>#N/A</v>
      </c>
    </row>
    <row r="81" spans="1:11" x14ac:dyDescent="0.4">
      <c r="A81" s="49">
        <v>78</v>
      </c>
      <c r="B81" s="49">
        <f>A81/$B$1</f>
        <v>3.25</v>
      </c>
      <c r="C81" s="49">
        <f>(('Input and Output'!B$23*'Input and Output'!$B$10)+('Input and Output'!B$24*Calculations!$C$5)+('Input and Output'!B$25*Calculations!$C$6)+('Input and Output'!B$26*(IF('Input and Output'!D$7="Detritus",Calculations!$C$4,G81))-(SUM('Input and Output'!B$27:B$32))*H80))</f>
        <v>277.25024382227258</v>
      </c>
      <c r="D81" s="49">
        <f>(('Input and Output'!C$23*'Input and Output'!$B$10)+('Input and Output'!C$24*Calculations!$C$5)+('Input and Output'!C$25*Calculations!$C$6)+('Input and Output'!C$26*(IF('Input and Output'!E$7="Detritus",Calculations!$C$4,H81))-(SUM('Input and Output'!C$27:C$32))*I80))</f>
        <v>2786.9631215515724</v>
      </c>
      <c r="E81" s="49">
        <f>(('Input and Output'!D$23*'Input and Output'!$B$10)+('Input and Output'!D$24*Calculations!$C$5)+('Input and Output'!D$25*Calculations!$C$6)+('Input and Output'!D$26*(IF('Input and Output'!F$7="Detritus",Calculations!$C$4,I81))-(SUM('Input and Output'!D$27:D$32))*J80))</f>
        <v>1277.5933491923806</v>
      </c>
      <c r="F81" s="49" t="e">
        <f>(('Input and Output'!E$23*'Input and Output'!$B$10)+('Input and Output'!E$24*Calculations!$C$5)+('Input and Output'!E$25*Calculations!$C$6)+('Input and Output'!E$26*(IF('Input and Output'!G$7="Detritus",Calculations!$C$4,J81))-(SUM('Input and Output'!E$27:E$32))*K80))</f>
        <v>#N/A</v>
      </c>
      <c r="H81" s="49">
        <f>IF(H$2="",NA(),C81*$B81+H80)</f>
        <v>37811.890849782394</v>
      </c>
      <c r="I81" s="49">
        <f>IF(I$2="",NA(),D81*$B81+I80)</f>
        <v>388363.47563646251</v>
      </c>
      <c r="J81" s="49">
        <f>IF(J$2="",NA(),E81*$B81+J80)</f>
        <v>218339.90392942869</v>
      </c>
      <c r="K81" s="49" t="e">
        <f>IF(K$2="",NA(),F81*$B81+K80)</f>
        <v>#N/A</v>
      </c>
    </row>
    <row r="82" spans="1:11" x14ac:dyDescent="0.4">
      <c r="A82" s="49">
        <v>79</v>
      </c>
      <c r="B82" s="49">
        <f>A82/$B$1</f>
        <v>3.2916666666666665</v>
      </c>
      <c r="C82" s="49">
        <f>(('Input and Output'!B$23*'Input and Output'!$B$10)+('Input and Output'!B$24*Calculations!$C$5)+('Input and Output'!B$25*Calculations!$C$6)+('Input and Output'!B$26*(IF('Input and Output'!D$7="Detritus",Calculations!$C$4,G82))-(SUM('Input and Output'!B$27:B$32))*H81))</f>
        <v>276.38151599459263</v>
      </c>
      <c r="D82" s="49">
        <f>(('Input and Output'!C$23*'Input and Output'!$B$10)+('Input and Output'!C$24*Calculations!$C$5)+('Input and Output'!C$25*Calculations!$C$6)+('Input and Output'!C$26*(IF('Input and Output'!E$7="Detritus",Calculations!$C$4,H82))-(SUM('Input and Output'!C$27:C$32))*I81))</f>
        <v>2775.3491767546907</v>
      </c>
      <c r="E82" s="49">
        <f>(('Input and Output'!D$23*'Input and Output'!$B$10)+('Input and Output'!D$24*Calculations!$C$5)+('Input and Output'!D$25*Calculations!$C$6)+('Input and Output'!D$26*(IF('Input and Output'!F$7="Detritus",Calculations!$C$4,I82))-(SUM('Input and Output'!D$27:D$32))*J81))</f>
        <v>1271.6683762750272</v>
      </c>
      <c r="F82" s="49" t="e">
        <f>(('Input and Output'!E$23*'Input and Output'!$B$10)+('Input and Output'!E$24*Calculations!$C$5)+('Input and Output'!E$25*Calculations!$C$6)+('Input and Output'!E$26*(IF('Input and Output'!G$7="Detritus",Calculations!$C$4,J82))-(SUM('Input and Output'!E$27:E$32))*K81))</f>
        <v>#N/A</v>
      </c>
      <c r="H82" s="49">
        <f>IF(H$2="",NA(),C82*$B82+H81)</f>
        <v>38721.646673264593</v>
      </c>
      <c r="I82" s="49">
        <f>IF(I$2="",NA(),D82*$B82+I81)</f>
        <v>397499.0000099467</v>
      </c>
      <c r="J82" s="49">
        <f>IF(J$2="",NA(),E82*$B82+J81)</f>
        <v>222525.81233466731</v>
      </c>
      <c r="K82" s="49" t="e">
        <f>IF(K$2="",NA(),F82*$B82+K81)</f>
        <v>#N/A</v>
      </c>
    </row>
    <row r="83" spans="1:11" x14ac:dyDescent="0.4">
      <c r="A83" s="49">
        <v>80</v>
      </c>
      <c r="B83" s="49">
        <f>A83/$B$1</f>
        <v>3.3333333333333335</v>
      </c>
      <c r="C83" s="49">
        <f>(('Input and Output'!B$23*'Input and Output'!$B$10)+('Input and Output'!B$24*Calculations!$C$5)+('Input and Output'!B$25*Calculations!$C$6)+('Input and Output'!B$26*(IF('Input and Output'!D$7="Detritus",Calculations!$C$4,G83))-(SUM('Input and Output'!B$27:B$32))*H82))</f>
        <v>275.50440757512945</v>
      </c>
      <c r="D83" s="49">
        <f>(('Input and Output'!C$23*'Input and Output'!$B$10)+('Input and Output'!C$24*Calculations!$C$5)+('Input and Output'!C$25*Calculations!$C$6)+('Input and Output'!C$26*(IF('Input and Output'!E$7="Detritus",Calculations!$C$4,H83))-(SUM('Input and Output'!C$27:C$32))*I82))</f>
        <v>2763.6511975822314</v>
      </c>
      <c r="E83" s="49">
        <f>(('Input and Output'!D$23*'Input and Output'!$B$10)+('Input and Output'!D$24*Calculations!$C$5)+('Input and Output'!D$25*Calculations!$C$6)+('Input and Output'!D$26*(IF('Input and Output'!F$7="Detritus",Calculations!$C$4,I83))-(SUM('Input and Output'!D$27:D$32))*J82))</f>
        <v>1265.7557087077075</v>
      </c>
      <c r="F83" s="49" t="e">
        <f>(('Input and Output'!E$23*'Input and Output'!$B$10)+('Input and Output'!E$24*Calculations!$C$5)+('Input and Output'!E$25*Calculations!$C$6)+('Input and Output'!E$26*(IF('Input and Output'!G$7="Detritus",Calculations!$C$4,J83))-(SUM('Input and Output'!E$27:E$32))*K82))</f>
        <v>#N/A</v>
      </c>
      <c r="H83" s="49">
        <f>IF(H$2="",NA(),C83*$B83+H82)</f>
        <v>39639.994698515024</v>
      </c>
      <c r="I83" s="49">
        <f>IF(I$2="",NA(),D83*$B83+I82)</f>
        <v>406711.17066855414</v>
      </c>
      <c r="J83" s="49">
        <f>IF(J$2="",NA(),E83*$B83+J82)</f>
        <v>226744.99803035968</v>
      </c>
      <c r="K83" s="49" t="e">
        <f>IF(K$2="",NA(),F83*$B83+K82)</f>
        <v>#N/A</v>
      </c>
    </row>
    <row r="84" spans="1:11" x14ac:dyDescent="0.4">
      <c r="A84" s="49">
        <v>81</v>
      </c>
      <c r="B84" s="49">
        <f>A84/$B$1</f>
        <v>3.375</v>
      </c>
      <c r="C84" s="49">
        <f>(('Input and Output'!B$23*'Input and Output'!$B$10)+('Input and Output'!B$24*Calculations!$C$5)+('Input and Output'!B$25*Calculations!$C$6)+('Input and Output'!B$26*(IF('Input and Output'!D$7="Detritus",Calculations!$C$4,G84))-(SUM('Input and Output'!B$27:B$32))*H83))</f>
        <v>274.61901529276798</v>
      </c>
      <c r="D84" s="49">
        <f>(('Input and Output'!C$23*'Input and Output'!$B$10)+('Input and Output'!C$24*Calculations!$C$5)+('Input and Output'!C$25*Calculations!$C$6)+('Input and Output'!C$26*(IF('Input and Output'!E$7="Detritus",Calculations!$C$4,H84))-(SUM('Input and Output'!C$27:C$32))*I83))</f>
        <v>2751.8712850777661</v>
      </c>
      <c r="E84" s="49">
        <f>(('Input and Output'!D$23*'Input and Output'!$B$10)+('Input and Output'!D$24*Calculations!$C$5)+('Input and Output'!D$25*Calculations!$C$6)+('Input and Output'!D$26*(IF('Input and Output'!F$7="Detritus",Calculations!$C$4,I84))-(SUM('Input and Output'!D$27:D$32))*J83))</f>
        <v>1259.8496548662406</v>
      </c>
      <c r="F84" s="49" t="e">
        <f>(('Input and Output'!E$23*'Input and Output'!$B$10)+('Input and Output'!E$24*Calculations!$C$5)+('Input and Output'!E$25*Calculations!$C$6)+('Input and Output'!E$26*(IF('Input and Output'!G$7="Detritus",Calculations!$C$4,J84))-(SUM('Input and Output'!E$27:E$32))*K83))</f>
        <v>#N/A</v>
      </c>
      <c r="H84" s="49">
        <f>IF(H$2="",NA(),C84*$B84+H83)</f>
        <v>40566.833875128119</v>
      </c>
      <c r="I84" s="49">
        <f>IF(I$2="",NA(),D84*$B84+I83)</f>
        <v>415998.73625569162</v>
      </c>
      <c r="J84" s="49">
        <f>IF(J$2="",NA(),E84*$B84+J83)</f>
        <v>230996.99061553326</v>
      </c>
      <c r="K84" s="49" t="e">
        <f>IF(K$2="",NA(),F84*$B84+K83)</f>
        <v>#N/A</v>
      </c>
    </row>
    <row r="85" spans="1:11" x14ac:dyDescent="0.4">
      <c r="A85" s="49">
        <v>82</v>
      </c>
      <c r="B85" s="49">
        <f>A85/$B$1</f>
        <v>3.4166666666666665</v>
      </c>
      <c r="C85" s="49">
        <f>(('Input and Output'!B$23*'Input and Output'!$B$10)+('Input and Output'!B$24*Calculations!$C$5)+('Input and Output'!B$25*Calculations!$C$6)+('Input and Output'!B$26*(IF('Input and Output'!D$7="Detritus",Calculations!$C$4,G85))-(SUM('Input and Output'!B$27:B$32))*H84))</f>
        <v>273.7254365716293</v>
      </c>
      <c r="D85" s="49">
        <f>(('Input and Output'!C$23*'Input and Output'!$B$10)+('Input and Output'!C$24*Calculations!$C$5)+('Input and Output'!C$25*Calculations!$C$6)+('Input and Output'!C$26*(IF('Input and Output'!E$7="Detritus",Calculations!$C$4,H85))-(SUM('Input and Output'!C$27:C$32))*I84))</f>
        <v>2740.0115372433975</v>
      </c>
      <c r="E85" s="49">
        <f>(('Input and Output'!D$23*'Input and Output'!$B$10)+('Input and Output'!D$24*Calculations!$C$5)+('Input and Output'!D$25*Calculations!$C$6)+('Input and Output'!D$26*(IF('Input and Output'!F$7="Detritus",Calculations!$C$4,I85))-(SUM('Input and Output'!D$27:D$32))*J84))</f>
        <v>1253.9454373020053</v>
      </c>
      <c r="F85" s="49" t="e">
        <f>(('Input and Output'!E$23*'Input and Output'!$B$10)+('Input and Output'!E$24*Calculations!$C$5)+('Input and Output'!E$25*Calculations!$C$6)+('Input and Output'!E$26*(IF('Input and Output'!G$7="Detritus",Calculations!$C$4,J85))-(SUM('Input and Output'!E$27:E$32))*K84))</f>
        <v>#N/A</v>
      </c>
      <c r="H85" s="49">
        <f>IF(H$2="",NA(),C85*$B85+H84)</f>
        <v>41502.062450081183</v>
      </c>
      <c r="I85" s="49">
        <f>IF(I$2="",NA(),D85*$B85+I84)</f>
        <v>425360.44234127324</v>
      </c>
      <c r="J85" s="49">
        <f>IF(J$2="",NA(),E85*$B85+J84)</f>
        <v>235281.30419298177</v>
      </c>
      <c r="K85" s="49" t="e">
        <f>IF(K$2="",NA(),F85*$B85+K84)</f>
        <v>#N/A</v>
      </c>
    </row>
    <row r="86" spans="1:11" x14ac:dyDescent="0.4">
      <c r="A86" s="49">
        <v>83</v>
      </c>
      <c r="B86" s="49">
        <f>A86/$B$1</f>
        <v>3.4583333333333335</v>
      </c>
      <c r="C86" s="49">
        <f>(('Input and Output'!B$23*'Input and Output'!$B$10)+('Input and Output'!B$24*Calculations!$C$5)+('Input and Output'!B$25*Calculations!$C$6)+('Input and Output'!B$26*(IF('Input and Output'!D$7="Detritus",Calculations!$C$4,G86))-(SUM('Input and Output'!B$27:B$32))*H85))</f>
        <v>272.82376951323761</v>
      </c>
      <c r="D86" s="49">
        <f>(('Input and Output'!C$23*'Input and Output'!$B$10)+('Input and Output'!C$24*Calculations!$C$5)+('Input and Output'!C$25*Calculations!$C$6)+('Input and Output'!C$26*(IF('Input and Output'!E$7="Detritus",Calculations!$C$4,H86))-(SUM('Input and Output'!C$27:C$32))*I85))</f>
        <v>2728.0740482835099</v>
      </c>
      <c r="E86" s="49">
        <f>(('Input and Output'!D$23*'Input and Output'!$B$10)+('Input and Output'!D$24*Calculations!$C$5)+('Input and Output'!D$25*Calculations!$C$6)+('Input and Output'!D$26*(IF('Input and Output'!F$7="Detritus",Calculations!$C$4,I86))-(SUM('Input and Output'!D$27:D$32))*J85))</f>
        <v>1248.0390791956379</v>
      </c>
      <c r="F86" s="49" t="e">
        <f>(('Input and Output'!E$23*'Input and Output'!$B$10)+('Input and Output'!E$24*Calculations!$C$5)+('Input and Output'!E$25*Calculations!$C$6)+('Input and Output'!E$26*(IF('Input and Output'!G$7="Detritus",Calculations!$C$4,J86))-(SUM('Input and Output'!E$27:E$32))*K85))</f>
        <v>#N/A</v>
      </c>
      <c r="H86" s="49">
        <f>IF(H$2="",NA(),C86*$B86+H85)</f>
        <v>42445.577986314463</v>
      </c>
      <c r="I86" s="49">
        <f>IF(I$2="",NA(),D86*$B86+I85)</f>
        <v>434795.0317582537</v>
      </c>
      <c r="J86" s="49">
        <f>IF(J$2="",NA(),E86*$B86+J85)</f>
        <v>239597.43934186667</v>
      </c>
      <c r="K86" s="49" t="e">
        <f>IF(K$2="",NA(),F86*$B86+K85)</f>
        <v>#N/A</v>
      </c>
    </row>
    <row r="87" spans="1:11" x14ac:dyDescent="0.4">
      <c r="A87" s="49">
        <v>84</v>
      </c>
      <c r="B87" s="49">
        <f>A87/$B$1</f>
        <v>3.5</v>
      </c>
      <c r="C87" s="49">
        <f>(('Input and Output'!B$23*'Input and Output'!$B$10)+('Input and Output'!B$24*Calculations!$C$5)+('Input and Output'!B$25*Calculations!$C$6)+('Input and Output'!B$26*(IF('Input and Output'!D$7="Detritus",Calculations!$C$4,G87))-(SUM('Input and Output'!B$27:B$32))*H86))</f>
        <v>271.91411287860689</v>
      </c>
      <c r="D87" s="49">
        <f>(('Input and Output'!C$23*'Input and Output'!$B$10)+('Input and Output'!C$24*Calculations!$C$5)+('Input and Output'!C$25*Calculations!$C$6)+('Input and Output'!C$26*(IF('Input and Output'!E$7="Detritus",Calculations!$C$4,H87))-(SUM('Input and Output'!C$27:C$32))*I86))</f>
        <v>2716.0609078610337</v>
      </c>
      <c r="E87" s="49">
        <f>(('Input and Output'!D$23*'Input and Output'!$B$10)+('Input and Output'!D$24*Calculations!$C$5)+('Input and Output'!D$25*Calculations!$C$6)+('Input and Output'!D$26*(IF('Input and Output'!F$7="Detritus",Calculations!$C$4,I87))-(SUM('Input and Output'!D$27:D$32))*J86))</f>
        <v>1242.1273020615427</v>
      </c>
      <c r="F87" s="49" t="e">
        <f>(('Input and Output'!E$23*'Input and Output'!$B$10)+('Input and Output'!E$24*Calculations!$C$5)+('Input and Output'!E$25*Calculations!$C$6)+('Input and Output'!E$26*(IF('Input and Output'!G$7="Detritus",Calculations!$C$4,J87))-(SUM('Input and Output'!E$27:E$32))*K86))</f>
        <v>#N/A</v>
      </c>
      <c r="H87" s="49">
        <f>IF(H$2="",NA(),C87*$B87+H86)</f>
        <v>43397.277381389591</v>
      </c>
      <c r="I87" s="49">
        <f>IF(I$2="",NA(),D87*$B87+I86)</f>
        <v>444301.24493576732</v>
      </c>
      <c r="J87" s="49">
        <f>IF(J$2="",NA(),E87*$B87+J86)</f>
        <v>243944.88489908207</v>
      </c>
      <c r="K87" s="49" t="e">
        <f>IF(K$2="",NA(),F87*$B87+K86)</f>
        <v>#N/A</v>
      </c>
    </row>
    <row r="88" spans="1:11" x14ac:dyDescent="0.4">
      <c r="A88" s="49">
        <v>85</v>
      </c>
      <c r="B88" s="49">
        <f>A88/$B$1</f>
        <v>3.5416666666666665</v>
      </c>
      <c r="C88" s="49">
        <f>(('Input and Output'!B$23*'Input and Output'!$B$10)+('Input and Output'!B$24*Calculations!$C$5)+('Input and Output'!B$25*Calculations!$C$6)+('Input and Output'!B$26*(IF('Input and Output'!D$7="Detritus",Calculations!$C$4,G88))-(SUM('Input and Output'!B$27:B$32))*H87))</f>
        <v>270.9965660702519</v>
      </c>
      <c r="D88" s="49">
        <f>(('Input and Output'!C$23*'Input and Output'!$B$10)+('Input and Output'!C$24*Calculations!$C$5)+('Input and Output'!C$25*Calculations!$C$6)+('Input and Output'!C$26*(IF('Input and Output'!E$7="Detritus",Calculations!$C$4,H88))-(SUM('Input and Output'!C$27:C$32))*I87))</f>
        <v>2703.974200366612</v>
      </c>
      <c r="E88" s="49">
        <f>(('Input and Output'!D$23*'Input and Output'!$B$10)+('Input and Output'!D$24*Calculations!$C$5)+('Input and Output'!D$25*Calculations!$C$6)+('Input and Output'!D$26*(IF('Input and Output'!F$7="Detritus",Calculations!$C$4,I88))-(SUM('Input and Output'!D$27:D$32))*J87))</f>
        <v>1236.2074340836625</v>
      </c>
      <c r="F88" s="49" t="e">
        <f>(('Input and Output'!E$23*'Input and Output'!$B$10)+('Input and Output'!E$24*Calculations!$C$5)+('Input and Output'!E$25*Calculations!$C$6)+('Input and Output'!E$26*(IF('Input and Output'!G$7="Detritus",Calculations!$C$4,J88))-(SUM('Input and Output'!E$27:E$32))*K87))</f>
        <v>#N/A</v>
      </c>
      <c r="H88" s="49">
        <f>IF(H$2="",NA(),C88*$B88+H87)</f>
        <v>44357.056886221733</v>
      </c>
      <c r="I88" s="49">
        <f>IF(I$2="",NA(),D88*$B88+I87)</f>
        <v>453877.82022873242</v>
      </c>
      <c r="J88" s="49">
        <f>IF(J$2="",NA(),E88*$B88+J87)</f>
        <v>248323.1195614617</v>
      </c>
      <c r="K88" s="49" t="e">
        <f>IF(K$2="",NA(),F88*$B88+K87)</f>
        <v>#N/A</v>
      </c>
    </row>
    <row r="89" spans="1:11" x14ac:dyDescent="0.4">
      <c r="A89" s="49">
        <v>86</v>
      </c>
      <c r="B89" s="49">
        <f>A89/$B$1</f>
        <v>3.5833333333333335</v>
      </c>
      <c r="C89" s="49">
        <f>(('Input and Output'!B$23*'Input and Output'!$B$10)+('Input and Output'!B$24*Calculations!$C$5)+('Input and Output'!B$25*Calculations!$C$6)+('Input and Output'!B$26*(IF('Input and Output'!D$7="Detritus",Calculations!$C$4,G89))-(SUM('Input and Output'!B$27:B$32))*H88))</f>
        <v>270.07122911412858</v>
      </c>
      <c r="D89" s="49">
        <f>(('Input and Output'!C$23*'Input and Output'!$B$10)+('Input and Output'!C$24*Calculations!$C$5)+('Input and Output'!C$25*Calculations!$C$6)+('Input and Output'!C$26*(IF('Input and Output'!E$7="Detritus",Calculations!$C$4,H89))-(SUM('Input and Output'!C$27:C$32))*I88))</f>
        <v>2691.8160042010363</v>
      </c>
      <c r="E89" s="49">
        <f>(('Input and Output'!D$23*'Input and Output'!$B$10)+('Input and Output'!D$24*Calculations!$C$5)+('Input and Output'!D$25*Calculations!$C$6)+('Input and Output'!D$26*(IF('Input and Output'!F$7="Detritus",Calculations!$C$4,I89))-(SUM('Input and Output'!D$27:D$32))*J88))</f>
        <v>1230.2773284021223</v>
      </c>
      <c r="F89" s="49" t="e">
        <f>(('Input and Output'!E$23*'Input and Output'!$B$10)+('Input and Output'!E$24*Calculations!$C$5)+('Input and Output'!E$25*Calculations!$C$6)+('Input and Output'!E$26*(IF('Input and Output'!G$7="Detritus",Calculations!$C$4,J89))-(SUM('Input and Output'!E$27:E$32))*K88))</f>
        <v>#N/A</v>
      </c>
      <c r="H89" s="49">
        <f>IF(H$2="",NA(),C89*$B89+H88)</f>
        <v>45324.812123880693</v>
      </c>
      <c r="I89" s="49">
        <f>IF(I$2="",NA(),D89*$B89+I88)</f>
        <v>463523.49424378615</v>
      </c>
      <c r="J89" s="49">
        <f>IF(J$2="",NA(),E89*$B89+J88)</f>
        <v>252731.61332156931</v>
      </c>
      <c r="K89" s="49" t="e">
        <f>IF(K$2="",NA(),F89*$B89+K88)</f>
        <v>#N/A</v>
      </c>
    </row>
    <row r="90" spans="1:11" x14ac:dyDescent="0.4">
      <c r="A90" s="49">
        <v>87</v>
      </c>
      <c r="B90" s="49">
        <f>A90/$B$1</f>
        <v>3.625</v>
      </c>
      <c r="C90" s="49">
        <f>(('Input and Output'!B$23*'Input and Output'!$B$10)+('Input and Output'!B$24*Calculations!$C$5)+('Input and Output'!B$25*Calculations!$C$6)+('Input and Output'!B$26*(IF('Input and Output'!D$7="Detritus",Calculations!$C$4,G90))-(SUM('Input and Output'!B$27:B$32))*H89))</f>
        <v>269.13820264150729</v>
      </c>
      <c r="D90" s="49">
        <f>(('Input and Output'!C$23*'Input and Output'!$B$10)+('Input and Output'!C$24*Calculations!$C$5)+('Input and Output'!C$25*Calculations!$C$6)+('Input and Output'!C$26*(IF('Input and Output'!E$7="Detritus",Calculations!$C$4,H90))-(SUM('Input and Output'!C$27:C$32))*I89))</f>
        <v>2679.5883910713133</v>
      </c>
      <c r="E90" s="49">
        <f>(('Input and Output'!D$23*'Input and Output'!$B$10)+('Input and Output'!D$24*Calculations!$C$5)+('Input and Output'!D$25*Calculations!$C$6)+('Input and Output'!D$26*(IF('Input and Output'!F$7="Detritus",Calculations!$C$4,I90))-(SUM('Input and Output'!D$27:D$32))*J89))</f>
        <v>1224.3352906333694</v>
      </c>
      <c r="F90" s="49" t="e">
        <f>(('Input and Output'!E$23*'Input and Output'!$B$10)+('Input and Output'!E$24*Calculations!$C$5)+('Input and Output'!E$25*Calculations!$C$6)+('Input and Output'!E$26*(IF('Input and Output'!G$7="Detritus",Calculations!$C$4,J90))-(SUM('Input and Output'!E$27:E$32))*K89))</f>
        <v>#N/A</v>
      </c>
      <c r="H90" s="49">
        <f>IF(H$2="",NA(),C90*$B90+H89)</f>
        <v>46300.438108456154</v>
      </c>
      <c r="I90" s="49">
        <f>IF(I$2="",NA(),D90*$B90+I89)</f>
        <v>473237.00216141966</v>
      </c>
      <c r="J90" s="49">
        <f>IF(J$2="",NA(),E90*$B90+J89)</f>
        <v>257169.82875011527</v>
      </c>
      <c r="K90" s="49" t="e">
        <f>IF(K$2="",NA(),F90*$B90+K89)</f>
        <v>#N/A</v>
      </c>
    </row>
    <row r="91" spans="1:11" x14ac:dyDescent="0.4">
      <c r="A91" s="49">
        <v>88</v>
      </c>
      <c r="B91" s="49">
        <f>A91/$B$1</f>
        <v>3.6666666666666665</v>
      </c>
      <c r="C91" s="49">
        <f>(('Input and Output'!B$23*'Input and Output'!$B$10)+('Input and Output'!B$24*Calculations!$C$5)+('Input and Output'!B$25*Calculations!$C$6)+('Input and Output'!B$26*(IF('Input and Output'!D$7="Detritus",Calculations!$C$4,G91))-(SUM('Input and Output'!B$27:B$32))*H90))</f>
        <v>268.19758787078479</v>
      </c>
      <c r="D91" s="49">
        <f>(('Input and Output'!C$23*'Input and Output'!$B$10)+('Input and Output'!C$24*Calculations!$C$5)+('Input and Output'!C$25*Calculations!$C$6)+('Input and Output'!C$26*(IF('Input and Output'!E$7="Detritus",Calculations!$C$4,H91))-(SUM('Input and Output'!C$27:C$32))*I90))</f>
        <v>2667.2934253006961</v>
      </c>
      <c r="E91" s="49">
        <f>(('Input and Output'!D$23*'Input and Output'!$B$10)+('Input and Output'!D$24*Calculations!$C$5)+('Input and Output'!D$25*Calculations!$C$6)+('Input and Output'!D$26*(IF('Input and Output'!F$7="Detritus",Calculations!$C$4,I91))-(SUM('Input and Output'!D$27:D$32))*J90))</f>
        <v>1218.3800148896535</v>
      </c>
      <c r="F91" s="49" t="e">
        <f>(('Input and Output'!E$23*'Input and Output'!$B$10)+('Input and Output'!E$24*Calculations!$C$5)+('Input and Output'!E$25*Calculations!$C$6)+('Input and Output'!E$26*(IF('Input and Output'!G$7="Detritus",Calculations!$C$4,J91))-(SUM('Input and Output'!E$27:E$32))*K90))</f>
        <v>#N/A</v>
      </c>
      <c r="H91" s="49">
        <f>IF(H$2="",NA(),C91*$B91+H90)</f>
        <v>47283.829263982363</v>
      </c>
      <c r="I91" s="49">
        <f>IF(I$2="",NA(),D91*$B91+I90)</f>
        <v>483017.07805418887</v>
      </c>
      <c r="J91" s="49">
        <f>IF(J$2="",NA(),E91*$B91+J90)</f>
        <v>261637.22213804399</v>
      </c>
      <c r="K91" s="49" t="e">
        <f>IF(K$2="",NA(),F91*$B91+K90)</f>
        <v>#N/A</v>
      </c>
    </row>
    <row r="92" spans="1:11" x14ac:dyDescent="0.4">
      <c r="A92" s="49">
        <v>89</v>
      </c>
      <c r="B92" s="49">
        <f>A92/$B$1</f>
        <v>3.7083333333333335</v>
      </c>
      <c r="C92" s="49">
        <f>(('Input and Output'!B$23*'Input and Output'!$B$10)+('Input and Output'!B$24*Calculations!$C$5)+('Input and Output'!B$25*Calculations!$C$6)+('Input and Output'!B$26*(IF('Input and Output'!D$7="Detritus",Calculations!$C$4,G92))-(SUM('Input and Output'!B$27:B$32))*H91))</f>
        <v>267.24948658923847</v>
      </c>
      <c r="D92" s="49">
        <f>(('Input and Output'!C$23*'Input and Output'!$B$10)+('Input and Output'!C$24*Calculations!$C$5)+('Input and Output'!C$25*Calculations!$C$6)+('Input and Output'!C$26*(IF('Input and Output'!E$7="Detritus",Calculations!$C$4,H92))-(SUM('Input and Output'!C$27:C$32))*I91))</f>
        <v>2654.9331631530013</v>
      </c>
      <c r="E92" s="49">
        <f>(('Input and Output'!D$23*'Input and Output'!$B$10)+('Input and Output'!D$24*Calculations!$C$5)+('Input and Output'!D$25*Calculations!$C$6)+('Input and Output'!D$26*(IF('Input and Output'!F$7="Detritus",Calculations!$C$4,I92))-(SUM('Input and Output'!D$27:D$32))*J91))</f>
        <v>1212.4105275636721</v>
      </c>
      <c r="F92" s="49" t="e">
        <f>(('Input and Output'!E$23*'Input and Output'!$B$10)+('Input and Output'!E$24*Calculations!$C$5)+('Input and Output'!E$25*Calculations!$C$6)+('Input and Output'!E$26*(IF('Input and Output'!G$7="Detritus",Calculations!$C$4,J92))-(SUM('Input and Output'!E$27:E$32))*K91))</f>
        <v>#N/A</v>
      </c>
      <c r="H92" s="49">
        <f>IF(H$2="",NA(),C92*$B92+H91)</f>
        <v>48274.879443417456</v>
      </c>
      <c r="I92" s="49">
        <f>IF(I$2="",NA(),D92*$B92+I91)</f>
        <v>492862.45520088123</v>
      </c>
      <c r="J92" s="49">
        <f>IF(J$2="",NA(),E92*$B92+J91)</f>
        <v>266133.24451109261</v>
      </c>
      <c r="K92" s="49" t="e">
        <f>IF(K$2="",NA(),F92*$B92+K91)</f>
        <v>#N/A</v>
      </c>
    </row>
    <row r="93" spans="1:11" x14ac:dyDescent="0.4">
      <c r="A93" s="49">
        <v>90</v>
      </c>
      <c r="B93" s="49">
        <f>A93/$B$1</f>
        <v>3.75</v>
      </c>
      <c r="C93" s="49">
        <f>(('Input and Output'!B$23*'Input and Output'!$B$10)+('Input and Output'!B$24*Calculations!$C$5)+('Input and Output'!B$25*Calculations!$C$6)+('Input and Output'!B$26*(IF('Input and Output'!D$7="Detritus",Calculations!$C$4,G93))-(SUM('Input and Output'!B$27:B$32))*H92))</f>
        <v>266.29400113472843</v>
      </c>
      <c r="D93" s="49">
        <f>(('Input and Output'!C$23*'Input and Output'!$B$10)+('Input and Output'!C$24*Calculations!$C$5)+('Input and Output'!C$25*Calculations!$C$6)+('Input and Output'!C$26*(IF('Input and Output'!E$7="Detritus",Calculations!$C$4,H93))-(SUM('Input and Output'!C$27:C$32))*I92))</f>
        <v>2642.5096521715163</v>
      </c>
      <c r="E93" s="49">
        <f>(('Input and Output'!D$23*'Input and Output'!$B$10)+('Input and Output'!D$24*Calculations!$C$5)+('Input and Output'!D$25*Calculations!$C$6)+('Input and Output'!D$26*(IF('Input and Output'!F$7="Detritus",Calculations!$C$4,I93))-(SUM('Input and Output'!D$27:D$32))*J92))</f>
        <v>1206.4261381581509</v>
      </c>
      <c r="F93" s="49" t="e">
        <f>(('Input and Output'!E$23*'Input and Output'!$B$10)+('Input and Output'!E$24*Calculations!$C$5)+('Input and Output'!E$25*Calculations!$C$6)+('Input and Output'!E$26*(IF('Input and Output'!G$7="Detritus",Calculations!$C$4,J93))-(SUM('Input and Output'!E$27:E$32))*K92))</f>
        <v>#N/A</v>
      </c>
      <c r="H93" s="49">
        <f>IF(H$2="",NA(),C93*$B93+H92)</f>
        <v>49273.481947672684</v>
      </c>
      <c r="I93" s="49">
        <f>IF(I$2="",NA(),D93*$B93+I92)</f>
        <v>502771.86639652442</v>
      </c>
      <c r="J93" s="49">
        <f>IF(J$2="",NA(),E93*$B93+J92)</f>
        <v>270657.3425291857</v>
      </c>
      <c r="K93" s="49" t="e">
        <f>IF(K$2="",NA(),F93*$B93+K92)</f>
        <v>#N/A</v>
      </c>
    </row>
    <row r="94" spans="1:11" x14ac:dyDescent="0.4">
      <c r="A94" s="49">
        <v>91</v>
      </c>
      <c r="B94" s="49">
        <f>A94/$B$1</f>
        <v>3.7916666666666665</v>
      </c>
      <c r="C94" s="49">
        <f>(('Input and Output'!B$23*'Input and Output'!$B$10)+('Input and Output'!B$24*Calculations!$C$5)+('Input and Output'!B$25*Calculations!$C$6)+('Input and Output'!B$26*(IF('Input and Output'!D$7="Detritus",Calculations!$C$4,G94))-(SUM('Input and Output'!B$27:B$32))*H93))</f>
        <v>265.33123437735094</v>
      </c>
      <c r="D94" s="49">
        <f>(('Input and Output'!C$23*'Input and Output'!$B$10)+('Input and Output'!C$24*Calculations!$C$5)+('Input and Output'!C$25*Calculations!$C$6)+('Input and Output'!C$26*(IF('Input and Output'!E$7="Detritus",Calculations!$C$4,H94))-(SUM('Input and Output'!C$27:C$32))*I93))</f>
        <v>2630.024930532777</v>
      </c>
      <c r="E94" s="49">
        <f>(('Input and Output'!D$23*'Input and Output'!$B$10)+('Input and Output'!D$24*Calculations!$C$5)+('Input and Output'!D$25*Calculations!$C$6)+('Input and Output'!D$26*(IF('Input and Output'!F$7="Detritus",Calculations!$C$4,I94))-(SUM('Input and Output'!D$27:D$32))*J93))</f>
        <v>1200.4263964644888</v>
      </c>
      <c r="F94" s="49" t="e">
        <f>(('Input and Output'!E$23*'Input and Output'!$B$10)+('Input and Output'!E$24*Calculations!$C$5)+('Input and Output'!E$25*Calculations!$C$6)+('Input and Output'!E$26*(IF('Input and Output'!G$7="Detritus",Calculations!$C$4,J94))-(SUM('Input and Output'!E$27:E$32))*K93))</f>
        <v>#N/A</v>
      </c>
      <c r="H94" s="49">
        <f>IF(H$2="",NA(),C94*$B94+H93)</f>
        <v>50279.529544686804</v>
      </c>
      <c r="I94" s="49">
        <f>IF(I$2="",NA(),D94*$B94+I93)</f>
        <v>512744.04425812786</v>
      </c>
      <c r="J94" s="49">
        <f>IF(J$2="",NA(),E94*$B94+J93)</f>
        <v>275208.95928244689</v>
      </c>
      <c r="K94" s="49" t="e">
        <f>IF(K$2="",NA(),F94*$B94+K93)</f>
        <v>#N/A</v>
      </c>
    </row>
    <row r="95" spans="1:11" x14ac:dyDescent="0.4">
      <c r="A95" s="49">
        <v>92</v>
      </c>
      <c r="B95" s="49">
        <f>A95/$B$1</f>
        <v>3.8333333333333335</v>
      </c>
      <c r="C95" s="49">
        <f>(('Input and Output'!B$23*'Input and Output'!$B$10)+('Input and Output'!B$24*Calculations!$C$5)+('Input and Output'!B$25*Calculations!$C$6)+('Input and Output'!B$26*(IF('Input and Output'!D$7="Detritus",Calculations!$C$4,G95))-(SUM('Input and Output'!B$27:B$32))*H94))</f>
        <v>264.36128970104835</v>
      </c>
      <c r="D95" s="49">
        <f>(('Input and Output'!C$23*'Input and Output'!$B$10)+('Input and Output'!C$24*Calculations!$C$5)+('Input and Output'!C$25*Calculations!$C$6)+('Input and Output'!C$26*(IF('Input and Output'!E$7="Detritus",Calculations!$C$4,H95))-(SUM('Input and Output'!C$27:C$32))*I94))</f>
        <v>2617.4810264154894</v>
      </c>
      <c r="E95" s="49">
        <f>(('Input and Output'!D$23*'Input and Output'!$B$10)+('Input and Output'!D$24*Calculations!$C$5)+('Input and Output'!D$25*Calculations!$C$6)+('Input and Output'!D$26*(IF('Input and Output'!F$7="Detritus",Calculations!$C$4,I95))-(SUM('Input and Output'!D$27:D$32))*J94))</f>
        <v>1194.4110554276776</v>
      </c>
      <c r="F95" s="49" t="e">
        <f>(('Input and Output'!E$23*'Input and Output'!$B$10)+('Input and Output'!E$24*Calculations!$C$5)+('Input and Output'!E$25*Calculations!$C$6)+('Input and Output'!E$26*(IF('Input and Output'!G$7="Detritus",Calculations!$C$4,J95))-(SUM('Input and Output'!E$27:E$32))*K94))</f>
        <v>#N/A</v>
      </c>
      <c r="H95" s="49">
        <f>IF(H$2="",NA(),C95*$B95+H94)</f>
        <v>51292.914488540824</v>
      </c>
      <c r="I95" s="49">
        <f>IF(I$2="",NA(),D95*$B95+I94)</f>
        <v>522777.72152605391</v>
      </c>
      <c r="J95" s="49">
        <f>IF(J$2="",NA(),E95*$B95+J94)</f>
        <v>279787.53499491967</v>
      </c>
      <c r="K95" s="49" t="e">
        <f>IF(K$2="",NA(),F95*$B95+K94)</f>
        <v>#N/A</v>
      </c>
    </row>
    <row r="96" spans="1:11" x14ac:dyDescent="0.4">
      <c r="A96" s="49">
        <v>93</v>
      </c>
      <c r="B96" s="49">
        <f>A96/$B$1</f>
        <v>3.875</v>
      </c>
      <c r="C96" s="49">
        <f>(('Input and Output'!B$23*'Input and Output'!$B$10)+('Input and Output'!B$24*Calculations!$C$5)+('Input and Output'!B$25*Calculations!$C$6)+('Input and Output'!B$26*(IF('Input and Output'!D$7="Detritus",Calculations!$C$4,G96))-(SUM('Input and Output'!B$27:B$32))*H95))</f>
        <v>263.38427098518082</v>
      </c>
      <c r="D96" s="49">
        <f>(('Input and Output'!C$23*'Input and Output'!$B$10)+('Input and Output'!C$24*Calculations!$C$5)+('Input and Output'!C$25*Calculations!$C$6)+('Input and Output'!C$26*(IF('Input and Output'!E$7="Detritus",Calculations!$C$4,H96))-(SUM('Input and Output'!C$27:C$32))*I95))</f>
        <v>2604.8799573848391</v>
      </c>
      <c r="E96" s="49">
        <f>(('Input and Output'!D$23*'Input and Output'!$B$10)+('Input and Output'!D$24*Calculations!$C$5)+('Input and Output'!D$25*Calculations!$C$6)+('Input and Output'!D$26*(IF('Input and Output'!F$7="Detritus",Calculations!$C$4,I96))-(SUM('Input and Output'!D$27:D$32))*J95))</f>
        <v>1188.3800390732376</v>
      </c>
      <c r="F96" s="49" t="e">
        <f>(('Input and Output'!E$23*'Input and Output'!$B$10)+('Input and Output'!E$24*Calculations!$C$5)+('Input and Output'!E$25*Calculations!$C$6)+('Input and Output'!E$26*(IF('Input and Output'!G$7="Detritus",Calculations!$C$4,J96))-(SUM('Input and Output'!E$27:E$32))*K95))</f>
        <v>#N/A</v>
      </c>
      <c r="H96" s="49">
        <f>IF(H$2="",NA(),C96*$B96+H95)</f>
        <v>52313.5285386084</v>
      </c>
      <c r="I96" s="49">
        <f>IF(I$2="",NA(),D96*$B96+I95)</f>
        <v>532871.63136092015</v>
      </c>
      <c r="J96" s="49">
        <f>IF(J$2="",NA(),E96*$B96+J95)</f>
        <v>284392.50764632848</v>
      </c>
      <c r="K96" s="49" t="e">
        <f>IF(K$2="",NA(),F96*$B96+K95)</f>
        <v>#N/A</v>
      </c>
    </row>
    <row r="97" spans="1:11" x14ac:dyDescent="0.4">
      <c r="A97" s="49">
        <v>94</v>
      </c>
      <c r="B97" s="49">
        <f>A97/$B$1</f>
        <v>3.9166666666666665</v>
      </c>
      <c r="C97" s="49">
        <f>(('Input and Output'!B$23*'Input and Output'!$B$10)+('Input and Output'!B$24*Calculations!$C$5)+('Input and Output'!B$25*Calculations!$C$6)+('Input and Output'!B$26*(IF('Input and Output'!D$7="Detritus",Calculations!$C$4,G97))-(SUM('Input and Output'!B$27:B$32))*H96))</f>
        <v>262.40028258606264</v>
      </c>
      <c r="D97" s="49">
        <f>(('Input and Output'!C$23*'Input and Output'!$B$10)+('Input and Output'!C$24*Calculations!$C$5)+('Input and Output'!C$25*Calculations!$C$6)+('Input and Output'!C$26*(IF('Input and Output'!E$7="Detritus",Calculations!$C$4,H97))-(SUM('Input and Output'!C$27:C$32))*I96))</f>
        <v>2592.2237297924221</v>
      </c>
      <c r="E97" s="49">
        <f>(('Input and Output'!D$23*'Input and Output'!$B$10)+('Input and Output'!D$24*Calculations!$C$5)+('Input and Output'!D$25*Calculations!$C$6)+('Input and Output'!D$26*(IF('Input and Output'!F$7="Detritus",Calculations!$C$4,I97))-(SUM('Input and Output'!D$27:D$32))*J96))</f>
        <v>1182.3334149148632</v>
      </c>
      <c r="F97" s="49" t="e">
        <f>(('Input and Output'!E$23*'Input and Output'!$B$10)+('Input and Output'!E$24*Calculations!$C$5)+('Input and Output'!E$25*Calculations!$C$6)+('Input and Output'!E$26*(IF('Input and Output'!G$7="Detritus",Calculations!$C$4,J97))-(SUM('Input and Output'!E$27:E$32))*K96))</f>
        <v>#N/A</v>
      </c>
      <c r="H97" s="49">
        <f>IF(H$2="",NA(),C97*$B97+H96)</f>
        <v>53341.262978737148</v>
      </c>
      <c r="I97" s="49">
        <f>IF(I$2="",NA(),D97*$B97+I96)</f>
        <v>543024.50763594045</v>
      </c>
      <c r="J97" s="49">
        <f>IF(J$2="",NA(),E97*$B97+J96)</f>
        <v>289023.31352141168</v>
      </c>
      <c r="K97" s="49" t="e">
        <f>IF(K$2="",NA(),F97*$B97+K96)</f>
        <v>#N/A</v>
      </c>
    </row>
    <row r="98" spans="1:11" x14ac:dyDescent="0.4">
      <c r="A98" s="49">
        <v>95</v>
      </c>
      <c r="B98" s="49">
        <f>A98/$B$1</f>
        <v>3.9583333333333335</v>
      </c>
      <c r="C98" s="49">
        <f>(('Input and Output'!B$23*'Input and Output'!$B$10)+('Input and Output'!B$24*Calculations!$C$5)+('Input and Output'!B$25*Calculations!$C$6)+('Input and Output'!B$26*(IF('Input and Output'!D$7="Detritus",Calculations!$C$4,G98))-(SUM('Input and Output'!B$27:B$32))*H97))</f>
        <v>261.40942931846951</v>
      </c>
      <c r="D98" s="49">
        <f>(('Input and Output'!C$23*'Input and Output'!$B$10)+('Input and Output'!C$24*Calculations!$C$5)+('Input and Output'!C$25*Calculations!$C$6)+('Input and Output'!C$26*(IF('Input and Output'!E$7="Detritus",Calculations!$C$4,H98))-(SUM('Input and Output'!C$27:C$32))*I97))</f>
        <v>2579.5143381920116</v>
      </c>
      <c r="E98" s="49">
        <f>(('Input and Output'!D$23*'Input and Output'!$B$10)+('Input and Output'!D$24*Calculations!$C$5)+('Input and Output'!D$25*Calculations!$C$6)+('Input and Output'!D$26*(IF('Input and Output'!F$7="Detritus",Calculations!$C$4,I98))-(SUM('Input and Output'!D$27:D$32))*J97))</f>
        <v>1176.2713703062909</v>
      </c>
      <c r="F98" s="49" t="e">
        <f>(('Input and Output'!E$23*'Input and Output'!$B$10)+('Input and Output'!E$24*Calculations!$C$5)+('Input and Output'!E$25*Calculations!$C$6)+('Input and Output'!E$26*(IF('Input and Output'!G$7="Detritus",Calculations!$C$4,J98))-(SUM('Input and Output'!E$27:E$32))*K97))</f>
        <v>#N/A</v>
      </c>
      <c r="H98" s="49">
        <f>IF(H$2="",NA(),C98*$B98+H97)</f>
        <v>54376.008636456092</v>
      </c>
      <c r="I98" s="49">
        <f>IF(I$2="",NA(),D98*$B98+I97)</f>
        <v>553235.08522461716</v>
      </c>
      <c r="J98" s="49">
        <f>IF(J$2="",NA(),E98*$B98+J97)</f>
        <v>293679.38769554073</v>
      </c>
      <c r="K98" s="49" t="e">
        <f>IF(K$2="",NA(),F98*$B98+K97)</f>
        <v>#N/A</v>
      </c>
    </row>
    <row r="99" spans="1:11" x14ac:dyDescent="0.4">
      <c r="A99" s="49">
        <v>96</v>
      </c>
      <c r="B99" s="49">
        <f>A99/$B$1</f>
        <v>4</v>
      </c>
      <c r="C99" s="49">
        <f>(('Input and Output'!B$23*'Input and Output'!$B$10)+('Input and Output'!B$24*Calculations!$C$5)+('Input and Output'!B$25*Calculations!$C$6)+('Input and Output'!B$26*(IF('Input and Output'!D$7="Detritus",Calculations!$C$4,G99))-(SUM('Input and Output'!B$27:B$32))*H98))</f>
        <v>260.41181643712036</v>
      </c>
      <c r="D99" s="49">
        <f>(('Input and Output'!C$23*'Input and Output'!$B$10)+('Input and Output'!C$24*Calculations!$C$5)+('Input and Output'!C$25*Calculations!$C$6)+('Input and Output'!C$26*(IF('Input and Output'!E$7="Detritus",Calculations!$C$4,H99))-(SUM('Input and Output'!C$27:C$32))*I98))</f>
        <v>2566.7537647713511</v>
      </c>
      <c r="E99" s="49">
        <f>(('Input and Output'!D$23*'Input and Output'!$B$10)+('Input and Output'!D$24*Calculations!$C$5)+('Input and Output'!D$25*Calculations!$C$6)+('Input and Output'!D$26*(IF('Input and Output'!F$7="Detritus",Calculations!$C$4,I99))-(SUM('Input and Output'!D$27:D$32))*J98))</f>
        <v>1170.1941922469778</v>
      </c>
      <c r="F99" s="49" t="e">
        <f>(('Input and Output'!E$23*'Input and Output'!$B$10)+('Input and Output'!E$24*Calculations!$C$5)+('Input and Output'!E$25*Calculations!$C$6)+('Input and Output'!E$26*(IF('Input and Output'!G$7="Detritus",Calculations!$C$4,J99))-(SUM('Input and Output'!E$27:E$32))*K98))</f>
        <v>#N/A</v>
      </c>
      <c r="H99" s="49">
        <f>IF(H$2="",NA(),C99*$B99+H98)</f>
        <v>55417.655902204577</v>
      </c>
      <c r="I99" s="49">
        <f>IF(I$2="",NA(),D99*$B99+I98)</f>
        <v>563502.1002837026</v>
      </c>
      <c r="J99" s="49">
        <f>IF(J$2="",NA(),E99*$B99+J98)</f>
        <v>298360.16446452867</v>
      </c>
      <c r="K99" s="49" t="e">
        <f>IF(K$2="",NA(),F99*$B99+K98)</f>
        <v>#N/A</v>
      </c>
    </row>
    <row r="100" spans="1:11" x14ac:dyDescent="0.4">
      <c r="A100" s="49">
        <v>97</v>
      </c>
      <c r="B100" s="49">
        <f>A100/$B$1</f>
        <v>4.041666666666667</v>
      </c>
      <c r="C100" s="49">
        <f>(('Input and Output'!B$23*'Input and Output'!$B$10)+('Input and Output'!B$24*Calculations!$C$5)+('Input and Output'!B$25*Calculations!$C$6)+('Input and Output'!B$26*(IF('Input and Output'!D$7="Detritus",Calculations!$C$4,G100))-(SUM('Input and Output'!B$27:B$32))*H99))</f>
        <v>259.40754961813838</v>
      </c>
      <c r="D100" s="49">
        <f>(('Input and Output'!C$23*'Input and Output'!$B$10)+('Input and Output'!C$24*Calculations!$C$5)+('Input and Output'!C$25*Calculations!$C$6)+('Input and Output'!C$26*(IF('Input and Output'!E$7="Detritus",Calculations!$C$4,H100))-(SUM('Input and Output'!C$27:C$32))*I99))</f>
        <v>2553.9439788001596</v>
      </c>
      <c r="E100" s="49">
        <f>(('Input and Output'!D$23*'Input and Output'!$B$10)+('Input and Output'!D$24*Calculations!$C$5)+('Input and Output'!D$25*Calculations!$C$6)+('Input and Output'!D$26*(IF('Input and Output'!F$7="Detritus",Calculations!$C$4,I100))-(SUM('Input and Output'!D$27:D$32))*J99))</f>
        <v>1164.102250196649</v>
      </c>
      <c r="F100" s="49" t="e">
        <f>(('Input and Output'!E$23*'Input and Output'!$B$10)+('Input and Output'!E$24*Calculations!$C$5)+('Input and Output'!E$25*Calculations!$C$6)+('Input and Output'!E$26*(IF('Input and Output'!G$7="Detritus",Calculations!$C$4,J100))-(SUM('Input and Output'!E$27:E$32))*K99))</f>
        <v>#N/A</v>
      </c>
      <c r="H100" s="49">
        <f>IF(H$2="",NA(),C100*$B100+H99)</f>
        <v>56466.094748577889</v>
      </c>
      <c r="I100" s="49">
        <f>IF(I$2="",NA(),D100*$B100+I99)</f>
        <v>573824.29053135321</v>
      </c>
      <c r="J100" s="49">
        <f>IF(J$2="",NA(),E100*$B100+J99)</f>
        <v>303065.07772574015</v>
      </c>
      <c r="K100" s="49" t="e">
        <f>IF(K$2="",NA(),F100*$B100+K99)</f>
        <v>#N/A</v>
      </c>
    </row>
    <row r="101" spans="1:11" x14ac:dyDescent="0.4">
      <c r="A101" s="49">
        <v>98</v>
      </c>
      <c r="B101" s="49">
        <f>A101/$B$1</f>
        <v>4.083333333333333</v>
      </c>
      <c r="C101" s="49">
        <f>(('Input and Output'!B$23*'Input and Output'!$B$10)+('Input and Output'!B$24*Calculations!$C$5)+('Input and Output'!B$25*Calculations!$C$6)+('Input and Output'!B$26*(IF('Input and Output'!D$7="Detritus",Calculations!$C$4,G101))-(SUM('Input and Output'!B$27:B$32))*H100))</f>
        <v>258.39673494049612</v>
      </c>
      <c r="D101" s="49">
        <f>(('Input and Output'!C$23*'Input and Output'!$B$10)+('Input and Output'!C$24*Calculations!$C$5)+('Input and Output'!C$25*Calculations!$C$6)+('Input and Output'!C$26*(IF('Input and Output'!E$7="Detritus",Calculations!$C$4,H101))-(SUM('Input and Output'!C$27:C$32))*I100))</f>
        <v>2541.0869360945007</v>
      </c>
      <c r="E101" s="49">
        <f>(('Input and Output'!D$23*'Input and Output'!$B$10)+('Input and Output'!D$24*Calculations!$C$5)+('Input and Output'!D$25*Calculations!$C$6)+('Input and Output'!D$26*(IF('Input and Output'!F$7="Detritus",Calculations!$C$4,I101))-(SUM('Input and Output'!D$27:D$32))*J100))</f>
        <v>1157.9959814983522</v>
      </c>
      <c r="F101" s="49" t="e">
        <f>(('Input and Output'!E$23*'Input and Output'!$B$10)+('Input and Output'!E$24*Calculations!$C$5)+('Input and Output'!E$25*Calculations!$C$6)+('Input and Output'!E$26*(IF('Input and Output'!G$7="Detritus",Calculations!$C$4,J101))-(SUM('Input and Output'!E$27:E$32))*K100))</f>
        <v>#N/A</v>
      </c>
      <c r="H101" s="49">
        <f>IF(H$2="",NA(),C101*$B101+H100)</f>
        <v>57521.214749584913</v>
      </c>
      <c r="I101" s="49">
        <f>IF(I$2="",NA(),D101*$B101+I100)</f>
        <v>584200.39552040573</v>
      </c>
      <c r="J101" s="49">
        <f>IF(J$2="",NA(),E101*$B101+J100)</f>
        <v>307793.5613168584</v>
      </c>
      <c r="K101" s="49" t="e">
        <f>IF(K$2="",NA(),F101*$B101+K100)</f>
        <v>#N/A</v>
      </c>
    </row>
    <row r="102" spans="1:11" x14ac:dyDescent="0.4">
      <c r="A102" s="49">
        <v>99</v>
      </c>
      <c r="B102" s="49">
        <f>A102/$B$1</f>
        <v>4.125</v>
      </c>
      <c r="C102" s="49">
        <f>(('Input and Output'!B$23*'Input and Output'!$B$10)+('Input and Output'!B$24*Calculations!$C$5)+('Input and Output'!B$25*Calculations!$C$6)+('Input and Output'!B$26*(IF('Input and Output'!D$7="Detritus",Calculations!$C$4,G102))-(SUM('Input and Output'!B$27:B$32))*H101))</f>
        <v>257.379478867449</v>
      </c>
      <c r="D102" s="49">
        <f>(('Input and Output'!C$23*'Input and Output'!$B$10)+('Input and Output'!C$24*Calculations!$C$5)+('Input and Output'!C$25*Calculations!$C$6)+('Input and Output'!C$26*(IF('Input and Output'!E$7="Detritus",Calculations!$C$4,H102))-(SUM('Input and Output'!C$27:C$32))*I101))</f>
        <v>2528.1845784976617</v>
      </c>
      <c r="E102" s="49">
        <f>(('Input and Output'!D$23*'Input and Output'!$B$10)+('Input and Output'!D$24*Calculations!$C$5)+('Input and Output'!D$25*Calculations!$C$6)+('Input and Output'!D$26*(IF('Input and Output'!F$7="Detritus",Calculations!$C$4,I102))-(SUM('Input and Output'!D$27:D$32))*J101))</f>
        <v>1151.8758790521206</v>
      </c>
      <c r="F102" s="49" t="e">
        <f>(('Input and Output'!E$23*'Input and Output'!$B$10)+('Input and Output'!E$24*Calculations!$C$5)+('Input and Output'!E$25*Calculations!$C$6)+('Input and Output'!E$26*(IF('Input and Output'!G$7="Detritus",Calculations!$C$4,J102))-(SUM('Input and Output'!E$27:E$32))*K101))</f>
        <v>#N/A</v>
      </c>
      <c r="H102" s="49">
        <f>IF(H$2="",NA(),C102*$B102+H101)</f>
        <v>58582.905099913143</v>
      </c>
      <c r="I102" s="49">
        <f>IF(I$2="",NA(),D102*$B102+I101)</f>
        <v>594629.15690670861</v>
      </c>
      <c r="J102" s="49">
        <f>IF(J$2="",NA(),E102*$B102+J101)</f>
        <v>312545.0493179484</v>
      </c>
      <c r="K102" s="49" t="e">
        <f>IF(K$2="",NA(),F102*$B102+K101)</f>
        <v>#N/A</v>
      </c>
    </row>
    <row r="103" spans="1:11" x14ac:dyDescent="0.4">
      <c r="A103" s="49">
        <v>100</v>
      </c>
      <c r="B103" s="49">
        <f>A103/$B$1</f>
        <v>4.166666666666667</v>
      </c>
      <c r="C103" s="49">
        <f>(('Input and Output'!B$23*'Input and Output'!$B$10)+('Input and Output'!B$24*Calculations!$C$5)+('Input and Output'!B$25*Calculations!$C$6)+('Input and Output'!B$26*(IF('Input and Output'!D$7="Detritus",Calculations!$C$4,G103))-(SUM('Input and Output'!B$27:B$32))*H102))</f>
        <v>256.35588822796137</v>
      </c>
      <c r="D103" s="49">
        <f>(('Input and Output'!C$23*'Input and Output'!$B$10)+('Input and Output'!C$24*Calculations!$C$5)+('Input and Output'!C$25*Calculations!$C$6)+('Input and Output'!C$26*(IF('Input and Output'!E$7="Detritus",Calculations!$C$4,H103))-(SUM('Input and Output'!C$27:C$32))*I102))</f>
        <v>2515.2388333776671</v>
      </c>
      <c r="E103" s="49">
        <f>(('Input and Output'!D$23*'Input and Output'!$B$10)+('Input and Output'!D$24*Calculations!$C$5)+('Input and Output'!D$25*Calculations!$C$6)+('Input and Output'!D$26*(IF('Input and Output'!F$7="Detritus",Calculations!$C$4,I103))-(SUM('Input and Output'!D$27:D$32))*J102))</f>
        <v>1145.7424809216554</v>
      </c>
      <c r="F103" s="49" t="e">
        <f>(('Input and Output'!E$23*'Input and Output'!$B$10)+('Input and Output'!E$24*Calculations!$C$5)+('Input and Output'!E$25*Calculations!$C$6)+('Input and Output'!E$26*(IF('Input and Output'!G$7="Detritus",Calculations!$C$4,J103))-(SUM('Input and Output'!E$27:E$32))*K102))</f>
        <v>#N/A</v>
      </c>
      <c r="H103" s="49">
        <f>IF(H$2="",NA(),C103*$B103+H102)</f>
        <v>59651.054634196313</v>
      </c>
      <c r="I103" s="49">
        <f>IF(I$2="",NA(),D103*$B103+I102)</f>
        <v>605109.31871244893</v>
      </c>
      <c r="J103" s="49">
        <f>IF(J$2="",NA(),E103*$B103+J102)</f>
        <v>317318.97632178862</v>
      </c>
      <c r="K103" s="49" t="e">
        <f>IF(K$2="",NA(),F103*$B103+K102)</f>
        <v>#N/A</v>
      </c>
    </row>
    <row r="104" spans="1:11" x14ac:dyDescent="0.4">
      <c r="A104" s="49">
        <v>101</v>
      </c>
      <c r="B104" s="49">
        <f>A104/$B$1</f>
        <v>4.208333333333333</v>
      </c>
      <c r="C104" s="49">
        <f>(('Input and Output'!B$23*'Input and Output'!$B$10)+('Input and Output'!B$24*Calculations!$C$5)+('Input and Output'!B$25*Calculations!$C$6)+('Input and Output'!B$26*(IF('Input and Output'!D$7="Detritus",Calculations!$C$4,G104))-(SUM('Input and Output'!B$27:B$32))*H103))</f>
        <v>255.32607019813065</v>
      </c>
      <c r="D104" s="49">
        <f>(('Input and Output'!C$23*'Input and Output'!$B$10)+('Input and Output'!C$24*Calculations!$C$5)+('Input and Output'!C$25*Calculations!$C$6)+('Input and Output'!C$26*(IF('Input and Output'!E$7="Detritus",Calculations!$C$4,H104))-(SUM('Input and Output'!C$27:C$32))*I103))</f>
        <v>2502.2516131415323</v>
      </c>
      <c r="E104" s="49">
        <f>(('Input and Output'!D$23*'Input and Output'!$B$10)+('Input and Output'!D$24*Calculations!$C$5)+('Input and Output'!D$25*Calculations!$C$6)+('Input and Output'!D$26*(IF('Input and Output'!F$7="Detritus",Calculations!$C$4,I104))-(SUM('Input and Output'!D$27:D$32))*J103))</f>
        <v>1139.5963615940054</v>
      </c>
      <c r="F104" s="49" t="e">
        <f>(('Input and Output'!E$23*'Input and Output'!$B$10)+('Input and Output'!E$24*Calculations!$C$5)+('Input and Output'!E$25*Calculations!$C$6)+('Input and Output'!E$26*(IF('Input and Output'!G$7="Detritus",Calculations!$C$4,J104))-(SUM('Input and Output'!E$27:E$32))*K103))</f>
        <v>#N/A</v>
      </c>
      <c r="H104" s="49">
        <f>IF(H$2="",NA(),C104*$B104+H103)</f>
        <v>60725.551846280112</v>
      </c>
      <c r="I104" s="49">
        <f>IF(I$2="",NA(),D104*$B104+I103)</f>
        <v>615639.62758441956</v>
      </c>
      <c r="J104" s="49">
        <f>IF(J$2="",NA(),E104*$B104+J103)</f>
        <v>322114.77767683007</v>
      </c>
      <c r="K104" s="49" t="e">
        <f>IF(K$2="",NA(),F104*$B104+K103)</f>
        <v>#N/A</v>
      </c>
    </row>
    <row r="105" spans="1:11" x14ac:dyDescent="0.4">
      <c r="A105" s="49">
        <v>102</v>
      </c>
      <c r="B105" s="49">
        <f>A105/$B$1</f>
        <v>4.25</v>
      </c>
      <c r="C105" s="49">
        <f>(('Input and Output'!B$23*'Input and Output'!$B$10)+('Input and Output'!B$24*Calculations!$C$5)+('Input and Output'!B$25*Calculations!$C$6)+('Input and Output'!B$26*(IF('Input and Output'!D$7="Detritus",Calculations!$C$4,G105))-(SUM('Input and Output'!B$27:B$32))*H104))</f>
        <v>254.29013228261277</v>
      </c>
      <c r="D105" s="49">
        <f>(('Input and Output'!C$23*'Input and Output'!$B$10)+('Input and Output'!C$24*Calculations!$C$5)+('Input and Output'!C$25*Calculations!$C$6)+('Input and Output'!C$26*(IF('Input and Output'!E$7="Detritus",Calculations!$C$4,H105))-(SUM('Input and Output'!C$27:C$32))*I104))</f>
        <v>2489.2248147663458</v>
      </c>
      <c r="E105" s="49">
        <f>(('Input and Output'!D$23*'Input and Output'!$B$10)+('Input and Output'!D$24*Calculations!$C$5)+('Input and Output'!D$25*Calculations!$C$6)+('Input and Output'!D$26*(IF('Input and Output'!F$7="Detritus",Calculations!$C$4,I105))-(SUM('Input and Output'!D$27:D$32))*J104))</f>
        <v>1133.4381246466164</v>
      </c>
      <c r="F105" s="49" t="e">
        <f>(('Input and Output'!E$23*'Input and Output'!$B$10)+('Input and Output'!E$24*Calculations!$C$5)+('Input and Output'!E$25*Calculations!$C$6)+('Input and Output'!E$26*(IF('Input and Output'!G$7="Detritus",Calculations!$C$4,J105))-(SUM('Input and Output'!E$27:E$32))*K104))</f>
        <v>#N/A</v>
      </c>
      <c r="H105" s="49">
        <f>IF(H$2="",NA(),C105*$B105+H104)</f>
        <v>61806.284908481219</v>
      </c>
      <c r="I105" s="49">
        <f>IF(I$2="",NA(),D105*$B105+I104)</f>
        <v>626218.83304717648</v>
      </c>
      <c r="J105" s="49">
        <f>IF(J$2="",NA(),E105*$B105+J104)</f>
        <v>326931.88970657816</v>
      </c>
      <c r="K105" s="49" t="e">
        <f>IF(K$2="",NA(),F105*$B105+K104)</f>
        <v>#N/A</v>
      </c>
    </row>
    <row r="106" spans="1:11" x14ac:dyDescent="0.4">
      <c r="A106" s="49">
        <v>103</v>
      </c>
      <c r="B106" s="49">
        <f>A106/$B$1</f>
        <v>4.291666666666667</v>
      </c>
      <c r="C106" s="49">
        <f>(('Input and Output'!B$23*'Input and Output'!$B$10)+('Input and Output'!B$24*Calculations!$C$5)+('Input and Output'!B$25*Calculations!$C$6)+('Input and Output'!B$26*(IF('Input and Output'!D$7="Detritus",Calculations!$C$4,G106))-(SUM('Input and Output'!B$27:B$32))*H105))</f>
        <v>253.24818229605421</v>
      </c>
      <c r="D106" s="49">
        <f>(('Input and Output'!C$23*'Input and Output'!$B$10)+('Input and Output'!C$24*Calculations!$C$5)+('Input and Output'!C$25*Calculations!$C$6)+('Input and Output'!C$26*(IF('Input and Output'!E$7="Detritus",Calculations!$C$4,H106))-(SUM('Input and Output'!C$27:C$32))*I105))</f>
        <v>2476.1603193472556</v>
      </c>
      <c r="E106" s="49">
        <f>(('Input and Output'!D$23*'Input and Output'!$B$10)+('Input and Output'!D$24*Calculations!$C$5)+('Input and Output'!D$25*Calculations!$C$6)+('Input and Output'!D$26*(IF('Input and Output'!F$7="Detritus",Calculations!$C$4,I106))-(SUM('Input and Output'!D$27:D$32))*J105))</f>
        <v>1127.2683966079512</v>
      </c>
      <c r="F106" s="49" t="e">
        <f>(('Input and Output'!E$23*'Input and Output'!$B$10)+('Input and Output'!E$24*Calculations!$C$5)+('Input and Output'!E$25*Calculations!$C$6)+('Input and Output'!E$26*(IF('Input and Output'!G$7="Detritus",Calculations!$C$4,J106))-(SUM('Input and Output'!E$27:E$32))*K105))</f>
        <v>#N/A</v>
      </c>
      <c r="H106" s="49">
        <f>IF(H$2="",NA(),C106*$B106+H105)</f>
        <v>62893.141690835117</v>
      </c>
      <c r="I106" s="49">
        <f>IF(I$2="",NA(),D106*$B106+I105)</f>
        <v>636845.68775104184</v>
      </c>
      <c r="J106" s="49">
        <f>IF(J$2="",NA(),E106*$B106+J105)</f>
        <v>331769.74990868731</v>
      </c>
      <c r="K106" s="49" t="e">
        <f>IF(K$2="",NA(),F106*$B106+K105)</f>
        <v>#N/A</v>
      </c>
    </row>
    <row r="107" spans="1:11" x14ac:dyDescent="0.4">
      <c r="A107" s="49">
        <v>104</v>
      </c>
      <c r="B107" s="49">
        <f>A107/$B$1</f>
        <v>4.333333333333333</v>
      </c>
      <c r="C107" s="49">
        <f>(('Input and Output'!B$23*'Input and Output'!$B$10)+('Input and Output'!B$24*Calculations!$C$5)+('Input and Output'!B$25*Calculations!$C$6)+('Input and Output'!B$26*(IF('Input and Output'!D$7="Detritus",Calculations!$C$4,G107))-(SUM('Input and Output'!B$27:B$32))*H106))</f>
        <v>252.20032834453519</v>
      </c>
      <c r="D107" s="49">
        <f>(('Input and Output'!C$23*'Input and Output'!$B$10)+('Input and Output'!C$24*Calculations!$C$5)+('Input and Output'!C$25*Calculations!$C$6)+('Input and Output'!C$26*(IF('Input and Output'!E$7="Detritus",Calculations!$C$4,H107))-(SUM('Input and Output'!C$27:C$32))*I106))</f>
        <v>2463.0599916624096</v>
      </c>
      <c r="E107" s="49">
        <f>(('Input and Output'!D$23*'Input and Output'!$B$10)+('Input and Output'!D$24*Calculations!$C$5)+('Input and Output'!D$25*Calculations!$C$6)+('Input and Output'!D$26*(IF('Input and Output'!F$7="Detritus",Calculations!$C$4,I107))-(SUM('Input and Output'!D$27:D$32))*J106))</f>
        <v>1121.0878218262842</v>
      </c>
      <c r="F107" s="49" t="e">
        <f>(('Input and Output'!E$23*'Input and Output'!$B$10)+('Input and Output'!E$24*Calculations!$C$5)+('Input and Output'!E$25*Calculations!$C$6)+('Input and Output'!E$26*(IF('Input and Output'!G$7="Detritus",Calculations!$C$4,J107))-(SUM('Input and Output'!E$27:E$32))*K106))</f>
        <v>#N/A</v>
      </c>
      <c r="H107" s="49">
        <f>IF(H$2="",NA(),C107*$B107+H106)</f>
        <v>63986.009780328102</v>
      </c>
      <c r="I107" s="49">
        <f>IF(I$2="",NA(),D107*$B107+I106)</f>
        <v>647518.94771491224</v>
      </c>
      <c r="J107" s="49">
        <f>IF(J$2="",NA(),E107*$B107+J106)</f>
        <v>336627.79713660124</v>
      </c>
      <c r="K107" s="49" t="e">
        <f>IF(K$2="",NA(),F107*$B107+K106)</f>
        <v>#N/A</v>
      </c>
    </row>
    <row r="108" spans="1:11" x14ac:dyDescent="0.4">
      <c r="A108" s="49">
        <v>105</v>
      </c>
      <c r="B108" s="49">
        <f>A108/$B$1</f>
        <v>4.375</v>
      </c>
      <c r="C108" s="49">
        <f>(('Input and Output'!B$23*'Input and Output'!$B$10)+('Input and Output'!B$24*Calculations!$C$5)+('Input and Output'!B$25*Calculations!$C$6)+('Input and Output'!B$26*(IF('Input and Output'!D$7="Detritus",Calculations!$C$4,G108))-(SUM('Input and Output'!B$27:B$32))*H107))</f>
        <v>251.14667880702748</v>
      </c>
      <c r="D108" s="49">
        <f>(('Input and Output'!C$23*'Input and Output'!$B$10)+('Input and Output'!C$24*Calculations!$C$5)+('Input and Output'!C$25*Calculations!$C$6)+('Input and Output'!C$26*(IF('Input and Output'!E$7="Detritus",Calculations!$C$4,H108))-(SUM('Input and Output'!C$27:C$32))*I107))</f>
        <v>2449.925679754896</v>
      </c>
      <c r="E108" s="49">
        <f>(('Input and Output'!D$23*'Input and Output'!$B$10)+('Input and Output'!D$24*Calculations!$C$5)+('Input and Output'!D$25*Calculations!$C$6)+('Input and Output'!D$26*(IF('Input and Output'!F$7="Detritus",Calculations!$C$4,I108))-(SUM('Input and Output'!D$27:D$32))*J107))</f>
        <v>1114.8970581870235</v>
      </c>
      <c r="F108" s="49" t="e">
        <f>(('Input and Output'!E$23*'Input and Output'!$B$10)+('Input and Output'!E$24*Calculations!$C$5)+('Input and Output'!E$25*Calculations!$C$6)+('Input and Output'!E$26*(IF('Input and Output'!G$7="Detritus",Calculations!$C$4,J108))-(SUM('Input and Output'!E$27:E$32))*K107))</f>
        <v>#N/A</v>
      </c>
      <c r="H108" s="49">
        <f>IF(H$2="",NA(),C108*$B108+H107)</f>
        <v>65084.776500108848</v>
      </c>
      <c r="I108" s="49">
        <f>IF(I$2="",NA(),D108*$B108+I107)</f>
        <v>658237.37256383989</v>
      </c>
      <c r="J108" s="49">
        <f>IF(J$2="",NA(),E108*$B108+J107)</f>
        <v>341505.47176616947</v>
      </c>
      <c r="K108" s="49" t="e">
        <f>IF(K$2="",NA(),F108*$B108+K107)</f>
        <v>#N/A</v>
      </c>
    </row>
    <row r="109" spans="1:11" x14ac:dyDescent="0.4">
      <c r="A109" s="49">
        <v>106</v>
      </c>
      <c r="B109" s="49">
        <f>A109/$B$1</f>
        <v>4.416666666666667</v>
      </c>
      <c r="C109" s="49">
        <f>(('Input and Output'!B$23*'Input and Output'!$B$10)+('Input and Output'!B$24*Calculations!$C$5)+('Input and Output'!B$25*Calculations!$C$6)+('Input and Output'!B$26*(IF('Input and Output'!D$7="Detritus",Calculations!$C$4,G109))-(SUM('Input and Output'!B$27:B$32))*H108))</f>
        <v>250.08734231687257</v>
      </c>
      <c r="D109" s="49">
        <f>(('Input and Output'!C$23*'Input and Output'!$B$10)+('Input and Output'!C$24*Calculations!$C$5)+('Input and Output'!C$25*Calculations!$C$6)+('Input and Output'!C$26*(IF('Input and Output'!E$7="Detritus",Calculations!$C$4,H109))-(SUM('Input and Output'!C$27:C$32))*I108))</f>
        <v>2436.7592145316953</v>
      </c>
      <c r="E109" s="49">
        <f>(('Input and Output'!D$23*'Input and Output'!$B$10)+('Input and Output'!D$24*Calculations!$C$5)+('Input and Output'!D$25*Calculations!$C$6)+('Input and Output'!D$26*(IF('Input and Output'!F$7="Detritus",Calculations!$C$4,I109))-(SUM('Input and Output'!D$27:D$32))*J108))</f>
        <v>1108.6967735415637</v>
      </c>
      <c r="F109" s="49" t="e">
        <f>(('Input and Output'!E$23*'Input and Output'!$B$10)+('Input and Output'!E$24*Calculations!$C$5)+('Input and Output'!E$25*Calculations!$C$6)+('Input and Output'!E$26*(IF('Input and Output'!G$7="Detritus",Calculations!$C$4,J109))-(SUM('Input and Output'!E$27:E$32))*K108))</f>
        <v>#N/A</v>
      </c>
      <c r="H109" s="49">
        <f>IF(H$2="",NA(),C109*$B109+H108)</f>
        <v>66189.328928675037</v>
      </c>
      <c r="I109" s="49">
        <f>IF(I$2="",NA(),D109*$B109+I108)</f>
        <v>668999.7257613549</v>
      </c>
      <c r="J109" s="49">
        <f>IF(J$2="",NA(),E109*$B109+J108)</f>
        <v>346402.21584931138</v>
      </c>
      <c r="K109" s="49" t="e">
        <f>IF(K$2="",NA(),F109*$B109+K108)</f>
        <v>#N/A</v>
      </c>
    </row>
    <row r="110" spans="1:11" x14ac:dyDescent="0.4">
      <c r="A110" s="49">
        <v>107</v>
      </c>
      <c r="B110" s="49">
        <f>A110/$B$1</f>
        <v>4.458333333333333</v>
      </c>
      <c r="C110" s="49">
        <f>(('Input and Output'!B$23*'Input and Output'!$B$10)+('Input and Output'!B$24*Calculations!$C$5)+('Input and Output'!B$25*Calculations!$C$6)+('Input and Output'!B$26*(IF('Input and Output'!D$7="Detritus",Calculations!$C$4,G110))-(SUM('Input and Output'!B$27:B$32))*H109))</f>
        <v>249.02242774328326</v>
      </c>
      <c r="D110" s="49">
        <f>(('Input and Output'!C$23*'Input and Output'!$B$10)+('Input and Output'!C$24*Calculations!$C$5)+('Input and Output'!C$25*Calculations!$C$6)+('Input and Output'!C$26*(IF('Input and Output'!E$7="Detritus",Calculations!$C$4,H110))-(SUM('Input and Output'!C$27:C$32))*I109))</f>
        <v>2423.5624093796587</v>
      </c>
      <c r="E110" s="49">
        <f>(('Input and Output'!D$23*'Input and Output'!$B$10)+('Input and Output'!D$24*Calculations!$C$5)+('Input and Output'!D$25*Calculations!$C$6)+('Input and Output'!D$26*(IF('Input and Output'!F$7="Detritus",Calculations!$C$4,I110))-(SUM('Input and Output'!D$27:D$32))*J109))</f>
        <v>1102.4876427310555</v>
      </c>
      <c r="F110" s="49" t="e">
        <f>(('Input and Output'!E$23*'Input and Output'!$B$10)+('Input and Output'!E$24*Calculations!$C$5)+('Input and Output'!E$25*Calculations!$C$6)+('Input and Output'!E$26*(IF('Input and Output'!G$7="Detritus",Calculations!$C$4,J110))-(SUM('Input and Output'!E$27:E$32))*K109))</f>
        <v>#N/A</v>
      </c>
      <c r="H110" s="49">
        <f>IF(H$2="",NA(),C110*$B110+H109)</f>
        <v>67299.553919030513</v>
      </c>
      <c r="I110" s="49">
        <f>IF(I$2="",NA(),D110*$B110+I109)</f>
        <v>679804.77483650588</v>
      </c>
      <c r="J110" s="49">
        <f>IF(J$2="",NA(),E110*$B110+J109)</f>
        <v>351317.47325648734</v>
      </c>
      <c r="K110" s="49" t="e">
        <f>IF(K$2="",NA(),F110*$B110+K109)</f>
        <v>#N/A</v>
      </c>
    </row>
    <row r="111" spans="1:11" x14ac:dyDescent="0.4">
      <c r="A111" s="49">
        <v>108</v>
      </c>
      <c r="B111" s="49">
        <f>A111/$B$1</f>
        <v>4.5</v>
      </c>
      <c r="C111" s="49">
        <f>(('Input and Output'!B$23*'Input and Output'!$B$10)+('Input and Output'!B$24*Calculations!$C$5)+('Input and Output'!B$25*Calculations!$C$6)+('Input and Output'!B$26*(IF('Input and Output'!D$7="Detritus",Calculations!$C$4,G111))-(SUM('Input and Output'!B$27:B$32))*H110))</f>
        <v>247.95204417287431</v>
      </c>
      <c r="D111" s="49">
        <f>(('Input and Output'!C$23*'Input and Output'!$B$10)+('Input and Output'!C$24*Calculations!$C$5)+('Input and Output'!C$25*Calculations!$C$6)+('Input and Output'!C$26*(IF('Input and Output'!E$7="Detritus",Calculations!$C$4,H111))-(SUM('Input and Output'!C$27:C$32))*I110))</f>
        <v>2410.3370597984954</v>
      </c>
      <c r="E111" s="49">
        <f>(('Input and Output'!D$23*'Input and Output'!$B$10)+('Input and Output'!D$24*Calculations!$C$5)+('Input and Output'!D$25*Calculations!$C$6)+('Input and Output'!D$26*(IF('Input and Output'!F$7="Detritus",Calculations!$C$4,I111))-(SUM('Input and Output'!D$27:D$32))*J110))</f>
        <v>1096.2703451058769</v>
      </c>
      <c r="F111" s="49" t="e">
        <f>(('Input and Output'!E$23*'Input and Output'!$B$10)+('Input and Output'!E$24*Calculations!$C$5)+('Input and Output'!E$25*Calculations!$C$6)+('Input and Output'!E$26*(IF('Input and Output'!G$7="Detritus",Calculations!$C$4,J111))-(SUM('Input and Output'!E$27:E$32))*K110))</f>
        <v>#N/A</v>
      </c>
      <c r="H111" s="49">
        <f>IF(H$2="",NA(),C111*$B111+H110)</f>
        <v>68415.338117808453</v>
      </c>
      <c r="I111" s="49">
        <f>IF(I$2="",NA(),D111*$B111+I110)</f>
        <v>690651.29160559911</v>
      </c>
      <c r="J111" s="49">
        <f>IF(J$2="",NA(),E111*$B111+J110)</f>
        <v>356250.6898094638</v>
      </c>
      <c r="K111" s="49" t="e">
        <f>IF(K$2="",NA(),F111*$B111+K110)</f>
        <v>#N/A</v>
      </c>
    </row>
    <row r="112" spans="1:11" x14ac:dyDescent="0.4">
      <c r="A112" s="49">
        <v>109</v>
      </c>
      <c r="B112" s="49">
        <f>A112/$B$1</f>
        <v>4.541666666666667</v>
      </c>
      <c r="C112" s="49">
        <f>(('Input and Output'!B$23*'Input and Output'!$B$10)+('Input and Output'!B$24*Calculations!$C$5)+('Input and Output'!B$25*Calculations!$C$6)+('Input and Output'!B$26*(IF('Input and Output'!D$7="Detritus",Calculations!$C$4,G112))-(SUM('Input and Output'!B$27:B$32))*H111))</f>
        <v>246.87630089122518</v>
      </c>
      <c r="D112" s="49">
        <f>(('Input and Output'!C$23*'Input and Output'!$B$10)+('Input and Output'!C$24*Calculations!$C$5)+('Input and Output'!C$25*Calculations!$C$6)+('Input and Output'!C$26*(IF('Input and Output'!E$7="Detritus",Calculations!$C$4,H112))-(SUM('Input and Output'!C$27:C$32))*I111))</f>
        <v>2397.0849430507442</v>
      </c>
      <c r="E112" s="49">
        <f>(('Input and Output'!D$23*'Input and Output'!$B$10)+('Input and Output'!D$24*Calculations!$C$5)+('Input and Output'!D$25*Calculations!$C$6)+('Input and Output'!D$26*(IF('Input and Output'!F$7="Detritus",Calculations!$C$4,I112))-(SUM('Input and Output'!D$27:D$32))*J111))</f>
        <v>1090.0455624571805</v>
      </c>
      <c r="F112" s="49" t="e">
        <f>(('Input and Output'!E$23*'Input and Output'!$B$10)+('Input and Output'!E$24*Calculations!$C$5)+('Input and Output'!E$25*Calculations!$C$6)+('Input and Output'!E$26*(IF('Input and Output'!G$7="Detritus",Calculations!$C$4,J112))-(SUM('Input and Output'!E$27:E$32))*K111))</f>
        <v>#N/A</v>
      </c>
      <c r="H112" s="49">
        <f>IF(H$2="",NA(),C112*$B112+H111)</f>
        <v>69536.567984356094</v>
      </c>
      <c r="I112" s="49">
        <f>IF(I$2="",NA(),D112*$B112+I111)</f>
        <v>701538.05238862126</v>
      </c>
      <c r="J112" s="49">
        <f>IF(J$2="",NA(),E112*$B112+J111)</f>
        <v>361201.31340562348</v>
      </c>
      <c r="K112" s="49" t="e">
        <f>IF(K$2="",NA(),F112*$B112+K111)</f>
        <v>#N/A</v>
      </c>
    </row>
    <row r="113" spans="1:11" x14ac:dyDescent="0.4">
      <c r="A113" s="49">
        <v>110</v>
      </c>
      <c r="B113" s="49">
        <f>A113/$B$1</f>
        <v>4.583333333333333</v>
      </c>
      <c r="C113" s="49">
        <f>(('Input and Output'!B$23*'Input and Output'!$B$10)+('Input and Output'!B$24*Calculations!$C$5)+('Input and Output'!B$25*Calculations!$C$6)+('Input and Output'!B$26*(IF('Input and Output'!D$7="Detritus",Calculations!$C$4,G113))-(SUM('Input and Output'!B$27:B$32))*H112))</f>
        <v>245.79530736448052</v>
      </c>
      <c r="D113" s="49">
        <f>(('Input and Output'!C$23*'Input and Output'!$B$10)+('Input and Output'!C$24*Calculations!$C$5)+('Input and Output'!C$25*Calculations!$C$6)+('Input and Output'!C$26*(IF('Input and Output'!E$7="Detritus",Calculations!$C$4,H113))-(SUM('Input and Output'!C$27:C$32))*I112))</f>
        <v>2383.8078178286887</v>
      </c>
      <c r="E113" s="49">
        <f>(('Input and Output'!D$23*'Input and Output'!$B$10)+('Input and Output'!D$24*Calculations!$C$5)+('Input and Output'!D$25*Calculations!$C$6)+('Input and Output'!D$26*(IF('Input and Output'!F$7="Detritus",Calculations!$C$4,I113))-(SUM('Input and Output'!D$27:D$32))*J112))</f>
        <v>1083.813977290094</v>
      </c>
      <c r="F113" s="49" t="e">
        <f>(('Input and Output'!E$23*'Input and Output'!$B$10)+('Input and Output'!E$24*Calculations!$C$5)+('Input and Output'!E$25*Calculations!$C$6)+('Input and Output'!E$26*(IF('Input and Output'!G$7="Detritus",Calculations!$C$4,J113))-(SUM('Input and Output'!E$27:E$32))*K112))</f>
        <v>#N/A</v>
      </c>
      <c r="H113" s="49">
        <f>IF(H$2="",NA(),C113*$B113+H112)</f>
        <v>70663.129809776627</v>
      </c>
      <c r="I113" s="49">
        <f>IF(I$2="",NA(),D113*$B113+I112)</f>
        <v>712463.83822033613</v>
      </c>
      <c r="J113" s="49">
        <f>IF(J$2="",NA(),E113*$B113+J112)</f>
        <v>366168.79413486976</v>
      </c>
      <c r="K113" s="49" t="e">
        <f>IF(K$2="",NA(),F113*$B113+K112)</f>
        <v>#N/A</v>
      </c>
    </row>
    <row r="114" spans="1:11" x14ac:dyDescent="0.4">
      <c r="A114" s="49">
        <v>111</v>
      </c>
      <c r="B114" s="49">
        <f>A114/$B$1</f>
        <v>4.625</v>
      </c>
      <c r="C114" s="49">
        <f>(('Input and Output'!B$23*'Input and Output'!$B$10)+('Input and Output'!B$24*Calculations!$C$5)+('Input and Output'!B$25*Calculations!$C$6)+('Input and Output'!B$26*(IF('Input and Output'!D$7="Detritus",Calculations!$C$4,G114))-(SUM('Input and Output'!B$27:B$32))*H113))</f>
        <v>244.70917322099132</v>
      </c>
      <c r="D114" s="49">
        <f>(('Input and Output'!C$23*'Input and Output'!$B$10)+('Input and Output'!C$24*Calculations!$C$5)+('Input and Output'!C$25*Calculations!$C$6)+('Input and Output'!C$26*(IF('Input and Output'!E$7="Detritus",Calculations!$C$4,H114))-(SUM('Input and Output'!C$27:C$32))*I113))</f>
        <v>2370.5074239381556</v>
      </c>
      <c r="E114" s="49">
        <f>(('Input and Output'!D$23*'Input and Output'!$B$10)+('Input and Output'!D$24*Calculations!$C$5)+('Input and Output'!D$25*Calculations!$C$6)+('Input and Output'!D$26*(IF('Input and Output'!F$7="Detritus",Calculations!$C$4,I114))-(SUM('Input and Output'!D$27:D$32))*J113))</f>
        <v>1077.576271379683</v>
      </c>
      <c r="F114" s="49" t="e">
        <f>(('Input and Output'!E$23*'Input and Output'!$B$10)+('Input and Output'!E$24*Calculations!$C$5)+('Input and Output'!E$25*Calculations!$C$6)+('Input and Output'!E$26*(IF('Input and Output'!G$7="Detritus",Calculations!$C$4,J114))-(SUM('Input and Output'!E$27:E$32))*K113))</f>
        <v>#N/A</v>
      </c>
      <c r="H114" s="49">
        <f>IF(H$2="",NA(),C114*$B114+H113)</f>
        <v>71794.909735923706</v>
      </c>
      <c r="I114" s="49">
        <f>IF(I$2="",NA(),D114*$B114+I113)</f>
        <v>723427.43505605008</v>
      </c>
      <c r="J114" s="49">
        <f>IF(J$2="",NA(),E114*$B114+J113)</f>
        <v>371152.58439000079</v>
      </c>
      <c r="K114" s="49" t="e">
        <f>IF(K$2="",NA(),F114*$B114+K113)</f>
        <v>#N/A</v>
      </c>
    </row>
    <row r="115" spans="1:11" x14ac:dyDescent="0.4">
      <c r="A115" s="49">
        <v>112</v>
      </c>
      <c r="B115" s="49">
        <f>A115/$B$1</f>
        <v>4.666666666666667</v>
      </c>
      <c r="C115" s="49">
        <f>(('Input and Output'!B$23*'Input and Output'!$B$10)+('Input and Output'!B$24*Calculations!$C$5)+('Input and Output'!B$25*Calculations!$C$6)+('Input and Output'!B$26*(IF('Input and Output'!D$7="Detritus",Calculations!$C$4,G115))-(SUM('Input and Output'!B$27:B$32))*H114))</f>
        <v>243.61800823300212</v>
      </c>
      <c r="D115" s="49">
        <f>(('Input and Output'!C$23*'Input and Output'!$B$10)+('Input and Output'!C$24*Calculations!$C$5)+('Input and Output'!C$25*Calculations!$C$6)+('Input and Output'!C$26*(IF('Input and Output'!E$7="Detritus",Calculations!$C$4,H115))-(SUM('Input and Output'!C$27:C$32))*I114))</f>
        <v>2357.1854819991195</v>
      </c>
      <c r="E115" s="49">
        <f>(('Input and Output'!D$23*'Input and Output'!$B$10)+('Input and Output'!D$24*Calculations!$C$5)+('Input and Output'!D$25*Calculations!$C$6)+('Input and Output'!D$26*(IF('Input and Output'!F$7="Detritus",Calculations!$C$4,I115))-(SUM('Input and Output'!D$27:D$32))*J114))</f>
        <v>1071.3331245605768</v>
      </c>
      <c r="F115" s="49" t="e">
        <f>(('Input and Output'!E$23*'Input and Output'!$B$10)+('Input and Output'!E$24*Calculations!$C$5)+('Input and Output'!E$25*Calculations!$C$6)+('Input and Output'!E$26*(IF('Input and Output'!G$7="Detritus",Calculations!$C$4,J115))-(SUM('Input and Output'!E$27:E$32))*K114))</f>
        <v>#N/A</v>
      </c>
      <c r="H115" s="49">
        <f>IF(H$2="",NA(),C115*$B115+H114)</f>
        <v>72931.793774344376</v>
      </c>
      <c r="I115" s="49">
        <f>IF(I$2="",NA(),D115*$B115+I114)</f>
        <v>734427.63397204597</v>
      </c>
      <c r="J115" s="49">
        <f>IF(J$2="",NA(),E115*$B115+J114)</f>
        <v>376152.13897128351</v>
      </c>
      <c r="K115" s="49" t="e">
        <f>IF(K$2="",NA(),F115*$B115+K114)</f>
        <v>#N/A</v>
      </c>
    </row>
    <row r="116" spans="1:11" x14ac:dyDescent="0.4">
      <c r="A116" s="49">
        <v>113</v>
      </c>
      <c r="B116" s="49">
        <f>A116/$B$1</f>
        <v>4.708333333333333</v>
      </c>
      <c r="C116" s="49">
        <f>(('Input and Output'!B$23*'Input and Output'!$B$10)+('Input and Output'!B$24*Calculations!$C$5)+('Input and Output'!B$25*Calculations!$C$6)+('Input and Output'!B$26*(IF('Input and Output'!D$7="Detritus",Calculations!$C$4,G116))-(SUM('Input and Output'!B$27:B$32))*H115))</f>
        <v>242.52192229838806</v>
      </c>
      <c r="D116" s="49">
        <f>(('Input and Output'!C$23*'Input and Output'!$B$10)+('Input and Output'!C$24*Calculations!$C$5)+('Input and Output'!C$25*Calculations!$C$6)+('Input and Output'!C$26*(IF('Input and Output'!E$7="Detritus",Calculations!$C$4,H116))-(SUM('Input and Output'!C$27:C$32))*I115))</f>
        <v>2343.8436931630386</v>
      </c>
      <c r="E116" s="49">
        <f>(('Input and Output'!D$23*'Input and Output'!$B$10)+('Input and Output'!D$24*Calculations!$C$5)+('Input and Output'!D$25*Calculations!$C$6)+('Input and Output'!D$26*(IF('Input and Output'!F$7="Detritus",Calculations!$C$4,I116))-(SUM('Input and Output'!D$27:D$32))*J115))</f>
        <v>1065.0852137093752</v>
      </c>
      <c r="F116" s="49" t="e">
        <f>(('Input and Output'!E$23*'Input and Output'!$B$10)+('Input and Output'!E$24*Calculations!$C$5)+('Input and Output'!E$25*Calculations!$C$6)+('Input and Output'!E$26*(IF('Input and Output'!G$7="Detritus",Calculations!$C$4,J116))-(SUM('Input and Output'!E$27:E$32))*K115))</f>
        <v>#N/A</v>
      </c>
      <c r="H116" s="49">
        <f>IF(H$2="",NA(),C116*$B116+H115)</f>
        <v>74073.667825165947</v>
      </c>
      <c r="I116" s="49">
        <f>IF(I$2="",NA(),D116*$B116+I115)</f>
        <v>745463.23136068857</v>
      </c>
      <c r="J116" s="49">
        <f>IF(J$2="",NA(),E116*$B116+J115)</f>
        <v>381166.91518583184</v>
      </c>
      <c r="K116" s="49" t="e">
        <f>IF(K$2="",NA(),F116*$B116+K115)</f>
        <v>#N/A</v>
      </c>
    </row>
    <row r="117" spans="1:11" x14ac:dyDescent="0.4">
      <c r="A117" s="49">
        <v>114</v>
      </c>
      <c r="B117" s="49">
        <f>A117/$B$1</f>
        <v>4.75</v>
      </c>
      <c r="C117" s="49">
        <f>(('Input and Output'!B$23*'Input and Output'!$B$10)+('Input and Output'!B$24*Calculations!$C$5)+('Input and Output'!B$25*Calculations!$C$6)+('Input and Output'!B$26*(IF('Input and Output'!D$7="Detritus",Calculations!$C$4,G117))-(SUM('Input and Output'!B$27:B$32))*H116))</f>
        <v>241.42102542244544</v>
      </c>
      <c r="D117" s="49">
        <f>(('Input and Output'!C$23*'Input and Output'!$B$10)+('Input and Output'!C$24*Calculations!$C$5)+('Input and Output'!C$25*Calculations!$C$6)+('Input and Output'!C$26*(IF('Input and Output'!E$7="Detritus",Calculations!$C$4,H117))-(SUM('Input and Output'!C$27:C$32))*I116))</f>
        <v>2330.4837388468086</v>
      </c>
      <c r="E117" s="49">
        <f>(('Input and Output'!D$23*'Input and Output'!$B$10)+('Input and Output'!D$24*Calculations!$C$5)+('Input and Output'!D$25*Calculations!$C$6)+('Input and Output'!D$26*(IF('Input and Output'!F$7="Detritus",Calculations!$C$4,I117))-(SUM('Input and Output'!D$27:D$32))*J116))</f>
        <v>1058.8332118862672</v>
      </c>
      <c r="F117" s="49" t="e">
        <f>(('Input and Output'!E$23*'Input and Output'!$B$10)+('Input and Output'!E$24*Calculations!$C$5)+('Input and Output'!E$25*Calculations!$C$6)+('Input and Output'!E$26*(IF('Input and Output'!G$7="Detritus",Calculations!$C$4,J117))-(SUM('Input and Output'!E$27:E$32))*K116))</f>
        <v>#N/A</v>
      </c>
      <c r="H117" s="49">
        <f>IF(H$2="",NA(),C117*$B117+H116)</f>
        <v>75220.417695922559</v>
      </c>
      <c r="I117" s="49">
        <f>IF(I$2="",NA(),D117*$B117+I116)</f>
        <v>756533.02912021091</v>
      </c>
      <c r="J117" s="49">
        <f>IF(J$2="",NA(),E117*$B117+J116)</f>
        <v>386196.37294229161</v>
      </c>
      <c r="K117" s="49" t="e">
        <f>IF(K$2="",NA(),F117*$B117+K116)</f>
        <v>#N/A</v>
      </c>
    </row>
    <row r="118" spans="1:11" x14ac:dyDescent="0.4">
      <c r="A118" s="49">
        <v>115</v>
      </c>
      <c r="B118" s="49">
        <f>A118/$B$1</f>
        <v>4.791666666666667</v>
      </c>
      <c r="C118" s="49">
        <f>(('Input and Output'!B$23*'Input and Output'!$B$10)+('Input and Output'!B$24*Calculations!$C$5)+('Input and Output'!B$25*Calculations!$C$6)+('Input and Output'!B$26*(IF('Input and Output'!D$7="Detritus",Calculations!$C$4,G118))-(SUM('Input and Output'!B$27:B$32))*H117))</f>
        <v>240.31542769974109</v>
      </c>
      <c r="D118" s="49">
        <f>(('Input and Output'!C$23*'Input and Output'!$B$10)+('Input and Output'!C$24*Calculations!$C$5)+('Input and Output'!C$25*Calculations!$C$6)+('Input and Output'!C$26*(IF('Input and Output'!E$7="Detritus",Calculations!$C$4,H118))-(SUM('Input and Output'!C$27:C$32))*I117))</f>
        <v>2317.1072804832215</v>
      </c>
      <c r="E118" s="49">
        <f>(('Input and Output'!D$23*'Input and Output'!$B$10)+('Input and Output'!D$24*Calculations!$C$5)+('Input and Output'!D$25*Calculations!$C$6)+('Input and Output'!D$26*(IF('Input and Output'!F$7="Detritus",Calculations!$C$4,I118))-(SUM('Input and Output'!D$27:D$32))*J117))</f>
        <v>1052.5777876079082</v>
      </c>
      <c r="F118" s="49" t="e">
        <f>(('Input and Output'!E$23*'Input and Output'!$B$10)+('Input and Output'!E$24*Calculations!$C$5)+('Input and Output'!E$25*Calculations!$C$6)+('Input and Output'!E$26*(IF('Input and Output'!G$7="Detritus",Calculations!$C$4,J118))-(SUM('Input and Output'!E$27:E$32))*K117))</f>
        <v>#N/A</v>
      </c>
      <c r="H118" s="49">
        <f>IF(H$2="",NA(),C118*$B118+H117)</f>
        <v>76371.929120317145</v>
      </c>
      <c r="I118" s="49">
        <f>IF(I$2="",NA(),D118*$B118+I117)</f>
        <v>767635.83483919303</v>
      </c>
      <c r="J118" s="49">
        <f>IF(J$2="",NA(),E118*$B118+J117)</f>
        <v>391239.97484124615</v>
      </c>
      <c r="K118" s="49" t="e">
        <f>IF(K$2="",NA(),F118*$B118+K117)</f>
        <v>#N/A</v>
      </c>
    </row>
    <row r="119" spans="1:11" x14ac:dyDescent="0.4">
      <c r="A119" s="49">
        <v>116</v>
      </c>
      <c r="B119" s="49">
        <f>A119/$B$1</f>
        <v>4.833333333333333</v>
      </c>
      <c r="C119" s="49">
        <f>(('Input and Output'!B$23*'Input and Output'!$B$10)+('Input and Output'!B$24*Calculations!$C$5)+('Input and Output'!B$25*Calculations!$C$6)+('Input and Output'!B$26*(IF('Input and Output'!D$7="Detritus",Calculations!$C$4,G119))-(SUM('Input and Output'!B$27:B$32))*H118))</f>
        <v>239.20523929602342</v>
      </c>
      <c r="D119" s="49">
        <f>(('Input and Output'!C$23*'Input and Output'!$B$10)+('Input and Output'!C$24*Calculations!$C$5)+('Input and Output'!C$25*Calculations!$C$6)+('Input and Output'!C$26*(IF('Input and Output'!E$7="Detritus",Calculations!$C$4,H119))-(SUM('Input and Output'!C$27:C$32))*I118))</f>
        <v>2303.7159592877997</v>
      </c>
      <c r="E119" s="49">
        <f>(('Input and Output'!D$23*'Input and Output'!$B$10)+('Input and Output'!D$24*Calculations!$C$5)+('Input and Output'!D$25*Calculations!$C$6)+('Input and Output'!D$26*(IF('Input and Output'!F$7="Detritus",Calculations!$C$4,I119))-(SUM('Input and Output'!D$27:D$32))*J118))</f>
        <v>1046.3196042288509</v>
      </c>
      <c r="F119" s="49" t="e">
        <f>(('Input and Output'!E$23*'Input and Output'!$B$10)+('Input and Output'!E$24*Calculations!$C$5)+('Input and Output'!E$25*Calculations!$C$6)+('Input and Output'!E$26*(IF('Input and Output'!G$7="Detritus",Calculations!$C$4,J119))-(SUM('Input and Output'!E$27:E$32))*K118))</f>
        <v>#N/A</v>
      </c>
      <c r="H119" s="49">
        <f>IF(H$2="",NA(),C119*$B119+H118)</f>
        <v>77528.087776914588</v>
      </c>
      <c r="I119" s="49">
        <f>IF(I$2="",NA(),D119*$B119+I118)</f>
        <v>778770.46197575075</v>
      </c>
      <c r="J119" s="49">
        <f>IF(J$2="",NA(),E119*$B119+J118)</f>
        <v>396297.18626168557</v>
      </c>
      <c r="K119" s="49" t="e">
        <f>IF(K$2="",NA(),F119*$B119+K118)</f>
        <v>#N/A</v>
      </c>
    </row>
    <row r="120" spans="1:11" x14ac:dyDescent="0.4">
      <c r="A120" s="49">
        <v>117</v>
      </c>
      <c r="B120" s="49">
        <f>A120/$B$1</f>
        <v>4.875</v>
      </c>
      <c r="C120" s="49">
        <f>(('Input and Output'!B$23*'Input and Output'!$B$10)+('Input and Output'!B$24*Calculations!$C$5)+('Input and Output'!B$25*Calculations!$C$6)+('Input and Output'!B$26*(IF('Input and Output'!D$7="Detritus",Calculations!$C$4,G120))-(SUM('Input and Output'!B$27:B$32))*H119))</f>
        <v>238.09057043020033</v>
      </c>
      <c r="D120" s="49">
        <f>(('Input and Output'!C$23*'Input and Output'!$B$10)+('Input and Output'!C$24*Calculations!$C$5)+('Input and Output'!C$25*Calculations!$C$6)+('Input and Output'!C$26*(IF('Input and Output'!E$7="Detritus",Calculations!$C$4,H120))-(SUM('Input and Output'!C$27:C$32))*I119))</f>
        <v>2290.3113960418659</v>
      </c>
      <c r="E120" s="49">
        <f>(('Input and Output'!D$23*'Input and Output'!$B$10)+('Input and Output'!D$24*Calculations!$C$5)+('Input and Output'!D$25*Calculations!$C$6)+('Input and Output'!D$26*(IF('Input and Output'!F$7="Detritus",Calculations!$C$4,I120))-(SUM('Input and Output'!D$27:D$32))*J119))</f>
        <v>1040.0593194127614</v>
      </c>
      <c r="F120" s="49" t="e">
        <f>(('Input and Output'!E$23*'Input and Output'!$B$10)+('Input and Output'!E$24*Calculations!$C$5)+('Input and Output'!E$25*Calculations!$C$6)+('Input and Output'!E$26*(IF('Input and Output'!G$7="Detritus",Calculations!$C$4,J120))-(SUM('Input and Output'!E$27:E$32))*K119))</f>
        <v>#N/A</v>
      </c>
      <c r="H120" s="49">
        <f>IF(H$2="",NA(),C120*$B120+H119)</f>
        <v>78688.779307761812</v>
      </c>
      <c r="I120" s="49">
        <f>IF(I$2="",NA(),D120*$B120+I119)</f>
        <v>789935.73003145482</v>
      </c>
      <c r="J120" s="49">
        <f>IF(J$2="",NA(),E120*$B120+J119)</f>
        <v>401367.4754438228</v>
      </c>
      <c r="K120" s="49" t="e">
        <f>IF(K$2="",NA(),F120*$B120+K119)</f>
        <v>#N/A</v>
      </c>
    </row>
    <row r="121" spans="1:11" x14ac:dyDescent="0.4">
      <c r="A121" s="49">
        <v>118</v>
      </c>
      <c r="B121" s="49">
        <f>A121/$B$1</f>
        <v>4.916666666666667</v>
      </c>
      <c r="C121" s="49">
        <f>(('Input and Output'!B$23*'Input and Output'!$B$10)+('Input and Output'!B$24*Calculations!$C$5)+('Input and Output'!B$25*Calculations!$C$6)+('Input and Output'!B$26*(IF('Input and Output'!D$7="Detritus",Calculations!$C$4,G121))-(SUM('Input and Output'!B$27:B$32))*H120))</f>
        <v>236.97153135638709</v>
      </c>
      <c r="D121" s="49">
        <f>(('Input and Output'!C$23*'Input and Output'!$B$10)+('Input and Output'!C$24*Calculations!$C$5)+('Input and Output'!C$25*Calculations!$C$6)+('Input and Output'!C$26*(IF('Input and Output'!E$7="Detritus",Calculations!$C$4,H121))-(SUM('Input and Output'!C$27:C$32))*I120))</f>
        <v>2276.8951908916924</v>
      </c>
      <c r="E121" s="49">
        <f>(('Input and Output'!D$23*'Input and Output'!$B$10)+('Input and Output'!D$24*Calculations!$C$5)+('Input and Output'!D$25*Calculations!$C$6)+('Input and Output'!D$26*(IF('Input and Output'!F$7="Detritus",Calculations!$C$4,I121))-(SUM('Input and Output'!D$27:D$32))*J120))</f>
        <v>1033.7975846781956</v>
      </c>
      <c r="F121" s="49" t="e">
        <f>(('Input and Output'!E$23*'Input and Output'!$B$10)+('Input and Output'!E$24*Calculations!$C$5)+('Input and Output'!E$25*Calculations!$C$6)+('Input and Output'!E$26*(IF('Input and Output'!G$7="Detritus",Calculations!$C$4,J121))-(SUM('Input and Output'!E$27:E$32))*K120))</f>
        <v>#N/A</v>
      </c>
      <c r="H121" s="49">
        <f>IF(H$2="",NA(),C121*$B121+H120)</f>
        <v>79853.889336930719</v>
      </c>
      <c r="I121" s="49">
        <f>IF(I$2="",NA(),D121*$B121+I120)</f>
        <v>801130.46472000564</v>
      </c>
      <c r="J121" s="49">
        <f>IF(J$2="",NA(),E121*$B121+J120)</f>
        <v>406450.31356849062</v>
      </c>
      <c r="K121" s="49" t="e">
        <f>IF(K$2="",NA(),F121*$B121+K120)</f>
        <v>#N/A</v>
      </c>
    </row>
    <row r="122" spans="1:11" x14ac:dyDescent="0.4">
      <c r="A122" s="49">
        <v>119</v>
      </c>
      <c r="B122" s="49">
        <f>A122/$B$1</f>
        <v>4.958333333333333</v>
      </c>
      <c r="C122" s="49">
        <f>(('Input and Output'!B$23*'Input and Output'!$B$10)+('Input and Output'!B$24*Calculations!$C$5)+('Input and Output'!B$25*Calculations!$C$6)+('Input and Output'!B$26*(IF('Input and Output'!D$7="Detritus",Calculations!$C$4,G122))-(SUM('Input and Output'!B$27:B$32))*H121))</f>
        <v>235.84823234602902</v>
      </c>
      <c r="D122" s="49">
        <f>(('Input and Output'!C$23*'Input and Output'!$B$10)+('Input and Output'!C$24*Calculations!$C$5)+('Input and Output'!C$25*Calculations!$C$6)+('Input and Output'!C$26*(IF('Input and Output'!E$7="Detritus",Calculations!$C$4,H122))-(SUM('Input and Output'!C$27:C$32))*I121))</f>
        <v>2263.4689231635539</v>
      </c>
      <c r="E122" s="49">
        <f>(('Input and Output'!D$23*'Input and Output'!$B$10)+('Input and Output'!D$24*Calculations!$C$5)+('Input and Output'!D$25*Calculations!$C$6)+('Input and Output'!D$26*(IF('Input and Output'!F$7="Detritus",Calculations!$C$4,I122))-(SUM('Input and Output'!D$27:D$32))*J121))</f>
        <v>1027.535045006538</v>
      </c>
      <c r="F122" s="49" t="e">
        <f>(('Input and Output'!E$23*'Input and Output'!$B$10)+('Input and Output'!E$24*Calculations!$C$5)+('Input and Output'!E$25*Calculations!$C$6)+('Input and Output'!E$26*(IF('Input and Output'!G$7="Detritus",Calculations!$C$4,J122))-(SUM('Input and Output'!E$27:E$32))*K121))</f>
        <v>#N/A</v>
      </c>
      <c r="H122" s="49">
        <f>IF(H$2="",NA(),C122*$B122+H121)</f>
        <v>81023.303488979785</v>
      </c>
      <c r="I122" s="49">
        <f>IF(I$2="",NA(),D122*$B122+I121)</f>
        <v>812353.49813069159</v>
      </c>
      <c r="J122" s="49">
        <f>IF(J$2="",NA(),E122*$B122+J121)</f>
        <v>411545.17483331473</v>
      </c>
      <c r="K122" s="49" t="e">
        <f>IF(K$2="",NA(),F122*$B122+K121)</f>
        <v>#N/A</v>
      </c>
    </row>
    <row r="123" spans="1:11" x14ac:dyDescent="0.4">
      <c r="A123" s="49">
        <v>120</v>
      </c>
      <c r="B123" s="49">
        <f>A123/$B$1</f>
        <v>5</v>
      </c>
      <c r="C123" s="49">
        <f>(('Input and Output'!B$23*'Input and Output'!$B$10)+('Input and Output'!B$24*Calculations!$C$5)+('Input and Output'!B$25*Calculations!$C$6)+('Input and Output'!B$26*(IF('Input and Output'!D$7="Detritus",Calculations!$C$4,G123))-(SUM('Input and Output'!B$27:B$32))*H122))</f>
        <v>234.72078367010226</v>
      </c>
      <c r="D123" s="49">
        <f>(('Input and Output'!C$23*'Input and Output'!$B$10)+('Input and Output'!C$24*Calculations!$C$5)+('Input and Output'!C$25*Calculations!$C$6)+('Input and Output'!C$26*(IF('Input and Output'!E$7="Detritus",Calculations!$C$4,H123))-(SUM('Input and Output'!C$27:C$32))*I122))</f>
        <v>2250.0341511945107</v>
      </c>
      <c r="E123" s="49">
        <f>(('Input and Output'!D$23*'Input and Output'!$B$10)+('Input and Output'!D$24*Calculations!$C$5)+('Input and Output'!D$25*Calculations!$C$6)+('Input and Output'!D$26*(IF('Input and Output'!F$7="Detritus",Calculations!$C$4,I123))-(SUM('Input and Output'!D$27:D$32))*J122))</f>
        <v>1021.272338501909</v>
      </c>
      <c r="F123" s="49" t="e">
        <f>(('Input and Output'!E$23*'Input and Output'!$B$10)+('Input and Output'!E$24*Calculations!$C$5)+('Input and Output'!E$25*Calculations!$C$6)+('Input and Output'!E$26*(IF('Input and Output'!G$7="Detritus",Calculations!$C$4,J123))-(SUM('Input and Output'!E$27:E$32))*K122))</f>
        <v>#N/A</v>
      </c>
      <c r="H123" s="49">
        <f>IF(H$2="",NA(),C123*$B123+H122)</f>
        <v>82196.907407330291</v>
      </c>
      <c r="I123" s="49">
        <f>IF(I$2="",NA(),D123*$B123+I122)</f>
        <v>823603.66888666409</v>
      </c>
      <c r="J123" s="49">
        <f>IF(J$2="",NA(),E123*$B123+J122)</f>
        <v>416651.53652582428</v>
      </c>
      <c r="K123" s="49" t="e">
        <f>IF(K$2="",NA(),F123*$B123+K122)</f>
        <v>#N/A</v>
      </c>
    </row>
    <row r="124" spans="1:11" x14ac:dyDescent="0.4">
      <c r="A124" s="49">
        <v>121</v>
      </c>
      <c r="B124" s="49">
        <f>A124/$B$1</f>
        <v>5.041666666666667</v>
      </c>
      <c r="C124" s="49">
        <f>(('Input and Output'!B$23*'Input and Output'!$B$10)+('Input and Output'!B$24*Calculations!$C$5)+('Input and Output'!B$25*Calculations!$C$6)+('Input and Output'!B$26*(IF('Input and Output'!D$7="Detritus",Calculations!$C$4,G124))-(SUM('Input and Output'!B$27:B$32))*H123))</f>
        <v>233.58929558139715</v>
      </c>
      <c r="D124" s="49">
        <f>(('Input and Output'!C$23*'Input and Output'!$B$10)+('Input and Output'!C$24*Calculations!$C$5)+('Input and Output'!C$25*Calculations!$C$6)+('Input and Output'!C$26*(IF('Input and Output'!E$7="Detritus",Calculations!$C$4,H124))-(SUM('Input and Output'!C$27:C$32))*I123))</f>
        <v>2236.5924121787421</v>
      </c>
      <c r="E124" s="49">
        <f>(('Input and Output'!D$23*'Input and Output'!$B$10)+('Input and Output'!D$24*Calculations!$C$5)+('Input and Output'!D$25*Calculations!$C$6)+('Input and Output'!D$26*(IF('Input and Output'!F$7="Detritus",Calculations!$C$4,I124))-(SUM('Input and Output'!D$27:D$32))*J123))</f>
        <v>1015.0100960949967</v>
      </c>
      <c r="F124" s="49" t="e">
        <f>(('Input and Output'!E$23*'Input and Output'!$B$10)+('Input and Output'!E$24*Calculations!$C$5)+('Input and Output'!E$25*Calculations!$C$6)+('Input and Output'!E$26*(IF('Input and Output'!G$7="Detritus",Calculations!$C$4,J124))-(SUM('Input and Output'!E$27:E$32))*K123))</f>
        <v>#N/A</v>
      </c>
      <c r="H124" s="49">
        <f>IF(H$2="",NA(),C124*$B124+H123)</f>
        <v>83374.586772553172</v>
      </c>
      <c r="I124" s="49">
        <f>IF(I$2="",NA(),D124*$B124+I123)</f>
        <v>834879.82229806529</v>
      </c>
      <c r="J124" s="49">
        <f>IF(J$2="",NA(),E124*$B124+J123)</f>
        <v>421768.87909363658</v>
      </c>
      <c r="K124" s="49" t="e">
        <f>IF(K$2="",NA(),F124*$B124+K123)</f>
        <v>#N/A</v>
      </c>
    </row>
    <row r="125" spans="1:11" x14ac:dyDescent="0.4">
      <c r="A125" s="49">
        <v>122</v>
      </c>
      <c r="B125" s="49">
        <f>A125/$B$1</f>
        <v>5.083333333333333</v>
      </c>
      <c r="C125" s="49">
        <f>(('Input and Output'!B$23*'Input and Output'!$B$10)+('Input and Output'!B$24*Calculations!$C$5)+('Input and Output'!B$25*Calculations!$C$6)+('Input and Output'!B$26*(IF('Input and Output'!D$7="Detritus",Calculations!$C$4,G125))-(SUM('Input and Output'!B$27:B$32))*H124))</f>
        <v>232.45387829688747</v>
      </c>
      <c r="D125" s="49">
        <f>(('Input and Output'!C$23*'Input and Output'!$B$10)+('Input and Output'!C$24*Calculations!$C$5)+('Input and Output'!C$25*Calculations!$C$6)+('Input and Output'!C$26*(IF('Input and Output'!E$7="Detritus",Calculations!$C$4,H125))-(SUM('Input and Output'!C$27:C$32))*I124))</f>
        <v>2223.1452220291894</v>
      </c>
      <c r="E125" s="49">
        <f>(('Input and Output'!D$23*'Input and Output'!$B$10)+('Input and Output'!D$24*Calculations!$C$5)+('Input and Output'!D$25*Calculations!$C$6)+('Input and Output'!D$26*(IF('Input and Output'!F$7="Detritus",Calculations!$C$4,I125))-(SUM('Input and Output'!D$27:D$32))*J124))</f>
        <v>1008.7489412839932</v>
      </c>
      <c r="F125" s="49" t="e">
        <f>(('Input and Output'!E$23*'Input and Output'!$B$10)+('Input and Output'!E$24*Calculations!$C$5)+('Input and Output'!E$25*Calculations!$C$6)+('Input and Output'!E$26*(IF('Input and Output'!G$7="Detritus",Calculations!$C$4,J125))-(SUM('Input and Output'!E$27:E$32))*K124))</f>
        <v>#N/A</v>
      </c>
      <c r="H125" s="49">
        <f>IF(H$2="",NA(),C125*$B125+H124)</f>
        <v>84556.22732056235</v>
      </c>
      <c r="I125" s="49">
        <f>IF(I$2="",NA(),D125*$B125+I124)</f>
        <v>846180.81051004701</v>
      </c>
      <c r="J125" s="49">
        <f>IF(J$2="",NA(),E125*$B125+J124)</f>
        <v>426896.68621183024</v>
      </c>
      <c r="K125" s="49" t="e">
        <f>IF(K$2="",NA(),F125*$B125+K124)</f>
        <v>#N/A</v>
      </c>
    </row>
    <row r="126" spans="1:11" x14ac:dyDescent="0.4">
      <c r="A126" s="49">
        <v>123</v>
      </c>
      <c r="B126" s="49">
        <f>A126/$B$1</f>
        <v>5.125</v>
      </c>
      <c r="C126" s="49">
        <f>(('Input and Output'!B$23*'Input and Output'!$B$10)+('Input and Output'!B$24*Calculations!$C$5)+('Input and Output'!B$25*Calculations!$C$6)+('Input and Output'!B$26*(IF('Input and Output'!D$7="Detritus",Calculations!$C$4,G126))-(SUM('Input and Output'!B$27:B$32))*H125))</f>
        <v>231.31464198018995</v>
      </c>
      <c r="D126" s="49">
        <f>(('Input and Output'!C$23*'Input and Output'!$B$10)+('Input and Output'!C$24*Calculations!$C$5)+('Input and Output'!C$25*Calculations!$C$6)+('Input and Output'!C$26*(IF('Input and Output'!E$7="Detritus",Calculations!$C$4,H126))-(SUM('Input and Output'!C$27:C$32))*I125))</f>
        <v>2209.6940752543474</v>
      </c>
      <c r="E126" s="49">
        <f>(('Input and Output'!D$23*'Input and Output'!$B$10)+('Input and Output'!D$24*Calculations!$C$5)+('Input and Output'!D$25*Calculations!$C$6)+('Input and Output'!D$26*(IF('Input and Output'!F$7="Detritus",Calculations!$C$4,I126))-(SUM('Input and Output'!D$27:D$32))*J125))</f>
        <v>1002.4894899074388</v>
      </c>
      <c r="F126" s="49" t="e">
        <f>(('Input and Output'!E$23*'Input and Output'!$B$10)+('Input and Output'!E$24*Calculations!$C$5)+('Input and Output'!E$25*Calculations!$C$6)+('Input and Output'!E$26*(IF('Input and Output'!G$7="Detritus",Calculations!$C$4,J126))-(SUM('Input and Output'!E$27:E$32))*K125))</f>
        <v>#N/A</v>
      </c>
      <c r="H126" s="49">
        <f>IF(H$2="",NA(),C126*$B126+H125)</f>
        <v>85741.714860710825</v>
      </c>
      <c r="I126" s="49">
        <f>IF(I$2="",NA(),D126*$B126+I125)</f>
        <v>857505.49264572549</v>
      </c>
      <c r="J126" s="49">
        <f>IF(J$2="",NA(),E126*$B126+J125)</f>
        <v>432034.44484760589</v>
      </c>
      <c r="K126" s="49" t="e">
        <f>IF(K$2="",NA(),F126*$B126+K125)</f>
        <v>#N/A</v>
      </c>
    </row>
    <row r="127" spans="1:11" x14ac:dyDescent="0.4">
      <c r="A127" s="49">
        <v>124</v>
      </c>
      <c r="B127" s="49">
        <f>A127/$B$1</f>
        <v>5.166666666666667</v>
      </c>
      <c r="C127" s="49">
        <f>(('Input and Output'!B$23*'Input and Output'!$B$10)+('Input and Output'!B$24*Calculations!$C$5)+('Input and Output'!B$25*Calculations!$C$6)+('Input and Output'!B$26*(IF('Input and Output'!D$7="Detritus",Calculations!$C$4,G127))-(SUM('Input and Output'!B$27:B$32))*H126))</f>
        <v>230.17169672411788</v>
      </c>
      <c r="D127" s="49">
        <f>(('Input and Output'!C$23*'Input and Output'!$B$10)+('Input and Output'!C$24*Calculations!$C$5)+('Input and Output'!C$25*Calculations!$C$6)+('Input and Output'!C$26*(IF('Input and Output'!E$7="Detritus",Calculations!$C$4,H127))-(SUM('Input and Output'!C$27:C$32))*I126))</f>
        <v>2196.2404448499292</v>
      </c>
      <c r="E127" s="49">
        <f>(('Input and Output'!D$23*'Input and Output'!$B$10)+('Input and Output'!D$24*Calculations!$C$5)+('Input and Output'!D$25*Calculations!$C$6)+('Input and Output'!D$26*(IF('Input and Output'!F$7="Detritus",Calculations!$C$4,I127))-(SUM('Input and Output'!D$27:D$32))*J126))</f>
        <v>996.23234994443919</v>
      </c>
      <c r="F127" s="49" t="e">
        <f>(('Input and Output'!E$23*'Input and Output'!$B$10)+('Input and Output'!E$24*Calculations!$C$5)+('Input and Output'!E$25*Calculations!$C$6)+('Input and Output'!E$26*(IF('Input and Output'!G$7="Detritus",Calculations!$C$4,J127))-(SUM('Input and Output'!E$27:E$32))*K126))</f>
        <v>#N/A</v>
      </c>
      <c r="H127" s="49">
        <f>IF(H$2="",NA(),C127*$B127+H126)</f>
        <v>86930.935293785427</v>
      </c>
      <c r="I127" s="49">
        <f>IF(I$2="",NA(),D127*$B127+I126)</f>
        <v>868852.73494411679</v>
      </c>
      <c r="J127" s="49">
        <f>IF(J$2="",NA(),E127*$B127+J126)</f>
        <v>437181.64532231883</v>
      </c>
      <c r="K127" s="49" t="e">
        <f>IF(K$2="",NA(),F127*$B127+K126)</f>
        <v>#N/A</v>
      </c>
    </row>
    <row r="128" spans="1:11" x14ac:dyDescent="0.4">
      <c r="A128" s="49">
        <v>125</v>
      </c>
      <c r="B128" s="49">
        <f>A128/$B$1</f>
        <v>5.208333333333333</v>
      </c>
      <c r="C128" s="49">
        <f>(('Input and Output'!B$23*'Input and Output'!$B$10)+('Input and Output'!B$24*Calculations!$C$5)+('Input and Output'!B$25*Calculations!$C$6)+('Input and Output'!B$26*(IF('Input and Output'!D$7="Detritus",Calculations!$C$4,G128))-(SUM('Input and Output'!B$27:B$32))*H127))</f>
        <v>229.02515253333172</v>
      </c>
      <c r="D128" s="49">
        <f>(('Input and Output'!C$23*'Input and Output'!$B$10)+('Input and Output'!C$24*Calculations!$C$5)+('Input and Output'!C$25*Calculations!$C$6)+('Input and Output'!C$26*(IF('Input and Output'!E$7="Detritus",Calculations!$C$4,H128))-(SUM('Input and Output'!C$27:C$32))*I127))</f>
        <v>2182.7857822052065</v>
      </c>
      <c r="E128" s="49">
        <f>(('Input and Output'!D$23*'Input and Output'!$B$10)+('Input and Output'!D$24*Calculations!$C$5)+('Input and Output'!D$25*Calculations!$C$6)+('Input and Output'!D$26*(IF('Input and Output'!F$7="Detritus",Calculations!$C$4,I128))-(SUM('Input and Output'!D$27:D$32))*J127))</f>
        <v>989.97812133885236</v>
      </c>
      <c r="F128" s="49" t="e">
        <f>(('Input and Output'!E$23*'Input and Output'!$B$10)+('Input and Output'!E$24*Calculations!$C$5)+('Input and Output'!E$25*Calculations!$C$6)+('Input and Output'!E$26*(IF('Input and Output'!G$7="Detritus",Calculations!$C$4,J128))-(SUM('Input and Output'!E$27:E$32))*K127))</f>
        <v>#N/A</v>
      </c>
      <c r="H128" s="49">
        <f>IF(H$2="",NA(),C128*$B128+H127)</f>
        <v>88123.774629896536</v>
      </c>
      <c r="I128" s="49">
        <f>IF(I$2="",NA(),D128*$B128+I127)</f>
        <v>880221.41089310229</v>
      </c>
      <c r="J128" s="49">
        <f>IF(J$2="",NA(),E128*$B128+J127)</f>
        <v>442337.78137095866</v>
      </c>
      <c r="K128" s="49" t="e">
        <f>IF(K$2="",NA(),F128*$B128+K127)</f>
        <v>#N/A</v>
      </c>
    </row>
    <row r="129" spans="1:11" x14ac:dyDescent="0.4">
      <c r="A129" s="49">
        <v>126</v>
      </c>
      <c r="B129" s="49">
        <f>A129/$B$1</f>
        <v>5.25</v>
      </c>
      <c r="C129" s="49">
        <f>(('Input and Output'!B$23*'Input and Output'!$B$10)+('Input and Output'!B$24*Calculations!$C$5)+('Input and Output'!B$25*Calculations!$C$6)+('Input and Output'!B$26*(IF('Input and Output'!D$7="Detritus",Calculations!$C$4,G129))-(SUM('Input and Output'!B$27:B$32))*H128))</f>
        <v>227.87511930709164</v>
      </c>
      <c r="D129" s="49">
        <f>(('Input and Output'!C$23*'Input and Output'!$B$10)+('Input and Output'!C$24*Calculations!$C$5)+('Input and Output'!C$25*Calculations!$C$6)+('Input and Output'!C$26*(IF('Input and Output'!E$7="Detritus",Calculations!$C$4,H129))-(SUM('Input and Output'!C$27:C$32))*I128))</f>
        <v>2169.331517023762</v>
      </c>
      <c r="E129" s="49">
        <f>(('Input and Output'!D$23*'Input and Output'!$B$10)+('Input and Output'!D$24*Calculations!$C$5)+('Input and Output'!D$25*Calculations!$C$6)+('Input and Output'!D$26*(IF('Input and Output'!F$7="Detritus",Calculations!$C$4,I129))-(SUM('Input and Output'!D$27:D$32))*J128))</f>
        <v>983.72739584444207</v>
      </c>
      <c r="F129" s="49" t="e">
        <f>(('Input and Output'!E$23*'Input and Output'!$B$10)+('Input and Output'!E$24*Calculations!$C$5)+('Input and Output'!E$25*Calculations!$C$6)+('Input and Output'!E$26*(IF('Input and Output'!G$7="Detritus",Calculations!$C$4,J129))-(SUM('Input and Output'!E$27:E$32))*K128))</f>
        <v>#N/A</v>
      </c>
      <c r="H129" s="49">
        <f>IF(H$2="",NA(),C129*$B129+H128)</f>
        <v>89320.11900625877</v>
      </c>
      <c r="I129" s="49">
        <f>IF(I$2="",NA(),D129*$B129+I128)</f>
        <v>891610.40135747707</v>
      </c>
      <c r="J129" s="49">
        <f>IF(J$2="",NA(),E129*$B129+J128)</f>
        <v>447502.35019914201</v>
      </c>
      <c r="K129" s="49" t="e">
        <f>IF(K$2="",NA(),F129*$B129+K128)</f>
        <v>#N/A</v>
      </c>
    </row>
    <row r="130" spans="1:11" x14ac:dyDescent="0.4">
      <c r="A130" s="49">
        <v>127</v>
      </c>
      <c r="B130" s="49">
        <f>A130/$B$1</f>
        <v>5.291666666666667</v>
      </c>
      <c r="C130" s="49">
        <f>(('Input and Output'!B$23*'Input and Output'!$B$10)+('Input and Output'!B$24*Calculations!$C$5)+('Input and Output'!B$25*Calculations!$C$6)+('Input and Output'!B$26*(IF('Input and Output'!D$7="Detritus",Calculations!$C$4,G130))-(SUM('Input and Output'!B$27:B$32))*H129))</f>
        <v>226.72170682211478</v>
      </c>
      <c r="D130" s="49">
        <f>(('Input and Output'!C$23*'Input and Output'!$B$10)+('Input and Output'!C$24*Calculations!$C$5)+('Input and Output'!C$25*Calculations!$C$6)+('Input and Output'!C$26*(IF('Input and Output'!E$7="Detritus",Calculations!$C$4,H130))-(SUM('Input and Output'!C$27:C$32))*I129))</f>
        <v>2155.8790572584112</v>
      </c>
      <c r="E130" s="49">
        <f>(('Input and Output'!D$23*'Input and Output'!$B$10)+('Input and Output'!D$24*Calculations!$C$5)+('Input and Output'!D$25*Calculations!$C$6)+('Input and Output'!D$26*(IF('Input and Output'!F$7="Detritus",Calculations!$C$4,I130))-(SUM('Input and Output'!D$27:D$32))*J129))</f>
        <v>977.48075688874815</v>
      </c>
      <c r="F130" s="49" t="e">
        <f>(('Input and Output'!E$23*'Input and Output'!$B$10)+('Input and Output'!E$24*Calculations!$C$5)+('Input and Output'!E$25*Calculations!$C$6)+('Input and Output'!E$26*(IF('Input and Output'!G$7="Detritus",Calculations!$C$4,J130))-(SUM('Input and Output'!E$27:E$32))*K129))</f>
        <v>#N/A</v>
      </c>
      <c r="H130" s="49">
        <f>IF(H$2="",NA(),C130*$B130+H129)</f>
        <v>90519.854704859128</v>
      </c>
      <c r="I130" s="49">
        <f>IF(I$2="",NA(),D130*$B130+I129)</f>
        <v>903018.59470213612</v>
      </c>
      <c r="J130" s="49">
        <f>IF(J$2="",NA(),E130*$B130+J129)</f>
        <v>452674.85253767832</v>
      </c>
      <c r="K130" s="49" t="e">
        <f>IF(K$2="",NA(),F130*$B130+K129)</f>
        <v>#N/A</v>
      </c>
    </row>
    <row r="131" spans="1:11" x14ac:dyDescent="0.4">
      <c r="A131" s="49">
        <v>128</v>
      </c>
      <c r="B131" s="49">
        <f>A131/$B$1</f>
        <v>5.333333333333333</v>
      </c>
      <c r="C131" s="49">
        <f>(('Input and Output'!B$23*'Input and Output'!$B$10)+('Input and Output'!B$24*Calculations!$C$5)+('Input and Output'!B$25*Calculations!$C$6)+('Input and Output'!B$26*(IF('Input and Output'!D$7="Detritus",Calculations!$C$4,G131))-(SUM('Input and Output'!B$27:B$32))*H130))</f>
        <v>225.56502471554126</v>
      </c>
      <c r="D131" s="49">
        <f>(('Input and Output'!C$23*'Input and Output'!$B$10)+('Input and Output'!C$24*Calculations!$C$5)+('Input and Output'!C$25*Calculations!$C$6)+('Input and Output'!C$26*(IF('Input and Output'!E$7="Detritus",Calculations!$C$4,H131))-(SUM('Input and Output'!C$27:C$32))*I130))</f>
        <v>2142.4297890600242</v>
      </c>
      <c r="E131" s="49">
        <f>(('Input and Output'!D$23*'Input and Output'!$B$10)+('Input and Output'!D$24*Calculations!$C$5)+('Input and Output'!D$25*Calculations!$C$6)+('Input and Output'!D$26*(IF('Input and Output'!F$7="Detritus",Calculations!$C$4,I131))-(SUM('Input and Output'!D$27:D$32))*J130))</f>
        <v>971.23877945371351</v>
      </c>
      <c r="F131" s="49" t="e">
        <f>(('Input and Output'!E$23*'Input and Output'!$B$10)+('Input and Output'!E$24*Calculations!$C$5)+('Input and Output'!E$25*Calculations!$C$6)+('Input and Output'!E$26*(IF('Input and Output'!G$7="Detritus",Calculations!$C$4,J131))-(SUM('Input and Output'!E$27:E$32))*K130))</f>
        <v>#N/A</v>
      </c>
      <c r="H131" s="49">
        <f>IF(H$2="",NA(),C131*$B131+H130)</f>
        <v>91722.868170008674</v>
      </c>
      <c r="I131" s="49">
        <f>IF(I$2="",NA(),D131*$B131+I130)</f>
        <v>914444.88691045623</v>
      </c>
      <c r="J131" s="49">
        <f>IF(J$2="",NA(),E131*$B131+J130)</f>
        <v>457854.79269476479</v>
      </c>
      <c r="K131" s="49" t="e">
        <f>IF(K$2="",NA(),F131*$B131+K130)</f>
        <v>#N/A</v>
      </c>
    </row>
    <row r="132" spans="1:11" x14ac:dyDescent="0.4">
      <c r="A132" s="49">
        <v>129</v>
      </c>
      <c r="B132" s="49">
        <f>A132/$B$1</f>
        <v>5.375</v>
      </c>
      <c r="C132" s="49">
        <f>(('Input and Output'!B$23*'Input and Output'!$B$10)+('Input and Output'!B$24*Calculations!$C$5)+('Input and Output'!B$25*Calculations!$C$6)+('Input and Output'!B$26*(IF('Input and Output'!D$7="Detritus",Calculations!$C$4,G132))-(SUM('Input and Output'!B$27:B$32))*H131))</f>
        <v>224.40518246801219</v>
      </c>
      <c r="D132" s="49">
        <f>(('Input and Output'!C$23*'Input and Output'!$B$10)+('Input and Output'!C$24*Calculations!$C$5)+('Input and Output'!C$25*Calculations!$C$6)+('Input and Output'!C$26*(IF('Input and Output'!E$7="Detritus",Calculations!$C$4,H132))-(SUM('Input and Output'!C$27:C$32))*I131))</f>
        <v>2128.9850767399867</v>
      </c>
      <c r="E132" s="49">
        <f>(('Input and Output'!D$23*'Input and Output'!$B$10)+('Input and Output'!D$24*Calculations!$C$5)+('Input and Output'!D$25*Calculations!$C$6)+('Input and Output'!D$26*(IF('Input and Output'!F$7="Detritus",Calculations!$C$4,I132))-(SUM('Input and Output'!D$27:D$32))*J131))</f>
        <v>965.00202997137603</v>
      </c>
      <c r="F132" s="49" t="e">
        <f>(('Input and Output'!E$23*'Input and Output'!$B$10)+('Input and Output'!E$24*Calculations!$C$5)+('Input and Output'!E$25*Calculations!$C$6)+('Input and Output'!E$26*(IF('Input and Output'!G$7="Detritus",Calculations!$C$4,J132))-(SUM('Input and Output'!E$27:E$32))*K131))</f>
        <v>#N/A</v>
      </c>
      <c r="H132" s="49">
        <f>IF(H$2="",NA(),C132*$B132+H131)</f>
        <v>92929.046025774238</v>
      </c>
      <c r="I132" s="49">
        <f>IF(I$2="",NA(),D132*$B132+I131)</f>
        <v>925888.1816979337</v>
      </c>
      <c r="J132" s="49">
        <f>IF(J$2="",NA(),E132*$B132+J131)</f>
        <v>463041.67860586091</v>
      </c>
      <c r="K132" s="49" t="e">
        <f>IF(K$2="",NA(),F132*$B132+K131)</f>
        <v>#N/A</v>
      </c>
    </row>
    <row r="133" spans="1:11" x14ac:dyDescent="0.4">
      <c r="A133" s="49">
        <v>130</v>
      </c>
      <c r="B133" s="49">
        <f>A133/$B$1</f>
        <v>5.416666666666667</v>
      </c>
      <c r="C133" s="49">
        <f>(('Input and Output'!B$23*'Input and Output'!$B$10)+('Input and Output'!B$24*Calculations!$C$5)+('Input and Output'!B$25*Calculations!$C$6)+('Input and Output'!B$26*(IF('Input and Output'!D$7="Detritus",Calculations!$C$4,G133))-(SUM('Input and Output'!B$27:B$32))*H132))</f>
        <v>223.24228938686366</v>
      </c>
      <c r="D133" s="49">
        <f>(('Input and Output'!C$23*'Input and Output'!$B$10)+('Input and Output'!C$24*Calculations!$C$5)+('Input and Output'!C$25*Calculations!$C$6)+('Input and Output'!C$26*(IF('Input and Output'!E$7="Detritus",Calculations!$C$4,H133))-(SUM('Input and Output'!C$27:C$32))*I132))</f>
        <v>2115.5462627460138</v>
      </c>
      <c r="E133" s="49">
        <f>(('Input and Output'!D$23*'Input and Output'!$B$10)+('Input and Output'!D$24*Calculations!$C$5)+('Input and Output'!D$25*Calculations!$C$6)+('Input and Output'!D$26*(IF('Input and Output'!F$7="Detritus",Calculations!$C$4,I133))-(SUM('Input and Output'!D$27:D$32))*J132))</f>
        <v>958.77106623346117</v>
      </c>
      <c r="F133" s="49" t="e">
        <f>(('Input and Output'!E$23*'Input and Output'!$B$10)+('Input and Output'!E$24*Calculations!$C$5)+('Input and Output'!E$25*Calculations!$C$6)+('Input and Output'!E$26*(IF('Input and Output'!G$7="Detritus",Calculations!$C$4,J133))-(SUM('Input and Output'!E$27:E$32))*K132))</f>
        <v>#N/A</v>
      </c>
      <c r="H133" s="49">
        <f>IF(H$2="",NA(),C133*$B133+H132)</f>
        <v>94138.275093286415</v>
      </c>
      <c r="I133" s="49">
        <f>IF(I$2="",NA(),D133*$B133+I132)</f>
        <v>937347.3906211413</v>
      </c>
      <c r="J133" s="49">
        <f>IF(J$2="",NA(),E133*$B133+J132)</f>
        <v>468235.02188129217</v>
      </c>
      <c r="K133" s="49" t="e">
        <f>IF(K$2="",NA(),F133*$B133+K132)</f>
        <v>#N/A</v>
      </c>
    </row>
    <row r="134" spans="1:11" x14ac:dyDescent="0.4">
      <c r="A134" s="49">
        <v>131</v>
      </c>
      <c r="B134" s="49">
        <f>A134/$B$1</f>
        <v>5.458333333333333</v>
      </c>
      <c r="C134" s="49">
        <f>(('Input and Output'!B$23*'Input and Output'!$B$10)+('Input and Output'!B$24*Calculations!$C$5)+('Input and Output'!B$25*Calculations!$C$6)+('Input and Output'!B$26*(IF('Input and Output'!D$7="Detritus",Calculations!$C$4,G134))-(SUM('Input and Output'!B$27:B$32))*H133))</f>
        <v>222.07645458943978</v>
      </c>
      <c r="D134" s="49">
        <f>(('Input and Output'!C$23*'Input and Output'!$B$10)+('Input and Output'!C$24*Calculations!$C$5)+('Input and Output'!C$25*Calculations!$C$6)+('Input and Output'!C$26*(IF('Input and Output'!E$7="Detritus",Calculations!$C$4,H134))-(SUM('Input and Output'!C$27:C$32))*I133))</f>
        <v>2102.1146676510416</v>
      </c>
      <c r="E134" s="49">
        <f>(('Input and Output'!D$23*'Input and Output'!$B$10)+('Input and Output'!D$24*Calculations!$C$5)+('Input and Output'!D$25*Calculations!$C$6)+('Input and Output'!D$26*(IF('Input and Output'!F$7="Detritus",Calculations!$C$4,I134))-(SUM('Input and Output'!D$27:D$32))*J133))</f>
        <v>952.54643731364558</v>
      </c>
      <c r="F134" s="49" t="e">
        <f>(('Input and Output'!E$23*'Input and Output'!$B$10)+('Input and Output'!E$24*Calculations!$C$5)+('Input and Output'!E$25*Calculations!$C$6)+('Input and Output'!E$26*(IF('Input and Output'!G$7="Detritus",Calculations!$C$4,J134))-(SUM('Input and Output'!E$27:E$32))*K133))</f>
        <v>#N/A</v>
      </c>
      <c r="H134" s="49">
        <f>IF(H$2="",NA(),C134*$B134+H133)</f>
        <v>95350.442407920433</v>
      </c>
      <c r="I134" s="49">
        <f>IF(I$2="",NA(),D134*$B134+I133)</f>
        <v>948821.43318206992</v>
      </c>
      <c r="J134" s="49">
        <f>IF(J$2="",NA(),E134*$B134+J133)</f>
        <v>473434.33785162913</v>
      </c>
      <c r="K134" s="49" t="e">
        <f>IF(K$2="",NA(),F134*$B134+K133)</f>
        <v>#N/A</v>
      </c>
    </row>
    <row r="135" spans="1:11" x14ac:dyDescent="0.4">
      <c r="A135" s="49">
        <v>132</v>
      </c>
      <c r="B135" s="49">
        <f>A135/$B$1</f>
        <v>5.5</v>
      </c>
      <c r="C135" s="49">
        <f>(('Input and Output'!B$23*'Input and Output'!$B$10)+('Input and Output'!B$24*Calculations!$C$5)+('Input and Output'!B$25*Calculations!$C$6)+('Input and Output'!B$26*(IF('Input and Output'!D$7="Detritus",Calculations!$C$4,G135))-(SUM('Input and Output'!B$27:B$32))*H134))</f>
        <v>220.90778698652844</v>
      </c>
      <c r="D135" s="49">
        <f>(('Input and Output'!C$23*'Input and Output'!$B$10)+('Input and Output'!C$24*Calculations!$C$5)+('Input and Output'!C$25*Calculations!$C$6)+('Input and Output'!C$26*(IF('Input and Output'!E$7="Detritus",Calculations!$C$4,H135))-(SUM('Input and Output'!C$27:C$32))*I134))</f>
        <v>2088.6915901548982</v>
      </c>
      <c r="E135" s="49">
        <f>(('Input and Output'!D$23*'Input and Output'!$B$10)+('Input and Output'!D$24*Calculations!$C$5)+('Input and Output'!D$25*Calculations!$C$6)+('Input and Output'!D$26*(IF('Input and Output'!F$7="Detritus",Calculations!$C$4,I135))-(SUM('Input and Output'!D$27:D$32))*J134))</f>
        <v>946.32868350158606</v>
      </c>
      <c r="F135" s="49" t="e">
        <f>(('Input and Output'!E$23*'Input and Output'!$B$10)+('Input and Output'!E$24*Calculations!$C$5)+('Input and Output'!E$25*Calculations!$C$6)+('Input and Output'!E$26*(IF('Input and Output'!G$7="Detritus",Calculations!$C$4,J135))-(SUM('Input and Output'!E$27:E$32))*K134))</f>
        <v>#N/A</v>
      </c>
      <c r="H135" s="49">
        <f>IF(H$2="",NA(),C135*$B135+H134)</f>
        <v>96565.43523634634</v>
      </c>
      <c r="I135" s="49">
        <f>IF(I$2="",NA(),D135*$B135+I134)</f>
        <v>960309.23692792188</v>
      </c>
      <c r="J135" s="49">
        <f>IF(J$2="",NA(),E135*$B135+J134)</f>
        <v>478639.14561088785</v>
      </c>
      <c r="K135" s="49" t="e">
        <f>IF(K$2="",NA(),F135*$B135+K134)</f>
        <v>#N/A</v>
      </c>
    </row>
    <row r="136" spans="1:11" x14ac:dyDescent="0.4">
      <c r="A136" s="49">
        <v>133</v>
      </c>
      <c r="B136" s="49">
        <f>A136/$B$1</f>
        <v>5.541666666666667</v>
      </c>
      <c r="C136" s="49">
        <f>(('Input and Output'!B$23*'Input and Output'!$B$10)+('Input and Output'!B$24*Calculations!$C$5)+('Input and Output'!B$25*Calculations!$C$6)+('Input and Output'!B$26*(IF('Input and Output'!D$7="Detritus",Calculations!$C$4,G136))-(SUM('Input and Output'!B$27:B$32))*H135))</f>
        <v>219.73639526592285</v>
      </c>
      <c r="D136" s="49">
        <f>(('Input and Output'!C$23*'Input and Output'!$B$10)+('Input and Output'!C$24*Calculations!$C$5)+('Input and Output'!C$25*Calculations!$C$6)+('Input and Output'!C$26*(IF('Input and Output'!E$7="Detritus",Calculations!$C$4,H136))-(SUM('Input and Output'!C$27:C$32))*I135))</f>
        <v>2075.2783070984597</v>
      </c>
      <c r="E136" s="49">
        <f>(('Input and Output'!D$23*'Input and Output'!$B$10)+('Input and Output'!D$24*Calculations!$C$5)+('Input and Output'!D$25*Calculations!$C$6)+('Input and Output'!D$26*(IF('Input and Output'!F$7="Detritus",Calculations!$C$4,I136))-(SUM('Input and Output'!D$27:D$32))*J135))</f>
        <v>940.11833624789506</v>
      </c>
      <c r="F136" s="49" t="e">
        <f>(('Input and Output'!E$23*'Input and Output'!$B$10)+('Input and Output'!E$24*Calculations!$C$5)+('Input and Output'!E$25*Calculations!$C$6)+('Input and Output'!E$26*(IF('Input and Output'!G$7="Detritus",Calculations!$C$4,J136))-(SUM('Input and Output'!E$27:E$32))*K135))</f>
        <v>#N/A</v>
      </c>
      <c r="H136" s="49">
        <f>IF(H$2="",NA(),C136*$B136+H135)</f>
        <v>97783.141093444996</v>
      </c>
      <c r="I136" s="49">
        <f>IF(I$2="",NA(),D136*$B136+I135)</f>
        <v>971809.73754642589</v>
      </c>
      <c r="J136" s="49">
        <f>IF(J$2="",NA(),E136*$B136+J135)</f>
        <v>483848.96805759496</v>
      </c>
      <c r="K136" s="49" t="e">
        <f>IF(K$2="",NA(),F136*$B136+K135)</f>
        <v>#N/A</v>
      </c>
    </row>
    <row r="137" spans="1:11" x14ac:dyDescent="0.4">
      <c r="A137" s="49">
        <v>134</v>
      </c>
      <c r="B137" s="49">
        <f>A137/$B$1</f>
        <v>5.583333333333333</v>
      </c>
      <c r="C137" s="49">
        <f>(('Input and Output'!B$23*'Input and Output'!$B$10)+('Input and Output'!B$24*Calculations!$C$5)+('Input and Output'!B$25*Calculations!$C$6)+('Input and Output'!B$26*(IF('Input and Output'!D$7="Detritus",Calculations!$C$4,G137))-(SUM('Input and Output'!B$27:B$32))*H136))</f>
        <v>218.56238787611275</v>
      </c>
      <c r="D137" s="49">
        <f>(('Input and Output'!C$23*'Input and Output'!$B$10)+('Input and Output'!C$24*Calculations!$C$5)+('Input and Output'!C$25*Calculations!$C$6)+('Input and Output'!C$26*(IF('Input and Output'!E$7="Detritus",Calculations!$C$4,H137))-(SUM('Input and Output'!C$27:C$32))*I136))</f>
        <v>2061.8760734899861</v>
      </c>
      <c r="E137" s="49">
        <f>(('Input and Output'!D$23*'Input and Output'!$B$10)+('Input and Output'!D$24*Calculations!$C$5)+('Input and Output'!D$25*Calculations!$C$6)+('Input and Output'!D$26*(IF('Input and Output'!F$7="Detritus",Calculations!$C$4,I137))-(SUM('Input and Output'!D$27:D$32))*J136))</f>
        <v>933.91591811938633</v>
      </c>
      <c r="F137" s="49" t="e">
        <f>(('Input and Output'!E$23*'Input and Output'!$B$10)+('Input and Output'!E$24*Calculations!$C$5)+('Input and Output'!E$25*Calculations!$C$6)+('Input and Output'!E$26*(IF('Input and Output'!G$7="Detritus",Calculations!$C$4,J137))-(SUM('Input and Output'!E$27:E$32))*K136))</f>
        <v>#N/A</v>
      </c>
      <c r="H137" s="49">
        <f>IF(H$2="",NA(),C137*$B137+H136)</f>
        <v>99003.44775908663</v>
      </c>
      <c r="I137" s="49">
        <f>IF(I$2="",NA(),D137*$B137+I136)</f>
        <v>983321.87895674503</v>
      </c>
      <c r="J137" s="49">
        <f>IF(J$2="",NA(),E137*$B137+J136)</f>
        <v>489063.33193376154</v>
      </c>
      <c r="K137" s="49" t="e">
        <f>IF(K$2="",NA(),F137*$B137+K136)</f>
        <v>#N/A</v>
      </c>
    </row>
    <row r="138" spans="1:11" x14ac:dyDescent="0.4">
      <c r="A138" s="49">
        <v>135</v>
      </c>
      <c r="B138" s="49">
        <f>A138/$B$1</f>
        <v>5.625</v>
      </c>
      <c r="C138" s="49">
        <f>(('Input and Output'!B$23*'Input and Output'!$B$10)+('Input and Output'!B$24*Calculations!$C$5)+('Input and Output'!B$25*Calculations!$C$6)+('Input and Output'!B$26*(IF('Input and Output'!D$7="Detritus",Calculations!$C$4,G138))-(SUM('Input and Output'!B$27:B$32))*H137))</f>
        <v>217.38587301010784</v>
      </c>
      <c r="D138" s="49">
        <f>(('Input and Output'!C$23*'Input and Output'!$B$10)+('Input and Output'!C$24*Calculations!$C$5)+('Input and Output'!C$25*Calculations!$C$6)+('Input and Output'!C$26*(IF('Input and Output'!E$7="Detritus",Calculations!$C$4,H138))-(SUM('Input and Output'!C$27:C$32))*I137))</f>
        <v>2048.4861225433369</v>
      </c>
      <c r="E138" s="49">
        <f>(('Input and Output'!D$23*'Input and Output'!$B$10)+('Input and Output'!D$24*Calculations!$C$5)+('Input and Output'!D$25*Calculations!$C$6)+('Input and Output'!D$26*(IF('Input and Output'!F$7="Detritus",Calculations!$C$4,I138))-(SUM('Input and Output'!D$27:D$32))*J137))</f>
        <v>927.72194276394293</v>
      </c>
      <c r="F138" s="49" t="e">
        <f>(('Input and Output'!E$23*'Input and Output'!$B$10)+('Input and Output'!E$24*Calculations!$C$5)+('Input and Output'!E$25*Calculations!$C$6)+('Input and Output'!E$26*(IF('Input and Output'!G$7="Detritus",Calculations!$C$4,J138))-(SUM('Input and Output'!E$27:E$32))*K137))</f>
        <v>#N/A</v>
      </c>
      <c r="H138" s="49">
        <f>IF(H$2="",NA(),C138*$B138+H137)</f>
        <v>100226.24329476849</v>
      </c>
      <c r="I138" s="49">
        <f>IF(I$2="",NA(),D138*$B138+I137)</f>
        <v>994844.61339605134</v>
      </c>
      <c r="J138" s="49">
        <f>IF(J$2="",NA(),E138*$B138+J137)</f>
        <v>494281.76786180871</v>
      </c>
      <c r="K138" s="49" t="e">
        <f>IF(K$2="",NA(),F138*$B138+K137)</f>
        <v>#N/A</v>
      </c>
    </row>
    <row r="139" spans="1:11" x14ac:dyDescent="0.4">
      <c r="A139" s="49">
        <v>136</v>
      </c>
      <c r="B139" s="49">
        <f>A139/$B$1</f>
        <v>5.666666666666667</v>
      </c>
      <c r="C139" s="49">
        <f>(('Input and Output'!B$23*'Input and Output'!$B$10)+('Input and Output'!B$24*Calculations!$C$5)+('Input and Output'!B$25*Calculations!$C$6)+('Input and Output'!B$26*(IF('Input and Output'!D$7="Detritus",Calculations!$C$4,G139))-(SUM('Input and Output'!B$27:B$32))*H138))</f>
        <v>216.20695858939732</v>
      </c>
      <c r="D139" s="49">
        <f>(('Input and Output'!C$23*'Input and Output'!$B$10)+('Input and Output'!C$24*Calculations!$C$5)+('Input and Output'!C$25*Calculations!$C$6)+('Input and Output'!C$26*(IF('Input and Output'!E$7="Detritus",Calculations!$C$4,H139))-(SUM('Input and Output'!C$27:C$32))*I138))</f>
        <v>2035.1096657277367</v>
      </c>
      <c r="E139" s="49">
        <f>(('Input and Output'!D$23*'Input and Output'!$B$10)+('Input and Output'!D$24*Calculations!$C$5)+('Input and Output'!D$25*Calculations!$C$6)+('Input and Output'!D$26*(IF('Input and Output'!F$7="Detritus",Calculations!$C$4,I139))-(SUM('Input and Output'!D$27:D$32))*J138))</f>
        <v>921.53691488447657</v>
      </c>
      <c r="F139" s="49" t="e">
        <f>(('Input and Output'!E$23*'Input and Output'!$B$10)+('Input and Output'!E$24*Calculations!$C$5)+('Input and Output'!E$25*Calculations!$C$6)+('Input and Output'!E$26*(IF('Input and Output'!G$7="Detritus",Calculations!$C$4,J139))-(SUM('Input and Output'!E$27:E$32))*K138))</f>
        <v>#N/A</v>
      </c>
      <c r="H139" s="49">
        <f>IF(H$2="",NA(),C139*$B139+H138)</f>
        <v>101451.4160601084</v>
      </c>
      <c r="I139" s="49">
        <f>IF(I$2="",NA(),D139*$B139+I138)</f>
        <v>1006376.9015018418</v>
      </c>
      <c r="J139" s="49">
        <f>IF(J$2="",NA(),E139*$B139+J138)</f>
        <v>499503.8103794874</v>
      </c>
      <c r="K139" s="49" t="e">
        <f>IF(K$2="",NA(),F139*$B139+K138)</f>
        <v>#N/A</v>
      </c>
    </row>
    <row r="140" spans="1:11" x14ac:dyDescent="0.4">
      <c r="A140" s="49">
        <v>137</v>
      </c>
      <c r="B140" s="49">
        <f>A140/$B$1</f>
        <v>5.708333333333333</v>
      </c>
      <c r="C140" s="49">
        <f>(('Input and Output'!B$23*'Input and Output'!$B$10)+('Input and Output'!B$24*Calculations!$C$5)+('Input and Output'!B$25*Calculations!$C$6)+('Input and Output'!B$26*(IF('Input and Output'!D$7="Detritus",Calculations!$C$4,G140))-(SUM('Input and Output'!B$27:B$32))*H139))</f>
        <v>215.02575224804801</v>
      </c>
      <c r="D140" s="49">
        <f>(('Input and Output'!C$23*'Input and Output'!$B$10)+('Input and Output'!C$24*Calculations!$C$5)+('Input and Output'!C$25*Calculations!$C$6)+('Input and Output'!C$26*(IF('Input and Output'!E$7="Detritus",Calculations!$C$4,H140))-(SUM('Input and Output'!C$27:C$32))*I139))</f>
        <v>2021.7478928287878</v>
      </c>
      <c r="E140" s="49">
        <f>(('Input and Output'!D$23*'Input and Output'!$B$10)+('Input and Output'!D$24*Calculations!$C$5)+('Input and Output'!D$25*Calculations!$C$6)+('Input and Output'!D$26*(IF('Input and Output'!F$7="Detritus",Calculations!$C$4,I140))-(SUM('Input and Output'!D$27:D$32))*J139))</f>
        <v>915.36133022149079</v>
      </c>
      <c r="F140" s="49" t="e">
        <f>(('Input and Output'!E$23*'Input and Output'!$B$10)+('Input and Output'!E$24*Calculations!$C$5)+('Input and Output'!E$25*Calculations!$C$6)+('Input and Output'!E$26*(IF('Input and Output'!G$7="Detritus",Calculations!$C$4,J140))-(SUM('Input and Output'!E$27:E$32))*K139))</f>
        <v>#N/A</v>
      </c>
      <c r="H140" s="49">
        <f>IF(H$2="",NA(),C140*$B140+H139)</f>
        <v>102678.85472919101</v>
      </c>
      <c r="I140" s="49">
        <f>IF(I$2="",NA(),D140*$B140+I139)</f>
        <v>1017917.7123900729</v>
      </c>
      <c r="J140" s="49">
        <f>IF(J$2="",NA(),E140*$B140+J139)</f>
        <v>504728.99797283509</v>
      </c>
      <c r="K140" s="49" t="e">
        <f>IF(K$2="",NA(),F140*$B140+K139)</f>
        <v>#N/A</v>
      </c>
    </row>
    <row r="141" spans="1:11" x14ac:dyDescent="0.4">
      <c r="A141" s="49">
        <v>138</v>
      </c>
      <c r="B141" s="49">
        <f>A141/$B$1</f>
        <v>5.75</v>
      </c>
      <c r="C141" s="49">
        <f>(('Input and Output'!B$23*'Input and Output'!$B$10)+('Input and Output'!B$24*Calculations!$C$5)+('Input and Output'!B$25*Calculations!$C$6)+('Input and Output'!B$26*(IF('Input and Output'!D$7="Detritus",Calculations!$C$4,G141))-(SUM('Input and Output'!B$27:B$32))*H140))</f>
        <v>213.84236131694493</v>
      </c>
      <c r="D141" s="49">
        <f>(('Input and Output'!C$23*'Input and Output'!$B$10)+('Input and Output'!C$24*Calculations!$C$5)+('Input and Output'!C$25*Calculations!$C$6)+('Input and Output'!C$26*(IF('Input and Output'!E$7="Detritus",Calculations!$C$4,H141))-(SUM('Input and Output'!C$27:C$32))*I140))</f>
        <v>2008.4019720204019</v>
      </c>
      <c r="E141" s="49">
        <f>(('Input and Output'!D$23*'Input and Output'!$B$10)+('Input and Output'!D$24*Calculations!$C$5)+('Input and Output'!D$25*Calculations!$C$6)+('Input and Output'!D$26*(IF('Input and Output'!F$7="Detritus",Calculations!$C$4,I141))-(SUM('Input and Output'!D$27:D$32))*J140))</f>
        <v>909.19567554377863</v>
      </c>
      <c r="F141" s="49" t="e">
        <f>(('Input and Output'!E$23*'Input and Output'!$B$10)+('Input and Output'!E$24*Calculations!$C$5)+('Input and Output'!E$25*Calculations!$C$6)+('Input and Output'!E$26*(IF('Input and Output'!G$7="Detritus",Calculations!$C$4,J141))-(SUM('Input and Output'!E$27:E$32))*K140))</f>
        <v>#N/A</v>
      </c>
      <c r="H141" s="49">
        <f>IF(H$2="",NA(),C141*$B141+H140)</f>
        <v>103908.44830676344</v>
      </c>
      <c r="I141" s="49">
        <f>IF(I$2="",NA(),D141*$B141+I140)</f>
        <v>1029466.0237291902</v>
      </c>
      <c r="J141" s="49">
        <f>IF(J$2="",NA(),E141*$B141+J140)</f>
        <v>509956.87310721184</v>
      </c>
      <c r="K141" s="49" t="e">
        <f>IF(K$2="",NA(),F141*$B141+K140)</f>
        <v>#N/A</v>
      </c>
    </row>
    <row r="142" spans="1:11" x14ac:dyDescent="0.4">
      <c r="A142" s="49">
        <v>139</v>
      </c>
      <c r="B142" s="49">
        <f>A142/$B$1</f>
        <v>5.791666666666667</v>
      </c>
      <c r="C142" s="49">
        <f>(('Input and Output'!B$23*'Input and Output'!$B$10)+('Input and Output'!B$24*Calculations!$C$5)+('Input and Output'!B$25*Calculations!$C$6)+('Input and Output'!B$26*(IF('Input and Output'!D$7="Detritus",Calculations!$C$4,G142))-(SUM('Input and Output'!B$27:B$32))*H141))</f>
        <v>212.65689280817671</v>
      </c>
      <c r="D142" s="49">
        <f>(('Input and Output'!C$23*'Input and Output'!$B$10)+('Input and Output'!C$24*Calculations!$C$5)+('Input and Output'!C$25*Calculations!$C$6)+('Input and Output'!C$26*(IF('Input and Output'!E$7="Detritus",Calculations!$C$4,H142))-(SUM('Input and Output'!C$27:C$32))*I141))</f>
        <v>1995.0730499473229</v>
      </c>
      <c r="E142" s="49">
        <f>(('Input and Output'!D$23*'Input and Output'!$B$10)+('Input and Output'!D$24*Calculations!$C$5)+('Input and Output'!D$25*Calculations!$C$6)+('Input and Output'!D$26*(IF('Input and Output'!F$7="Detritus",Calculations!$C$4,I142))-(SUM('Input and Output'!D$27:D$32))*J141))</f>
        <v>903.04042864685107</v>
      </c>
      <c r="F142" s="49" t="e">
        <f>(('Input and Output'!E$23*'Input and Output'!$B$10)+('Input and Output'!E$24*Calculations!$C$5)+('Input and Output'!E$25*Calculations!$C$6)+('Input and Output'!E$26*(IF('Input and Output'!G$7="Detritus",Calculations!$C$4,J142))-(SUM('Input and Output'!E$27:E$32))*K141))</f>
        <v>#N/A</v>
      </c>
      <c r="H142" s="49">
        <f>IF(H$2="",NA(),C142*$B142+H141)</f>
        <v>105140.08614427746</v>
      </c>
      <c r="I142" s="49">
        <f>IF(I$2="",NA(),D142*$B142+I141)</f>
        <v>1041020.8218101352</v>
      </c>
      <c r="J142" s="49">
        <f>IF(J$2="",NA(),E142*$B142+J141)</f>
        <v>515186.9822564582</v>
      </c>
      <c r="K142" s="49" t="e">
        <f>IF(K$2="",NA(),F142*$B142+K141)</f>
        <v>#N/A</v>
      </c>
    </row>
    <row r="143" spans="1:11" x14ac:dyDescent="0.4">
      <c r="A143" s="49">
        <v>140</v>
      </c>
      <c r="B143" s="49">
        <f>A143/$B$1</f>
        <v>5.833333333333333</v>
      </c>
      <c r="C143" s="49">
        <f>(('Input and Output'!B$23*'Input and Output'!$B$10)+('Input and Output'!B$24*Calculations!$C$5)+('Input and Output'!B$25*Calculations!$C$6)+('Input and Output'!B$26*(IF('Input and Output'!D$7="Detritus",Calculations!$C$4,G143))-(SUM('Input and Output'!B$27:B$32))*H142))</f>
        <v>211.46945339956915</v>
      </c>
      <c r="D143" s="49">
        <f>(('Input and Output'!C$23*'Input and Output'!$B$10)+('Input and Output'!C$24*Calculations!$C$5)+('Input and Output'!C$25*Calculations!$C$6)+('Input and Output'!C$26*(IF('Input and Output'!E$7="Detritus",Calculations!$C$4,H143))-(SUM('Input and Output'!C$27:C$32))*I142))</f>
        <v>1981.7622518179173</v>
      </c>
      <c r="E143" s="49">
        <f>(('Input and Output'!D$23*'Input and Output'!$B$10)+('Input and Output'!D$24*Calculations!$C$5)+('Input and Output'!D$25*Calculations!$C$6)+('Input and Output'!D$26*(IF('Input and Output'!F$7="Detritus",Calculations!$C$4,I143))-(SUM('Input and Output'!D$27:D$32))*J142))</f>
        <v>896.89605835876864</v>
      </c>
      <c r="F143" s="49" t="e">
        <f>(('Input and Output'!E$23*'Input and Output'!$B$10)+('Input and Output'!E$24*Calculations!$C$5)+('Input and Output'!E$25*Calculations!$C$6)+('Input and Output'!E$26*(IF('Input and Output'!G$7="Detritus",Calculations!$C$4,J143))-(SUM('Input and Output'!E$27:E$32))*K142))</f>
        <v>#N/A</v>
      </c>
      <c r="H143" s="49">
        <f>IF(H$2="",NA(),C143*$B143+H142)</f>
        <v>106373.65795577495</v>
      </c>
      <c r="I143" s="49">
        <f>IF(I$2="",NA(),D143*$B143+I142)</f>
        <v>1052581.1016124063</v>
      </c>
      <c r="J143" s="49">
        <f>IF(J$2="",NA(),E143*$B143+J142)</f>
        <v>520418.87593021768</v>
      </c>
      <c r="K143" s="49" t="e">
        <f>IF(K$2="",NA(),F143*$B143+K142)</f>
        <v>#N/A</v>
      </c>
    </row>
    <row r="144" spans="1:11" x14ac:dyDescent="0.4">
      <c r="A144" s="49">
        <v>141</v>
      </c>
      <c r="B144" s="49">
        <f>A144/$B$1</f>
        <v>5.875</v>
      </c>
      <c r="C144" s="49">
        <f>(('Input and Output'!B$23*'Input and Output'!$B$10)+('Input and Output'!B$24*Calculations!$C$5)+('Input and Output'!B$25*Calculations!$C$6)+('Input and Output'!B$26*(IF('Input and Output'!D$7="Detritus",Calculations!$C$4,G144))-(SUM('Input and Output'!B$27:B$32))*H143))</f>
        <v>210.28014941936982</v>
      </c>
      <c r="D144" s="49">
        <f>(('Input and Output'!C$23*'Input and Output'!$B$10)+('Input and Output'!C$24*Calculations!$C$5)+('Input and Output'!C$25*Calculations!$C$6)+('Input and Output'!C$26*(IF('Input and Output'!E$7="Detritus",Calculations!$C$4,H144))-(SUM('Input and Output'!C$27:C$32))*I143))</f>
        <v>1968.4706815068976</v>
      </c>
      <c r="E144" s="49">
        <f>(('Input and Output'!D$23*'Input and Output'!$B$10)+('Input and Output'!D$24*Calculations!$C$5)+('Input and Output'!D$25*Calculations!$C$6)+('Input and Output'!D$26*(IF('Input and Output'!F$7="Detritus",Calculations!$C$4,I144))-(SUM('Input and Output'!D$27:D$32))*J143))</f>
        <v>890.76302455289988</v>
      </c>
      <c r="F144" s="49" t="e">
        <f>(('Input and Output'!E$23*'Input and Output'!$B$10)+('Input and Output'!E$24*Calculations!$C$5)+('Input and Output'!E$25*Calculations!$C$6)+('Input and Output'!E$26*(IF('Input and Output'!G$7="Detritus",Calculations!$C$4,J144))-(SUM('Input and Output'!E$27:E$32))*K143))</f>
        <v>#N/A</v>
      </c>
      <c r="H144" s="49">
        <f>IF(H$2="",NA(),C144*$B144+H143)</f>
        <v>107609.05383361375</v>
      </c>
      <c r="I144" s="49">
        <f>IF(I$2="",NA(),D144*$B144+I143)</f>
        <v>1064145.8668662594</v>
      </c>
      <c r="J144" s="49">
        <f>IF(J$2="",NA(),E144*$B144+J143)</f>
        <v>525652.10869946599</v>
      </c>
      <c r="K144" s="49" t="e">
        <f>IF(K$2="",NA(),F144*$B144+K143)</f>
        <v>#N/A</v>
      </c>
    </row>
    <row r="145" spans="1:11" x14ac:dyDescent="0.4">
      <c r="A145" s="49">
        <v>142</v>
      </c>
      <c r="B145" s="49">
        <f>A145/$B$1</f>
        <v>5.916666666666667</v>
      </c>
      <c r="C145" s="49">
        <f>(('Input and Output'!B$23*'Input and Output'!$B$10)+('Input and Output'!B$24*Calculations!$C$5)+('Input and Output'!B$25*Calculations!$C$6)+('Input and Output'!B$26*(IF('Input and Output'!D$7="Detritus",Calculations!$C$4,G145))-(SUM('Input and Output'!B$27:B$32))*H144))</f>
        <v>209.08908683108649</v>
      </c>
      <c r="D145" s="49">
        <f>(('Input and Output'!C$23*'Input and Output'!$B$10)+('Input and Output'!C$24*Calculations!$C$5)+('Input and Output'!C$25*Calculations!$C$6)+('Input and Output'!C$26*(IF('Input and Output'!E$7="Detritus",Calculations!$C$4,H145))-(SUM('Input and Output'!C$27:C$32))*I144))</f>
        <v>1955.1994216676426</v>
      </c>
      <c r="E145" s="49">
        <f>(('Input and Output'!D$23*'Input and Output'!$B$10)+('Input and Output'!D$24*Calculations!$C$5)+('Input and Output'!D$25*Calculations!$C$6)+('Input and Output'!D$26*(IF('Input and Output'!F$7="Detritus",Calculations!$C$4,I145))-(SUM('Input and Output'!D$27:D$32))*J144))</f>
        <v>884.64177816736992</v>
      </c>
      <c r="F145" s="49" t="e">
        <f>(('Input and Output'!E$23*'Input and Output'!$B$10)+('Input and Output'!E$24*Calculations!$C$5)+('Input and Output'!E$25*Calculations!$C$6)+('Input and Output'!E$26*(IF('Input and Output'!G$7="Detritus",Calculations!$C$4,J145))-(SUM('Input and Output'!E$27:E$32))*K144))</f>
        <v>#N/A</v>
      </c>
      <c r="H145" s="49">
        <f>IF(H$2="",NA(),C145*$B145+H144)</f>
        <v>108846.16426403102</v>
      </c>
      <c r="I145" s="49">
        <f>IF(I$2="",NA(),D145*$B145+I144)</f>
        <v>1075714.1301111262</v>
      </c>
      <c r="J145" s="49">
        <f>IF(J$2="",NA(),E145*$B145+J144)</f>
        <v>530886.23922028963</v>
      </c>
      <c r="K145" s="49" t="e">
        <f>IF(K$2="",NA(),F145*$B145+K144)</f>
        <v>#N/A</v>
      </c>
    </row>
    <row r="146" spans="1:11" x14ac:dyDescent="0.4">
      <c r="A146" s="49">
        <v>143</v>
      </c>
      <c r="B146" s="49">
        <f>A146/$B$1</f>
        <v>5.958333333333333</v>
      </c>
      <c r="C146" s="49">
        <f>(('Input and Output'!B$23*'Input and Output'!$B$10)+('Input and Output'!B$24*Calculations!$C$5)+('Input and Output'!B$25*Calculations!$C$6)+('Input and Output'!B$26*(IF('Input and Output'!D$7="Detritus",Calculations!$C$4,G146))-(SUM('Input and Output'!B$27:B$32))*H145))</f>
        <v>207.89637121848239</v>
      </c>
      <c r="D146" s="49">
        <f>(('Input and Output'!C$23*'Input and Output'!$B$10)+('Input and Output'!C$24*Calculations!$C$5)+('Input and Output'!C$25*Calculations!$C$6)+('Input and Output'!C$26*(IF('Input and Output'!E$7="Detritus",Calculations!$C$4,H146))-(SUM('Input and Output'!C$27:C$32))*I145))</f>
        <v>1941.9495338537904</v>
      </c>
      <c r="E146" s="49">
        <f>(('Input and Output'!D$23*'Input and Output'!$B$10)+('Input and Output'!D$24*Calculations!$C$5)+('Input and Output'!D$25*Calculations!$C$6)+('Input and Output'!D$26*(IF('Input and Output'!F$7="Detritus",Calculations!$C$4,I146))-(SUM('Input and Output'!D$27:D$32))*J145))</f>
        <v>878.53276123087926</v>
      </c>
      <c r="F146" s="49" t="e">
        <f>(('Input and Output'!E$23*'Input and Output'!$B$10)+('Input and Output'!E$24*Calculations!$C$5)+('Input and Output'!E$25*Calculations!$C$6)+('Input and Output'!E$26*(IF('Input and Output'!G$7="Detritus",Calculations!$C$4,J146))-(SUM('Input and Output'!E$27:E$32))*K145))</f>
        <v>#N/A</v>
      </c>
      <c r="H146" s="49">
        <f>IF(H$2="",NA(),C146*$B146+H145)</f>
        <v>110084.88014254114</v>
      </c>
      <c r="I146" s="49">
        <f>IF(I$2="",NA(),D146*$B146+I145)</f>
        <v>1087284.9127503384</v>
      </c>
      <c r="J146" s="49">
        <f>IF(J$2="",NA(),E146*$B146+J145)</f>
        <v>536120.83025595697</v>
      </c>
      <c r="K146" s="49" t="e">
        <f>IF(K$2="",NA(),F146*$B146+K145)</f>
        <v>#N/A</v>
      </c>
    </row>
    <row r="147" spans="1:11" x14ac:dyDescent="0.4">
      <c r="A147" s="49">
        <v>144</v>
      </c>
      <c r="B147" s="49">
        <f>A147/$B$1</f>
        <v>6</v>
      </c>
      <c r="C147" s="49">
        <f>(('Input and Output'!B$23*'Input and Output'!$B$10)+('Input and Output'!B$24*Calculations!$C$5)+('Input and Output'!B$25*Calculations!$C$6)+('Input and Output'!B$26*(IF('Input and Output'!D$7="Detritus",Calculations!$C$4,G147))-(SUM('Input and Output'!B$27:B$32))*H146))</f>
        <v>206.70210777073078</v>
      </c>
      <c r="D147" s="49">
        <f>(('Input and Output'!C$23*'Input and Output'!$B$10)+('Input and Output'!C$24*Calculations!$C$5)+('Input and Output'!C$25*Calculations!$C$6)+('Input and Output'!C$26*(IF('Input and Output'!E$7="Detritus",Calculations!$C$4,H147))-(SUM('Input and Output'!C$27:C$32))*I146))</f>
        <v>1928.7220586497479</v>
      </c>
      <c r="E147" s="49">
        <f>(('Input and Output'!D$23*'Input and Output'!$B$10)+('Input and Output'!D$24*Calculations!$C$5)+('Input and Output'!D$25*Calculations!$C$6)+('Input and Output'!D$26*(IF('Input and Output'!F$7="Detritus",Calculations!$C$4,I147))-(SUM('Input and Output'!D$27:D$32))*J146))</f>
        <v>872.43640689450331</v>
      </c>
      <c r="F147" s="49" t="e">
        <f>(('Input and Output'!E$23*'Input and Output'!$B$10)+('Input and Output'!E$24*Calculations!$C$5)+('Input and Output'!E$25*Calculations!$C$6)+('Input and Output'!E$26*(IF('Input and Output'!G$7="Detritus",Calculations!$C$4,J147))-(SUM('Input and Output'!E$27:E$32))*K146))</f>
        <v>#N/A</v>
      </c>
      <c r="H147" s="49">
        <f>IF(H$2="",NA(),C147*$B147+H146)</f>
        <v>111325.09278916552</v>
      </c>
      <c r="I147" s="49">
        <f>IF(I$2="",NA(),D147*$B147+I146)</f>
        <v>1098857.245102237</v>
      </c>
      <c r="J147" s="49">
        <f>IF(J$2="",NA(),E147*$B147+J146)</f>
        <v>541355.44869732403</v>
      </c>
      <c r="K147" s="49" t="e">
        <f>IF(K$2="",NA(),F147*$B147+K146)</f>
        <v>#N/A</v>
      </c>
    </row>
    <row r="148" spans="1:11" x14ac:dyDescent="0.4">
      <c r="A148" s="49">
        <v>145</v>
      </c>
      <c r="B148" s="49">
        <f>A148/$B$1</f>
        <v>6.041666666666667</v>
      </c>
      <c r="C148" s="49">
        <f>(('Input and Output'!B$23*'Input and Output'!$B$10)+('Input and Output'!B$24*Calculations!$C$5)+('Input and Output'!B$25*Calculations!$C$6)+('Input and Output'!B$26*(IF('Input and Output'!D$7="Detritus",Calculations!$C$4,G148))-(SUM('Input and Output'!B$27:B$32))*H147))</f>
        <v>205.50640126773166</v>
      </c>
      <c r="D148" s="49">
        <f>(('Input and Output'!C$23*'Input and Output'!$B$10)+('Input and Output'!C$24*Calculations!$C$5)+('Input and Output'!C$25*Calculations!$C$6)+('Input and Output'!C$26*(IF('Input and Output'!E$7="Detritus",Calculations!$C$4,H148))-(SUM('Input and Output'!C$27:C$32))*I147))</f>
        <v>1915.5180158097992</v>
      </c>
      <c r="E148" s="49">
        <f>(('Input and Output'!D$23*'Input and Output'!$B$10)+('Input and Output'!D$24*Calculations!$C$5)+('Input and Output'!D$25*Calculations!$C$6)+('Input and Output'!D$26*(IF('Input and Output'!F$7="Detritus",Calculations!$C$4,I148))-(SUM('Input and Output'!D$27:D$32))*J147))</f>
        <v>866.35313946924725</v>
      </c>
      <c r="F148" s="49" t="e">
        <f>(('Input and Output'!E$23*'Input and Output'!$B$10)+('Input and Output'!E$24*Calculations!$C$5)+('Input and Output'!E$25*Calculations!$C$6)+('Input and Output'!E$26*(IF('Input and Output'!G$7="Detritus",Calculations!$C$4,J148))-(SUM('Input and Output'!E$27:E$32))*K147))</f>
        <v>#N/A</v>
      </c>
      <c r="H148" s="49">
        <f>IF(H$2="",NA(),C148*$B148+H147)</f>
        <v>112566.6939634914</v>
      </c>
      <c r="I148" s="49">
        <f>IF(I$2="",NA(),D148*$B148+I147)</f>
        <v>1110430.1664477545</v>
      </c>
      <c r="J148" s="49">
        <f>IF(J$2="",NA(),E148*$B148+J147)</f>
        <v>546589.66558161739</v>
      </c>
      <c r="K148" s="49" t="e">
        <f>IF(K$2="",NA(),F148*$B148+K147)</f>
        <v>#N/A</v>
      </c>
    </row>
    <row r="149" spans="1:11" x14ac:dyDescent="0.4">
      <c r="A149" s="49">
        <v>146</v>
      </c>
      <c r="B149" s="49">
        <f>A149/$B$1</f>
        <v>6.083333333333333</v>
      </c>
      <c r="C149" s="49">
        <f>(('Input and Output'!B$23*'Input and Output'!$B$10)+('Input and Output'!B$24*Calculations!$C$5)+('Input and Output'!B$25*Calculations!$C$6)+('Input and Output'!B$26*(IF('Input and Output'!D$7="Detritus",Calculations!$C$4,G149))-(SUM('Input and Output'!B$27:B$32))*H148))</f>
        <v>204.30935606559348</v>
      </c>
      <c r="D149" s="49">
        <f>(('Input and Output'!C$23*'Input and Output'!$B$10)+('Input and Output'!C$24*Calculations!$C$5)+('Input and Output'!C$25*Calculations!$C$6)+('Input and Output'!C$26*(IF('Input and Output'!E$7="Detritus",Calculations!$C$4,H149))-(SUM('Input and Output'!C$27:C$32))*I148))</f>
        <v>1902.3384044054619</v>
      </c>
      <c r="E149" s="49">
        <f>(('Input and Output'!D$23*'Input and Output'!$B$10)+('Input and Output'!D$24*Calculations!$C$5)+('Input and Output'!D$25*Calculations!$C$6)+('Input and Output'!D$26*(IF('Input and Output'!F$7="Detritus",Calculations!$C$4,I149))-(SUM('Input and Output'!D$27:D$32))*J148))</f>
        <v>860.28337446909791</v>
      </c>
      <c r="F149" s="49" t="e">
        <f>(('Input and Output'!E$23*'Input and Output'!$B$10)+('Input and Output'!E$24*Calculations!$C$5)+('Input and Output'!E$25*Calculations!$C$6)+('Input and Output'!E$26*(IF('Input and Output'!G$7="Detritus",Calculations!$C$4,J149))-(SUM('Input and Output'!E$27:E$32))*K148))</f>
        <v>#N/A</v>
      </c>
      <c r="H149" s="49">
        <f>IF(H$2="",NA(),C149*$B149+H148)</f>
        <v>113809.5758795571</v>
      </c>
      <c r="I149" s="49">
        <f>IF(I$2="",NA(),D149*$B149+I148)</f>
        <v>1122002.7250745543</v>
      </c>
      <c r="J149" s="49">
        <f>IF(J$2="",NA(),E149*$B149+J148)</f>
        <v>551823.05610963772</v>
      </c>
      <c r="K149" s="49" t="e">
        <f>IF(K$2="",NA(),F149*$B149+K148)</f>
        <v>#N/A</v>
      </c>
    </row>
    <row r="150" spans="1:11" x14ac:dyDescent="0.4">
      <c r="A150" s="49">
        <v>147</v>
      </c>
      <c r="B150" s="49">
        <f>A150/$B$1</f>
        <v>6.125</v>
      </c>
      <c r="C150" s="49">
        <f>(('Input and Output'!B$23*'Input and Output'!$B$10)+('Input and Output'!B$24*Calculations!$C$5)+('Input and Output'!B$25*Calculations!$C$6)+('Input and Output'!B$26*(IF('Input and Output'!D$7="Detritus",Calculations!$C$4,G150))-(SUM('Input and Output'!B$27:B$32))*H149))</f>
        <v>203.11107608228201</v>
      </c>
      <c r="D150" s="49">
        <f>(('Input and Output'!C$23*'Input and Output'!$B$10)+('Input and Output'!C$24*Calculations!$C$5)+('Input and Output'!C$25*Calculations!$C$6)+('Input and Output'!C$26*(IF('Input and Output'!E$7="Detritus",Calculations!$C$4,H150))-(SUM('Input and Output'!C$27:C$32))*I149))</f>
        <v>1889.1842029807544</v>
      </c>
      <c r="E150" s="49">
        <f>(('Input and Output'!D$23*'Input and Output'!$B$10)+('Input and Output'!D$24*Calculations!$C$5)+('Input and Output'!D$25*Calculations!$C$6)+('Input and Output'!D$26*(IF('Input and Output'!F$7="Detritus",Calculations!$C$4,I150))-(SUM('Input and Output'!D$27:D$32))*J149))</f>
        <v>854.22751865924147</v>
      </c>
      <c r="F150" s="49" t="e">
        <f>(('Input and Output'!E$23*'Input and Output'!$B$10)+('Input and Output'!E$24*Calculations!$C$5)+('Input and Output'!E$25*Calculations!$C$6)+('Input and Output'!E$26*(IF('Input and Output'!G$7="Detritus",Calculations!$C$4,J150))-(SUM('Input and Output'!E$27:E$32))*K149))</f>
        <v>#N/A</v>
      </c>
      <c r="H150" s="49">
        <f>IF(H$2="",NA(),C150*$B150+H149)</f>
        <v>115053.63122056107</v>
      </c>
      <c r="I150" s="49">
        <f>IF(I$2="",NA(),D150*$B150+I149)</f>
        <v>1133573.9783178114</v>
      </c>
      <c r="J150" s="49">
        <f>IF(J$2="",NA(),E150*$B150+J149)</f>
        <v>557055.19966142555</v>
      </c>
      <c r="K150" s="49" t="e">
        <f>IF(K$2="",NA(),F150*$B150+K149)</f>
        <v>#N/A</v>
      </c>
    </row>
    <row r="151" spans="1:11" x14ac:dyDescent="0.4">
      <c r="A151" s="49">
        <v>148</v>
      </c>
      <c r="B151" s="49">
        <f>A151/$B$1</f>
        <v>6.166666666666667</v>
      </c>
      <c r="C151" s="49">
        <f>(('Input and Output'!B$23*'Input and Output'!$B$10)+('Input and Output'!B$24*Calculations!$C$5)+('Input and Output'!B$25*Calculations!$C$6)+('Input and Output'!B$26*(IF('Input and Output'!D$7="Detritus",Calculations!$C$4,G151))-(SUM('Input and Output'!B$27:B$32))*H150))</f>
        <v>201.91166478343905</v>
      </c>
      <c r="D151" s="49">
        <f>(('Input and Output'!C$23*'Input and Output'!$B$10)+('Input and Output'!C$24*Calculations!$C$5)+('Input and Output'!C$25*Calculations!$C$6)+('Input and Output'!C$26*(IF('Input and Output'!E$7="Detritus",Calculations!$C$4,H151))-(SUM('Input and Output'!C$27:C$32))*I150))</f>
        <v>1876.0563697150419</v>
      </c>
      <c r="E151" s="49">
        <f>(('Input and Output'!D$23*'Input and Output'!$B$10)+('Input and Output'!D$24*Calculations!$C$5)+('Input and Output'!D$25*Calculations!$C$6)+('Input and Output'!D$26*(IF('Input and Output'!F$7="Detritus",Calculations!$C$4,I151))-(SUM('Input and Output'!D$27:D$32))*J150))</f>
        <v>848.18597010916346</v>
      </c>
      <c r="F151" s="49" t="e">
        <f>(('Input and Output'!E$23*'Input and Output'!$B$10)+('Input and Output'!E$24*Calculations!$C$5)+('Input and Output'!E$25*Calculations!$C$6)+('Input and Output'!E$26*(IF('Input and Output'!G$7="Detritus",Calculations!$C$4,J151))-(SUM('Input and Output'!E$27:E$32))*K150))</f>
        <v>#N/A</v>
      </c>
      <c r="H151" s="49">
        <f>IF(H$2="",NA(),C151*$B151+H150)</f>
        <v>116298.75315339229</v>
      </c>
      <c r="I151" s="49">
        <f>IF(I$2="",NA(),D151*$B151+I150)</f>
        <v>1145142.9925977208</v>
      </c>
      <c r="J151" s="49">
        <f>IF(J$2="",NA(),E151*$B151+J150)</f>
        <v>562285.67981043202</v>
      </c>
      <c r="K151" s="49" t="e">
        <f>IF(K$2="",NA(),F151*$B151+K150)</f>
        <v>#N/A</v>
      </c>
    </row>
    <row r="152" spans="1:11" x14ac:dyDescent="0.4">
      <c r="A152" s="49">
        <v>149</v>
      </c>
      <c r="B152" s="49">
        <f>A152/$B$1</f>
        <v>6.208333333333333</v>
      </c>
      <c r="C152" s="49">
        <f>(('Input and Output'!B$23*'Input and Output'!$B$10)+('Input and Output'!B$24*Calculations!$C$5)+('Input and Output'!B$25*Calculations!$C$6)+('Input and Output'!B$26*(IF('Input and Output'!D$7="Detritus",Calculations!$C$4,G152))-(SUM('Input and Output'!B$27:B$32))*H151))</f>
        <v>200.71122516837357</v>
      </c>
      <c r="D152" s="49">
        <f>(('Input and Output'!C$23*'Input and Output'!$B$10)+('Input and Output'!C$24*Calculations!$C$5)+('Input and Output'!C$25*Calculations!$C$6)+('Input and Output'!C$26*(IF('Input and Output'!E$7="Detritus",Calculations!$C$4,H152))-(SUM('Input and Output'!C$27:C$32))*I151))</f>
        <v>1862.9558425931127</v>
      </c>
      <c r="E152" s="49">
        <f>(('Input and Output'!D$23*'Input and Output'!$B$10)+('Input and Output'!D$24*Calculations!$C$5)+('Input and Output'!D$25*Calculations!$C$6)+('Input and Output'!D$26*(IF('Input and Output'!F$7="Detritus",Calculations!$C$4,I152))-(SUM('Input and Output'!D$27:D$32))*J151))</f>
        <v>842.15911825052899</v>
      </c>
      <c r="F152" s="49" t="e">
        <f>(('Input and Output'!E$23*'Input and Output'!$B$10)+('Input and Output'!E$24*Calculations!$C$5)+('Input and Output'!E$25*Calculations!$C$6)+('Input and Output'!E$26*(IF('Input and Output'!G$7="Detritus",Calculations!$C$4,J152))-(SUM('Input and Output'!E$27:E$32))*K151))</f>
        <v>#N/A</v>
      </c>
      <c r="H152" s="49">
        <f>IF(H$2="",NA(),C152*$B152+H151)</f>
        <v>117544.83534297928</v>
      </c>
      <c r="I152" s="49">
        <f>IF(I$2="",NA(),D152*$B152+I151)</f>
        <v>1156708.8434538196</v>
      </c>
      <c r="J152" s="49">
        <f>IF(J$2="",NA(),E152*$B152+J151)</f>
        <v>567514.0843362374</v>
      </c>
      <c r="K152" s="49" t="e">
        <f>IF(K$2="",NA(),F152*$B152+K151)</f>
        <v>#N/A</v>
      </c>
    </row>
    <row r="153" spans="1:11" x14ac:dyDescent="0.4">
      <c r="A153" s="49">
        <v>150</v>
      </c>
      <c r="B153" s="49">
        <f>A153/$B$1</f>
        <v>6.25</v>
      </c>
      <c r="C153" s="49">
        <f>(('Input and Output'!B$23*'Input and Output'!$B$10)+('Input and Output'!B$24*Calculations!$C$5)+('Input and Output'!B$25*Calculations!$C$6)+('Input and Output'!B$26*(IF('Input and Output'!D$7="Detritus",Calculations!$C$4,G153))-(SUM('Input and Output'!B$27:B$32))*H152))</f>
        <v>199.50985975622763</v>
      </c>
      <c r="D153" s="49">
        <f>(('Input and Output'!C$23*'Input and Output'!$B$10)+('Input and Output'!C$24*Calculations!$C$5)+('Input and Output'!C$25*Calculations!$C$6)+('Input and Output'!C$26*(IF('Input and Output'!E$7="Detritus",Calculations!$C$4,H153))-(SUM('Input and Output'!C$27:C$32))*I152))</f>
        <v>1849.8835395821634</v>
      </c>
      <c r="E153" s="49">
        <f>(('Input and Output'!D$23*'Input and Output'!$B$10)+('Input and Output'!D$24*Calculations!$C$5)+('Input and Output'!D$25*Calculations!$C$6)+('Input and Output'!D$26*(IF('Input and Output'!F$7="Detritus",Calculations!$C$4,I153))-(SUM('Input and Output'!D$27:D$32))*J152))</f>
        <v>836.14734393938852</v>
      </c>
      <c r="F153" s="49" t="e">
        <f>(('Input and Output'!E$23*'Input and Output'!$B$10)+('Input and Output'!E$24*Calculations!$C$5)+('Input and Output'!E$25*Calculations!$C$6)+('Input and Output'!E$26*(IF('Input and Output'!G$7="Detritus",Calculations!$C$4,J153))-(SUM('Input and Output'!E$27:E$32))*K152))</f>
        <v>#N/A</v>
      </c>
      <c r="H153" s="49">
        <f>IF(H$2="",NA(),C153*$B153+H152)</f>
        <v>118791.77196645569</v>
      </c>
      <c r="I153" s="49">
        <f>IF(I$2="",NA(),D153*$B153+I152)</f>
        <v>1168270.6155762081</v>
      </c>
      <c r="J153" s="49">
        <f>IF(J$2="",NA(),E153*$B153+J152)</f>
        <v>572740.00523585861</v>
      </c>
      <c r="K153" s="49" t="e">
        <f>IF(K$2="",NA(),F153*$B153+K152)</f>
        <v>#N/A</v>
      </c>
    </row>
    <row r="154" spans="1:11" x14ac:dyDescent="0.4">
      <c r="A154" s="49">
        <v>151</v>
      </c>
      <c r="B154" s="49">
        <f>A154/$B$1</f>
        <v>6.291666666666667</v>
      </c>
      <c r="C154" s="49">
        <f>(('Input and Output'!B$23*'Input and Output'!$B$10)+('Input and Output'!B$24*Calculations!$C$5)+('Input and Output'!B$25*Calculations!$C$6)+('Input and Output'!B$26*(IF('Input and Output'!D$7="Detritus",Calculations!$C$4,G154))-(SUM('Input and Output'!B$27:B$32))*H153))</f>
        <v>198.30767057231901</v>
      </c>
      <c r="D154" s="49">
        <f>(('Input and Output'!C$23*'Input and Output'!$B$10)+('Input and Output'!C$24*Calculations!$C$5)+('Input and Output'!C$25*Calculations!$C$6)+('Input and Output'!C$26*(IF('Input and Output'!E$7="Detritus",Calculations!$C$4,H154))-(SUM('Input and Output'!C$27:C$32))*I153))</f>
        <v>1836.8403588153369</v>
      </c>
      <c r="E154" s="49">
        <f>(('Input and Output'!D$23*'Input and Output'!$B$10)+('Input and Output'!D$24*Calculations!$C$5)+('Input and Output'!D$25*Calculations!$C$6)+('Input and Output'!D$26*(IF('Input and Output'!F$7="Detritus",Calculations!$C$4,I154))-(SUM('Input and Output'!D$27:D$32))*J153))</f>
        <v>830.15101952265468</v>
      </c>
      <c r="F154" s="49" t="e">
        <f>(('Input and Output'!E$23*'Input and Output'!$B$10)+('Input and Output'!E$24*Calculations!$C$5)+('Input and Output'!E$25*Calculations!$C$6)+('Input and Output'!E$26*(IF('Input and Output'!G$7="Detritus",Calculations!$C$4,J154))-(SUM('Input and Output'!E$27:E$32))*K153))</f>
        <v>#N/A</v>
      </c>
      <c r="H154" s="49">
        <f>IF(H$2="",NA(),C154*$B154+H153)</f>
        <v>120039.45772713987</v>
      </c>
      <c r="I154" s="49">
        <f>IF(I$2="",NA(),D154*$B154+I153)</f>
        <v>1179827.4028337547</v>
      </c>
      <c r="J154" s="49">
        <f>IF(J$2="",NA(),E154*$B154+J153)</f>
        <v>577963.03873368865</v>
      </c>
      <c r="K154" s="49" t="e">
        <f>IF(K$2="",NA(),F154*$B154+K153)</f>
        <v>#N/A</v>
      </c>
    </row>
    <row r="155" spans="1:11" x14ac:dyDescent="0.4">
      <c r="A155" s="49">
        <v>152</v>
      </c>
      <c r="B155" s="49">
        <f>A155/$B$1</f>
        <v>6.333333333333333</v>
      </c>
      <c r="C155" s="49">
        <f>(('Input and Output'!B$23*'Input and Output'!$B$10)+('Input and Output'!B$24*Calculations!$C$5)+('Input and Output'!B$25*Calculations!$C$6)+('Input and Output'!B$26*(IF('Input and Output'!D$7="Detritus",Calculations!$C$4,G155))-(SUM('Input and Output'!B$27:B$32))*H154))</f>
        <v>197.10475913466354</v>
      </c>
      <c r="D155" s="49">
        <f>(('Input and Output'!C$23*'Input and Output'!$B$10)+('Input and Output'!C$24*Calculations!$C$5)+('Input and Output'!C$25*Calculations!$C$6)+('Input and Output'!C$26*(IF('Input and Output'!E$7="Detritus",Calculations!$C$4,H155))-(SUM('Input and Output'!C$27:C$32))*I154))</f>
        <v>1823.8271787814997</v>
      </c>
      <c r="E155" s="49">
        <f>(('Input and Output'!D$23*'Input and Output'!$B$10)+('Input and Output'!D$24*Calculations!$C$5)+('Input and Output'!D$25*Calculations!$C$6)+('Input and Output'!D$26*(IF('Input and Output'!F$7="Detritus",Calculations!$C$4,I155))-(SUM('Input and Output'!D$27:D$32))*J154))</f>
        <v>824.17050890847531</v>
      </c>
      <c r="F155" s="49" t="e">
        <f>(('Input and Output'!E$23*'Input and Output'!$B$10)+('Input and Output'!E$24*Calculations!$C$5)+('Input and Output'!E$25*Calculations!$C$6)+('Input and Output'!E$26*(IF('Input and Output'!G$7="Detritus",Calculations!$C$4,J155))-(SUM('Input and Output'!E$27:E$32))*K154))</f>
        <v>#N/A</v>
      </c>
      <c r="H155" s="49">
        <f>IF(H$2="",NA(),C155*$B155+H154)</f>
        <v>121287.78786832608</v>
      </c>
      <c r="I155" s="49">
        <f>IF(I$2="",NA(),D155*$B155+I154)</f>
        <v>1191378.3082993708</v>
      </c>
      <c r="J155" s="49">
        <f>IF(J$2="",NA(),E155*$B155+J154)</f>
        <v>583182.78529010899</v>
      </c>
      <c r="K155" s="49" t="e">
        <f>IF(K$2="",NA(),F155*$B155+K154)</f>
        <v>#N/A</v>
      </c>
    </row>
    <row r="156" spans="1:11" x14ac:dyDescent="0.4">
      <c r="A156" s="49">
        <v>153</v>
      </c>
      <c r="B156" s="49">
        <f>A156/$B$1</f>
        <v>6.375</v>
      </c>
      <c r="C156" s="49">
        <f>(('Input and Output'!B$23*'Input and Output'!$B$10)+('Input and Output'!B$24*Calculations!$C$5)+('Input and Output'!B$25*Calculations!$C$6)+('Input and Output'!B$26*(IF('Input and Output'!D$7="Detritus",Calculations!$C$4,G156))-(SUM('Input and Output'!B$27:B$32))*H155))</f>
        <v>195.9012264406785</v>
      </c>
      <c r="D156" s="49">
        <f>(('Input and Output'!C$23*'Input and Output'!$B$10)+('Input and Output'!C$24*Calculations!$C$5)+('Input and Output'!C$25*Calculations!$C$6)+('Input and Output'!C$26*(IF('Input and Output'!E$7="Detritus",Calculations!$C$4,H156))-(SUM('Input and Output'!C$27:C$32))*I155))</f>
        <v>1810.8448585209153</v>
      </c>
      <c r="E156" s="49">
        <f>(('Input and Output'!D$23*'Input and Output'!$B$10)+('Input and Output'!D$24*Calculations!$C$5)+('Input and Output'!D$25*Calculations!$C$6)+('Input and Output'!D$26*(IF('Input and Output'!F$7="Detritus",Calculations!$C$4,I156))-(SUM('Input and Output'!D$27:D$32))*J155))</f>
        <v>818.20616764039005</v>
      </c>
      <c r="F156" s="49" t="e">
        <f>(('Input and Output'!E$23*'Input and Output'!$B$10)+('Input and Output'!E$24*Calculations!$C$5)+('Input and Output'!E$25*Calculations!$C$6)+('Input and Output'!E$26*(IF('Input and Output'!G$7="Detritus",Calculations!$C$4,J156))-(SUM('Input and Output'!E$27:E$32))*K155))</f>
        <v>#N/A</v>
      </c>
      <c r="H156" s="49">
        <f>IF(H$2="",NA(),C156*$B156+H155)</f>
        <v>122536.6581868854</v>
      </c>
      <c r="I156" s="49">
        <f>IF(I$2="",NA(),D156*$B156+I155)</f>
        <v>1202922.4442724416</v>
      </c>
      <c r="J156" s="49">
        <f>IF(J$2="",NA(),E156*$B156+J155)</f>
        <v>588398.84960881644</v>
      </c>
      <c r="K156" s="49" t="e">
        <f>IF(K$2="",NA(),F156*$B156+K155)</f>
        <v>#N/A</v>
      </c>
    </row>
    <row r="157" spans="1:11" x14ac:dyDescent="0.4">
      <c r="A157" s="49">
        <v>154</v>
      </c>
      <c r="B157" s="49">
        <f>A157/$B$1</f>
        <v>6.416666666666667</v>
      </c>
      <c r="C157" s="49">
        <f>(('Input and Output'!B$23*'Input and Output'!$B$10)+('Input and Output'!B$24*Calculations!$C$5)+('Input and Output'!B$25*Calculations!$C$6)+('Input and Output'!B$26*(IF('Input and Output'!D$7="Detritus",Calculations!$C$4,G157))-(SUM('Input and Output'!B$27:B$32))*H156))</f>
        <v>194.69717295407008</v>
      </c>
      <c r="D157" s="49">
        <f>(('Input and Output'!C$23*'Input and Output'!$B$10)+('Input and Output'!C$24*Calculations!$C$5)+('Input and Output'!C$25*Calculations!$C$6)+('Input and Output'!C$26*(IF('Input and Output'!E$7="Detritus",Calculations!$C$4,H157))-(SUM('Input and Output'!C$27:C$32))*I156))</f>
        <v>1797.8942378264846</v>
      </c>
      <c r="E157" s="49">
        <f>(('Input and Output'!D$23*'Input and Output'!$B$10)+('Input and Output'!D$24*Calculations!$C$5)+('Input and Output'!D$25*Calculations!$C$6)+('Input and Output'!D$26*(IF('Input and Output'!F$7="Detritus",Calculations!$C$4,I157))-(SUM('Input and Output'!D$27:D$32))*J156))</f>
        <v>812.25834297499387</v>
      </c>
      <c r="F157" s="49" t="e">
        <f>(('Input and Output'!E$23*'Input and Output'!$B$10)+('Input and Output'!E$24*Calculations!$C$5)+('Input and Output'!E$25*Calculations!$C$6)+('Input and Output'!E$26*(IF('Input and Output'!G$7="Detritus",Calculations!$C$4,J157))-(SUM('Input and Output'!E$27:E$32))*K156))</f>
        <v>#N/A</v>
      </c>
      <c r="H157" s="49">
        <f>IF(H$2="",NA(),C157*$B157+H156)</f>
        <v>123785.96504667401</v>
      </c>
      <c r="I157" s="49">
        <f>IF(I$2="",NA(),D157*$B157+I156)</f>
        <v>1214458.9322984947</v>
      </c>
      <c r="J157" s="49">
        <f>IF(J$2="",NA(),E157*$B157+J156)</f>
        <v>593610.84064290603</v>
      </c>
      <c r="K157" s="49" t="e">
        <f>IF(K$2="",NA(),F157*$B157+K156)</f>
        <v>#N/A</v>
      </c>
    </row>
    <row r="158" spans="1:11" x14ac:dyDescent="0.4">
      <c r="A158" s="49">
        <v>155</v>
      </c>
      <c r="B158" s="49">
        <f>A158/$B$1</f>
        <v>6.458333333333333</v>
      </c>
      <c r="C158" s="49">
        <f>(('Input and Output'!B$23*'Input and Output'!$B$10)+('Input and Output'!B$24*Calculations!$C$5)+('Input and Output'!B$25*Calculations!$C$6)+('Input and Output'!B$26*(IF('Input and Output'!D$7="Detritus",Calculations!$C$4,G158))-(SUM('Input and Output'!B$27:B$32))*H157))</f>
        <v>193.49269859190608</v>
      </c>
      <c r="D158" s="49">
        <f>(('Input and Output'!C$23*'Input and Output'!$B$10)+('Input and Output'!C$24*Calculations!$C$5)+('Input and Output'!C$25*Calculations!$C$6)+('Input and Output'!C$26*(IF('Input and Output'!E$7="Detritus",Calculations!$C$4,H158))-(SUM('Input and Output'!C$27:C$32))*I157))</f>
        <v>1784.9761374502273</v>
      </c>
      <c r="E158" s="49">
        <f>(('Input and Output'!D$23*'Input and Output'!$B$10)+('Input and Output'!D$24*Calculations!$C$5)+('Input and Output'!D$25*Calculations!$C$6)+('Input and Output'!D$26*(IF('Input and Output'!F$7="Detritus",Calculations!$C$4,I158))-(SUM('Input and Output'!D$27:D$32))*J157))</f>
        <v>806.32737396285665</v>
      </c>
      <c r="F158" s="49" t="e">
        <f>(('Input and Output'!E$23*'Input and Output'!$B$10)+('Input and Output'!E$24*Calculations!$C$5)+('Input and Output'!E$25*Calculations!$C$6)+('Input and Output'!E$26*(IF('Input and Output'!G$7="Detritus",Calculations!$C$4,J158))-(SUM('Input and Output'!E$27:E$32))*K157))</f>
        <v>#N/A</v>
      </c>
      <c r="H158" s="49">
        <f>IF(H$2="",NA(),C158*$B158+H157)</f>
        <v>125035.60539174674</v>
      </c>
      <c r="I158" s="49">
        <f>IF(I$2="",NA(),D158*$B158+I157)</f>
        <v>1225986.9031861941</v>
      </c>
      <c r="J158" s="49">
        <f>IF(J$2="",NA(),E158*$B158+J157)</f>
        <v>598818.37159974943</v>
      </c>
      <c r="K158" s="49" t="e">
        <f>IF(K$2="",NA(),F158*$B158+K157)</f>
        <v>#N/A</v>
      </c>
    </row>
    <row r="159" spans="1:11" x14ac:dyDescent="0.4">
      <c r="A159" s="49">
        <v>156</v>
      </c>
      <c r="B159" s="49">
        <f>A159/$B$1</f>
        <v>6.5</v>
      </c>
      <c r="C159" s="49">
        <f>(('Input and Output'!B$23*'Input and Output'!$B$10)+('Input and Output'!B$24*Calculations!$C$5)+('Input and Output'!B$25*Calculations!$C$6)+('Input and Output'!B$26*(IF('Input and Output'!D$7="Detritus",Calculations!$C$4,G159))-(SUM('Input and Output'!B$27:B$32))*H158))</f>
        <v>192.2879027118766</v>
      </c>
      <c r="D159" s="49">
        <f>(('Input and Output'!C$23*'Input and Output'!$B$10)+('Input and Output'!C$24*Calculations!$C$5)+('Input and Output'!C$25*Calculations!$C$6)+('Input and Output'!C$26*(IF('Input and Output'!E$7="Detritus",Calculations!$C$4,H159))-(SUM('Input and Output'!C$27:C$32))*I158))</f>
        <v>1772.0913593146902</v>
      </c>
      <c r="E159" s="49">
        <f>(('Input and Output'!D$23*'Input and Output'!$B$10)+('Input and Output'!D$24*Calculations!$C$5)+('Input and Output'!D$25*Calculations!$C$6)+('Input and Output'!D$26*(IF('Input and Output'!F$7="Detritus",Calculations!$C$4,I159))-(SUM('Input and Output'!D$27:D$32))*J158))</f>
        <v>800.41359153260055</v>
      </c>
      <c r="F159" s="49" t="e">
        <f>(('Input and Output'!E$23*'Input and Output'!$B$10)+('Input and Output'!E$24*Calculations!$C$5)+('Input and Output'!E$25*Calculations!$C$6)+('Input and Output'!E$26*(IF('Input and Output'!G$7="Detritus",Calculations!$C$4,J159))-(SUM('Input and Output'!E$27:E$32))*K158))</f>
        <v>#N/A</v>
      </c>
      <c r="H159" s="49">
        <f>IF(H$2="",NA(),C159*$B159+H158)</f>
        <v>126285.47675937394</v>
      </c>
      <c r="I159" s="49">
        <f>IF(I$2="",NA(),D159*$B159+I158)</f>
        <v>1237505.4970217396</v>
      </c>
      <c r="J159" s="49">
        <f>IF(J$2="",NA(),E159*$B159+J158)</f>
        <v>604021.05994471128</v>
      </c>
      <c r="K159" s="49" t="e">
        <f>IF(K$2="",NA(),F159*$B159+K158)</f>
        <v>#N/A</v>
      </c>
    </row>
    <row r="160" spans="1:11" x14ac:dyDescent="0.4">
      <c r="A160" s="49">
        <v>157</v>
      </c>
      <c r="B160" s="49">
        <f>A160/$B$1</f>
        <v>6.541666666666667</v>
      </c>
      <c r="C160" s="49">
        <f>(('Input and Output'!B$23*'Input and Output'!$B$10)+('Input and Output'!B$24*Calculations!$C$5)+('Input and Output'!B$25*Calculations!$C$6)+('Input and Output'!B$26*(IF('Input and Output'!D$7="Detritus",Calculations!$C$4,G160))-(SUM('Input and Output'!B$27:B$32))*H159))</f>
        <v>191.08288409974432</v>
      </c>
      <c r="D160" s="49">
        <f>(('Input and Output'!C$23*'Input and Output'!$B$10)+('Input and Output'!C$24*Calculations!$C$5)+('Input and Output'!C$25*Calculations!$C$6)+('Input and Output'!C$26*(IF('Input and Output'!E$7="Detritus",Calculations!$C$4,H160))-(SUM('Input and Output'!C$27:C$32))*I159))</f>
        <v>1759.2406867289455</v>
      </c>
      <c r="E160" s="49">
        <f>(('Input and Output'!D$23*'Input and Output'!$B$10)+('Input and Output'!D$24*Calculations!$C$5)+('Input and Output'!D$25*Calculations!$C$6)+('Input and Output'!D$26*(IF('Input and Output'!F$7="Detritus",Calculations!$C$4,I160))-(SUM('Input and Output'!D$27:D$32))*J159))</f>
        <v>794.51731857784398</v>
      </c>
      <c r="F160" s="49" t="e">
        <f>(('Input and Output'!E$23*'Input and Output'!$B$10)+('Input and Output'!E$24*Calculations!$C$5)+('Input and Output'!E$25*Calculations!$C$6)+('Input and Output'!E$26*(IF('Input and Output'!G$7="Detritus",Calculations!$C$4,J160))-(SUM('Input and Output'!E$27:E$32))*K159))</f>
        <v>#N/A</v>
      </c>
      <c r="H160" s="49">
        <f>IF(H$2="",NA(),C160*$B160+H159)</f>
        <v>127535.47729285977</v>
      </c>
      <c r="I160" s="49">
        <f>IF(I$2="",NA(),D160*$B160+I159)</f>
        <v>1249013.8631807582</v>
      </c>
      <c r="J160" s="49">
        <f>IF(J$2="",NA(),E160*$B160+J159)</f>
        <v>609218.52740374138</v>
      </c>
      <c r="K160" s="49" t="e">
        <f>IF(K$2="",NA(),F160*$B160+K159)</f>
        <v>#N/A</v>
      </c>
    </row>
    <row r="161" spans="1:11" x14ac:dyDescent="0.4">
      <c r="A161" s="49">
        <v>158</v>
      </c>
      <c r="B161" s="49">
        <f>A161/$B$1</f>
        <v>6.583333333333333</v>
      </c>
      <c r="C161" s="49">
        <f>(('Input and Output'!B$23*'Input and Output'!$B$10)+('Input and Output'!B$24*Calculations!$C$5)+('Input and Output'!B$25*Calculations!$C$6)+('Input and Output'!B$26*(IF('Input and Output'!D$7="Detritus",Calculations!$C$4,G161))-(SUM('Input and Output'!B$27:B$32))*H160))</f>
        <v>189.87774095698612</v>
      </c>
      <c r="D161" s="49">
        <f>(('Input and Output'!C$23*'Input and Output'!$B$10)+('Input and Output'!C$24*Calculations!$C$5)+('Input and Output'!C$25*Calculations!$C$6)+('Input and Output'!C$26*(IF('Input and Output'!E$7="Detritus",Calculations!$C$4,H161))-(SUM('Input and Output'!C$27:C$32))*I160))</f>
        <v>1746.4248846088722</v>
      </c>
      <c r="E161" s="49">
        <f>(('Input and Output'!D$23*'Input and Output'!$B$10)+('Input and Output'!D$24*Calculations!$C$5)+('Input and Output'!D$25*Calculations!$C$6)+('Input and Output'!D$26*(IF('Input and Output'!F$7="Detritus",Calculations!$C$4,I161))-(SUM('Input and Output'!D$27:D$32))*J160))</f>
        <v>788.63887004677963</v>
      </c>
      <c r="F161" s="49" t="e">
        <f>(('Input and Output'!E$23*'Input and Output'!$B$10)+('Input and Output'!E$24*Calculations!$C$5)+('Input and Output'!E$25*Calculations!$C$6)+('Input and Output'!E$26*(IF('Input and Output'!G$7="Detritus",Calculations!$C$4,J161))-(SUM('Input and Output'!E$27:E$32))*K160))</f>
        <v>#N/A</v>
      </c>
      <c r="H161" s="49">
        <f>IF(H$2="",NA(),C161*$B161+H160)</f>
        <v>128785.50575415992</v>
      </c>
      <c r="I161" s="49">
        <f>IF(I$2="",NA(),D161*$B161+I160)</f>
        <v>1260511.1603377666</v>
      </c>
      <c r="J161" s="49">
        <f>IF(J$2="",NA(),E161*$B161+J160)</f>
        <v>614410.39996488264</v>
      </c>
      <c r="K161" s="49" t="e">
        <f>IF(K$2="",NA(),F161*$B161+K160)</f>
        <v>#N/A</v>
      </c>
    </row>
    <row r="162" spans="1:11" x14ac:dyDescent="0.4">
      <c r="A162" s="49">
        <v>159</v>
      </c>
      <c r="B162" s="49">
        <f>A162/$B$1</f>
        <v>6.625</v>
      </c>
      <c r="C162" s="49">
        <f>(('Input and Output'!B$23*'Input and Output'!$B$10)+('Input and Output'!B$24*Calculations!$C$5)+('Input and Output'!B$25*Calculations!$C$6)+('Input and Output'!B$26*(IF('Input and Output'!D$7="Detritus",Calculations!$C$4,G162))-(SUM('Input and Output'!B$27:B$32))*H161))</f>
        <v>188.67257088862829</v>
      </c>
      <c r="D162" s="49">
        <f>(('Input and Output'!C$23*'Input and Output'!$B$10)+('Input and Output'!C$24*Calculations!$C$5)+('Input and Output'!C$25*Calculations!$C$6)+('Input and Output'!C$26*(IF('Input and Output'!E$7="Detritus",Calculations!$C$4,H162))-(SUM('Input and Output'!C$27:C$32))*I161))</f>
        <v>1733.6446997014109</v>
      </c>
      <c r="E162" s="49">
        <f>(('Input and Output'!D$23*'Input and Output'!$B$10)+('Input and Output'!D$24*Calculations!$C$5)+('Input and Output'!D$25*Calculations!$C$6)+('Input and Output'!D$26*(IF('Input and Output'!F$7="Detritus",Calculations!$C$4,I162))-(SUM('Input and Output'!D$27:D$32))*J161))</f>
        <v>782.77855303442993</v>
      </c>
      <c r="F162" s="49" t="e">
        <f>(('Input and Output'!E$23*'Input and Output'!$B$10)+('Input and Output'!E$24*Calculations!$C$5)+('Input and Output'!E$25*Calculations!$C$6)+('Input and Output'!E$26*(IF('Input and Output'!G$7="Detritus",Calculations!$C$4,J162))-(SUM('Input and Output'!E$27:E$32))*K161))</f>
        <v>#N/A</v>
      </c>
      <c r="H162" s="49">
        <f>IF(H$2="",NA(),C162*$B162+H161)</f>
        <v>130035.46153629708</v>
      </c>
      <c r="I162" s="49">
        <f>IF(I$2="",NA(),D162*$B162+I161)</f>
        <v>1271996.5564732885</v>
      </c>
      <c r="J162" s="49">
        <f>IF(J$2="",NA(),E162*$B162+J161)</f>
        <v>619596.30787873571</v>
      </c>
      <c r="K162" s="49" t="e">
        <f>IF(K$2="",NA(),F162*$B162+K161)</f>
        <v>#N/A</v>
      </c>
    </row>
    <row r="163" spans="1:11" x14ac:dyDescent="0.4">
      <c r="A163" s="49">
        <v>160</v>
      </c>
      <c r="B163" s="49">
        <f>A163/$B$1</f>
        <v>6.666666666666667</v>
      </c>
      <c r="C163" s="49">
        <f>(('Input and Output'!B$23*'Input and Output'!$B$10)+('Input and Output'!B$24*Calculations!$C$5)+('Input and Output'!B$25*Calculations!$C$6)+('Input and Output'!B$26*(IF('Input and Output'!D$7="Detritus",Calculations!$C$4,G163))-(SUM('Input and Output'!B$27:B$32))*H162))</f>
        <v>187.46747089127646</v>
      </c>
      <c r="D163" s="49">
        <f>(('Input and Output'!C$23*'Input and Output'!$B$10)+('Input and Output'!C$24*Calculations!$C$5)+('Input and Output'!C$25*Calculations!$C$6)+('Input and Output'!C$26*(IF('Input and Output'!E$7="Detritus",Calculations!$C$4,H163))-(SUM('Input and Output'!C$27:C$32))*I162))</f>
        <v>1720.9008608124723</v>
      </c>
      <c r="E163" s="49">
        <f>(('Input and Output'!D$23*'Input and Output'!$B$10)+('Input and Output'!D$24*Calculations!$C$5)+('Input and Output'!D$25*Calculations!$C$6)+('Input and Output'!D$26*(IF('Input and Output'!F$7="Detritus",Calculations!$C$4,I163))-(SUM('Input and Output'!D$27:D$32))*J162))</f>
        <v>776.93666687693985</v>
      </c>
      <c r="F163" s="49" t="e">
        <f>(('Input and Output'!E$23*'Input and Output'!$B$10)+('Input and Output'!E$24*Calculations!$C$5)+('Input and Output'!E$25*Calculations!$C$6)+('Input and Output'!E$26*(IF('Input and Output'!G$7="Detritus",Calculations!$C$4,J163))-(SUM('Input and Output'!E$27:E$32))*K162))</f>
        <v>#N/A</v>
      </c>
      <c r="H163" s="49">
        <f>IF(H$2="",NA(),C163*$B163+H162)</f>
        <v>131285.24467557226</v>
      </c>
      <c r="I163" s="49">
        <f>IF(I$2="",NA(),D163*$B163+I162)</f>
        <v>1283469.2288787048</v>
      </c>
      <c r="J163" s="49">
        <f>IF(J$2="",NA(),E163*$B163+J162)</f>
        <v>624775.88565791526</v>
      </c>
      <c r="K163" s="49" t="e">
        <f>IF(K$2="",NA(),F163*$B163+K162)</f>
        <v>#N/A</v>
      </c>
    </row>
    <row r="164" spans="1:11" x14ac:dyDescent="0.4">
      <c r="A164" s="49">
        <v>161</v>
      </c>
      <c r="B164" s="49">
        <f>A164/$B$1</f>
        <v>6.708333333333333</v>
      </c>
      <c r="C164" s="49">
        <f>(('Input and Output'!B$23*'Input and Output'!$B$10)+('Input and Output'!B$24*Calculations!$C$5)+('Input and Output'!B$25*Calculations!$C$6)+('Input and Output'!B$26*(IF('Input and Output'!D$7="Detritus",Calculations!$C$4,G164))-(SUM('Input and Output'!B$27:B$32))*H163))</f>
        <v>186.26253734134261</v>
      </c>
      <c r="D164" s="49">
        <f>(('Input and Output'!C$23*'Input and Output'!$B$10)+('Input and Output'!C$24*Calculations!$C$5)+('Input and Output'!C$25*Calculations!$C$6)+('Input and Output'!C$26*(IF('Input and Output'!E$7="Detritus",Calculations!$C$4,H164))-(SUM('Input and Output'!C$27:C$32))*I163))</f>
        <v>1708.1940790382046</v>
      </c>
      <c r="E164" s="49">
        <f>(('Input and Output'!D$23*'Input and Output'!$B$10)+('Input and Output'!D$24*Calculations!$C$5)+('Input and Output'!D$25*Calculations!$C$6)+('Input and Output'!D$26*(IF('Input and Output'!F$7="Detritus",Calculations!$C$4,I164))-(SUM('Input and Output'!D$27:D$32))*J163))</f>
        <v>771.1135032483071</v>
      </c>
      <c r="F164" s="49" t="e">
        <f>(('Input and Output'!E$23*'Input and Output'!$B$10)+('Input and Output'!E$24*Calculations!$C$5)+('Input and Output'!E$25*Calculations!$C$6)+('Input and Output'!E$26*(IF('Input and Output'!G$7="Detritus",Calculations!$C$4,J164))-(SUM('Input and Output'!E$27:E$32))*K163))</f>
        <v>#N/A</v>
      </c>
      <c r="H164" s="49">
        <f>IF(H$2="",NA(),C164*$B164+H163)</f>
        <v>132534.75586357043</v>
      </c>
      <c r="I164" s="49">
        <f>IF(I$2="",NA(),D164*$B164+I163)</f>
        <v>1294928.3641589195</v>
      </c>
      <c r="J164" s="49">
        <f>IF(J$2="",NA(),E164*$B164+J163)</f>
        <v>629948.77207553934</v>
      </c>
      <c r="K164" s="49" t="e">
        <f>IF(K$2="",NA(),F164*$B164+K163)</f>
        <v>#N/A</v>
      </c>
    </row>
    <row r="165" spans="1:11" x14ac:dyDescent="0.4">
      <c r="A165" s="49">
        <v>162</v>
      </c>
      <c r="B165" s="49">
        <f>A165/$B$1</f>
        <v>6.75</v>
      </c>
      <c r="C165" s="49">
        <f>(('Input and Output'!B$23*'Input and Output'!$B$10)+('Input and Output'!B$24*Calculations!$C$5)+('Input and Output'!B$25*Calculations!$C$6)+('Input and Output'!B$26*(IF('Input and Output'!D$7="Detritus",Calculations!$C$4,G165))-(SUM('Input and Output'!B$27:B$32))*H164))</f>
        <v>185.05786598347018</v>
      </c>
      <c r="D165" s="49">
        <f>(('Input and Output'!C$23*'Input and Output'!$B$10)+('Input and Output'!C$24*Calculations!$C$5)+('Input and Output'!C$25*Calculations!$C$6)+('Input and Output'!C$26*(IF('Input and Output'!E$7="Detritus",Calculations!$C$4,H165))-(SUM('Input and Output'!C$27:C$32))*I164))</f>
        <v>1695.5250479993174</v>
      </c>
      <c r="E165" s="49">
        <f>(('Input and Output'!D$23*'Input and Output'!$B$10)+('Input and Output'!D$24*Calculations!$C$5)+('Input and Output'!D$25*Calculations!$C$6)+('Input and Output'!D$26*(IF('Input and Output'!F$7="Detritus",Calculations!$C$4,I165))-(SUM('Input and Output'!D$27:D$32))*J164))</f>
        <v>765.30934625880036</v>
      </c>
      <c r="F165" s="49" t="e">
        <f>(('Input and Output'!E$23*'Input and Output'!$B$10)+('Input and Output'!E$24*Calculations!$C$5)+('Input and Output'!E$25*Calculations!$C$6)+('Input and Output'!E$26*(IF('Input and Output'!G$7="Detritus",Calculations!$C$4,J165))-(SUM('Input and Output'!E$27:E$32))*K164))</f>
        <v>#N/A</v>
      </c>
      <c r="H165" s="49">
        <f>IF(H$2="",NA(),C165*$B165+H164)</f>
        <v>133783.89645895886</v>
      </c>
      <c r="I165" s="49">
        <f>IF(I$2="",NA(),D165*$B165+I164)</f>
        <v>1306373.158232915</v>
      </c>
      <c r="J165" s="49">
        <f>IF(J$2="",NA(),E165*$B165+J164)</f>
        <v>635114.61016278621</v>
      </c>
      <c r="K165" s="49" t="e">
        <f>IF(K$2="",NA(),F165*$B165+K164)</f>
        <v>#N/A</v>
      </c>
    </row>
    <row r="166" spans="1:11" x14ac:dyDescent="0.4">
      <c r="A166" s="49">
        <v>163</v>
      </c>
      <c r="B166" s="49">
        <f>A166/$B$1</f>
        <v>6.791666666666667</v>
      </c>
      <c r="C166" s="49">
        <f>(('Input and Output'!B$23*'Input and Output'!$B$10)+('Input and Output'!B$24*Calculations!$C$5)+('Input and Output'!B$25*Calculations!$C$6)+('Input and Output'!B$26*(IF('Input and Output'!D$7="Detritus",Calculations!$C$4,G166))-(SUM('Input and Output'!B$27:B$32))*H165))</f>
        <v>183.85355191915917</v>
      </c>
      <c r="D166" s="49">
        <f>(('Input and Output'!C$23*'Input and Output'!$B$10)+('Input and Output'!C$24*Calculations!$C$5)+('Input and Output'!C$25*Calculations!$C$6)+('Input and Output'!C$26*(IF('Input and Output'!E$7="Detritus",Calculations!$C$4,H166))-(SUM('Input and Output'!C$27:C$32))*I165))</f>
        <v>1682.8944440781643</v>
      </c>
      <c r="E166" s="49">
        <f>(('Input and Output'!D$23*'Input and Output'!$B$10)+('Input and Output'!D$24*Calculations!$C$5)+('Input and Output'!D$25*Calculations!$C$6)+('Input and Output'!D$26*(IF('Input and Output'!F$7="Detritus",Calculations!$C$4,I166))-(SUM('Input and Output'!D$27:D$32))*J165))</f>
        <v>759.52447255534935</v>
      </c>
      <c r="F166" s="49" t="e">
        <f>(('Input and Output'!E$23*'Input and Output'!$B$10)+('Input and Output'!E$24*Calculations!$C$5)+('Input and Output'!E$25*Calculations!$C$6)+('Input and Output'!E$26*(IF('Input and Output'!G$7="Detritus",Calculations!$C$4,J166))-(SUM('Input and Output'!E$27:E$32))*K165))</f>
        <v>#N/A</v>
      </c>
      <c r="H166" s="49">
        <f>IF(H$2="",NA(),C166*$B166+H165)</f>
        <v>135032.56849907647</v>
      </c>
      <c r="I166" s="49">
        <f>IF(I$2="",NA(),D166*$B166+I165)</f>
        <v>1317802.8163322792</v>
      </c>
      <c r="J166" s="49">
        <f>IF(J$2="",NA(),E166*$B166+J165)</f>
        <v>640273.04720555793</v>
      </c>
      <c r="K166" s="49" t="e">
        <f>IF(K$2="",NA(),F166*$B166+K165)</f>
        <v>#N/A</v>
      </c>
    </row>
    <row r="167" spans="1:11" x14ac:dyDescent="0.4">
      <c r="A167" s="49">
        <v>164</v>
      </c>
      <c r="B167" s="49">
        <f>A167/$B$1</f>
        <v>6.833333333333333</v>
      </c>
      <c r="C167" s="49">
        <f>(('Input and Output'!B$23*'Input and Output'!$B$10)+('Input and Output'!B$24*Calculations!$C$5)+('Input and Output'!B$25*Calculations!$C$6)+('Input and Output'!B$26*(IF('Input and Output'!D$7="Detritus",Calculations!$C$4,G167))-(SUM('Input and Output'!B$27:B$32))*H166))</f>
        <v>182.64968959559266</v>
      </c>
      <c r="D167" s="49">
        <f>(('Input and Output'!C$23*'Input and Output'!$B$10)+('Input and Output'!C$24*Calculations!$C$5)+('Input and Output'!C$25*Calculations!$C$6)+('Input and Output'!C$26*(IF('Input and Output'!E$7="Detritus",Calculations!$C$4,H167))-(SUM('Input and Output'!C$27:C$32))*I166))</f>
        <v>1670.3029266583039</v>
      </c>
      <c r="E167" s="49">
        <f>(('Input and Output'!D$23*'Input and Output'!$B$10)+('Input and Output'!D$24*Calculations!$C$5)+('Input and Output'!D$25*Calculations!$C$6)+('Input and Output'!D$26*(IF('Input and Output'!F$7="Detritus",Calculations!$C$4,I167))-(SUM('Input and Output'!D$27:D$32))*J166))</f>
        <v>753.75915142344093</v>
      </c>
      <c r="F167" s="49" t="e">
        <f>(('Input and Output'!E$23*'Input and Output'!$B$10)+('Input and Output'!E$24*Calculations!$C$5)+('Input and Output'!E$25*Calculations!$C$6)+('Input and Output'!E$26*(IF('Input and Output'!G$7="Detritus",Calculations!$C$4,J167))-(SUM('Input and Output'!E$27:E$32))*K166))</f>
        <v>#N/A</v>
      </c>
      <c r="H167" s="49">
        <f>IF(H$2="",NA(),C167*$B167+H166)</f>
        <v>136280.67471131301</v>
      </c>
      <c r="I167" s="49">
        <f>IF(I$2="",NA(),D167*$B167+I166)</f>
        <v>1329216.5529977777</v>
      </c>
      <c r="J167" s="49">
        <f>IF(J$2="",NA(),E167*$B167+J166)</f>
        <v>645423.73474028474</v>
      </c>
      <c r="K167" s="49" t="e">
        <f>IF(K$2="",NA(),F167*$B167+K166)</f>
        <v>#N/A</v>
      </c>
    </row>
    <row r="168" spans="1:11" x14ac:dyDescent="0.4">
      <c r="A168" s="49">
        <v>165</v>
      </c>
      <c r="B168" s="49">
        <f>A168/$B$1</f>
        <v>6.875</v>
      </c>
      <c r="C168" s="49">
        <f>(('Input and Output'!B$23*'Input and Output'!$B$10)+('Input and Output'!B$24*Calculations!$C$5)+('Input and Output'!B$25*Calculations!$C$6)+('Input and Output'!B$26*(IF('Input and Output'!D$7="Detritus",Calculations!$C$4,G168))-(SUM('Input and Output'!B$27:B$32))*H167))</f>
        <v>181.44637279466602</v>
      </c>
      <c r="D168" s="49">
        <f>(('Input and Output'!C$23*'Input and Output'!$B$10)+('Input and Output'!C$24*Calculations!$C$5)+('Input and Output'!C$25*Calculations!$C$6)+('Input and Output'!C$26*(IF('Input and Output'!E$7="Detritus",Calculations!$C$4,H168))-(SUM('Input and Output'!C$27:C$32))*I167))</f>
        <v>1657.7511383662359</v>
      </c>
      <c r="E168" s="49">
        <f>(('Input and Output'!D$23*'Input and Output'!$B$10)+('Input and Output'!D$24*Calculations!$C$5)+('Input and Output'!D$25*Calculations!$C$6)+('Input and Output'!D$26*(IF('Input and Output'!F$7="Detritus",Calculations!$C$4,I168))-(SUM('Input and Output'!D$27:D$32))*J167))</f>
        <v>748.01364489052867</v>
      </c>
      <c r="F168" s="49" t="e">
        <f>(('Input and Output'!E$23*'Input and Output'!$B$10)+('Input and Output'!E$24*Calculations!$C$5)+('Input and Output'!E$25*Calculations!$C$6)+('Input and Output'!E$26*(IF('Input and Output'!G$7="Detritus",Calculations!$C$4,J168))-(SUM('Input and Output'!E$27:E$32))*K167))</f>
        <v>#N/A</v>
      </c>
      <c r="H168" s="49">
        <f>IF(H$2="",NA(),C168*$B168+H167)</f>
        <v>137528.11852427633</v>
      </c>
      <c r="I168" s="49">
        <f>IF(I$2="",NA(),D168*$B168+I167)</f>
        <v>1340613.5920740457</v>
      </c>
      <c r="J168" s="49">
        <f>IF(J$2="",NA(),E168*$B168+J167)</f>
        <v>650566.32854890707</v>
      </c>
      <c r="K168" s="49" t="e">
        <f>IF(K$2="",NA(),F168*$B168+K167)</f>
        <v>#N/A</v>
      </c>
    </row>
    <row r="169" spans="1:11" x14ac:dyDescent="0.4">
      <c r="A169" s="49">
        <v>166</v>
      </c>
      <c r="B169" s="49">
        <f>A169/$B$1</f>
        <v>6.916666666666667</v>
      </c>
      <c r="C169" s="49">
        <f>(('Input and Output'!B$23*'Input and Output'!$B$10)+('Input and Output'!B$24*Calculations!$C$5)+('Input and Output'!B$25*Calculations!$C$6)+('Input and Output'!B$26*(IF('Input and Output'!D$7="Detritus",Calculations!$C$4,G169))-(SUM('Input and Output'!B$27:B$32))*H168))</f>
        <v>180.24369462222035</v>
      </c>
      <c r="D169" s="49">
        <f>(('Input and Output'!C$23*'Input and Output'!$B$10)+('Input and Output'!C$24*Calculations!$C$5)+('Input and Output'!C$25*Calculations!$C$6)+('Input and Output'!C$26*(IF('Input and Output'!E$7="Detritus",Calculations!$C$4,H169))-(SUM('Input and Output'!C$27:C$32))*I168))</f>
        <v>1645.2397053150589</v>
      </c>
      <c r="E169" s="49">
        <f>(('Input and Output'!D$23*'Input and Output'!$B$10)+('Input and Output'!D$24*Calculations!$C$5)+('Input and Output'!D$25*Calculations!$C$6)+('Input and Output'!D$26*(IF('Input and Output'!F$7="Detritus",Calculations!$C$4,I169))-(SUM('Input and Output'!D$27:D$32))*J168))</f>
        <v>742.28820783068295</v>
      </c>
      <c r="F169" s="49" t="e">
        <f>(('Input and Output'!E$23*'Input and Output'!$B$10)+('Input and Output'!E$24*Calculations!$C$5)+('Input and Output'!E$25*Calculations!$C$6)+('Input and Output'!E$26*(IF('Input and Output'!G$7="Detritus",Calculations!$C$4,J169))-(SUM('Input and Output'!E$27:E$32))*K168))</f>
        <v>#N/A</v>
      </c>
      <c r="H169" s="49">
        <f>IF(H$2="",NA(),C169*$B169+H168)</f>
        <v>138774.80407874667</v>
      </c>
      <c r="I169" s="49">
        <f>IF(I$2="",NA(),D169*$B169+I168)</f>
        <v>1351993.1667024749</v>
      </c>
      <c r="J169" s="49">
        <f>IF(J$2="",NA(),E169*$B169+J168)</f>
        <v>655700.48865306925</v>
      </c>
      <c r="K169" s="49" t="e">
        <f>IF(K$2="",NA(),F169*$B169+K168)</f>
        <v>#N/A</v>
      </c>
    </row>
    <row r="170" spans="1:11" x14ac:dyDescent="0.4">
      <c r="A170" s="49">
        <v>167</v>
      </c>
      <c r="B170" s="49">
        <f>A170/$B$1</f>
        <v>6.958333333333333</v>
      </c>
      <c r="C170" s="49">
        <f>(('Input and Output'!B$23*'Input and Output'!$B$10)+('Input and Output'!B$24*Calculations!$C$5)+('Input and Output'!B$25*Calculations!$C$6)+('Input and Output'!B$26*(IF('Input and Output'!D$7="Detritus",Calculations!$C$4,G170))-(SUM('Input and Output'!B$27:B$32))*H169))</f>
        <v>179.04174749748125</v>
      </c>
      <c r="D170" s="49">
        <f>(('Input and Output'!C$23*'Input and Output'!$B$10)+('Input and Output'!C$24*Calculations!$C$5)+('Input and Output'!C$25*Calculations!$C$6)+('Input and Output'!C$26*(IF('Input and Output'!E$7="Detritus",Calculations!$C$4,H170))-(SUM('Input and Output'!C$27:C$32))*I169))</f>
        <v>1632.7692373497589</v>
      </c>
      <c r="E170" s="49">
        <f>(('Input and Output'!D$23*'Input and Output'!$B$10)+('Input and Output'!D$24*Calculations!$C$5)+('Input and Output'!D$25*Calculations!$C$6)+('Input and Output'!D$26*(IF('Input and Output'!F$7="Detritus",Calculations!$C$4,I170))-(SUM('Input and Output'!D$27:D$32))*J169))</f>
        <v>736.58308807036155</v>
      </c>
      <c r="F170" s="49" t="e">
        <f>(('Input and Output'!E$23*'Input and Output'!$B$10)+('Input and Output'!E$24*Calculations!$C$5)+('Input and Output'!E$25*Calculations!$C$6)+('Input and Output'!E$26*(IF('Input and Output'!G$7="Detritus",Calculations!$C$4,J170))-(SUM('Input and Output'!E$27:E$32))*K169))</f>
        <v>#N/A</v>
      </c>
      <c r="H170" s="49">
        <f>IF(H$2="",NA(),C170*$B170+H169)</f>
        <v>140020.63623841666</v>
      </c>
      <c r="I170" s="49">
        <f>IF(I$2="",NA(),D170*$B170+I169)</f>
        <v>1363354.5193123671</v>
      </c>
      <c r="J170" s="49">
        <f>IF(J$2="",NA(),E170*$B170+J169)</f>
        <v>660825.87930755888</v>
      </c>
      <c r="K170" s="49" t="e">
        <f>IF(K$2="",NA(),F170*$B170+K169)</f>
        <v>#N/A</v>
      </c>
    </row>
    <row r="171" spans="1:11" x14ac:dyDescent="0.4">
      <c r="A171" s="49">
        <v>168</v>
      </c>
      <c r="B171" s="49">
        <f>A171/$B$1</f>
        <v>7</v>
      </c>
      <c r="C171" s="49">
        <f>(('Input and Output'!B$23*'Input and Output'!$B$10)+('Input and Output'!B$24*Calculations!$C$5)+('Input and Output'!B$25*Calculations!$C$6)+('Input and Output'!B$26*(IF('Input and Output'!D$7="Detritus",Calculations!$C$4,G171))-(SUM('Input and Output'!B$27:B$32))*H170))</f>
        <v>177.84062314270437</v>
      </c>
      <c r="D171" s="49">
        <f>(('Input and Output'!C$23*'Input and Output'!$B$10)+('Input and Output'!C$24*Calculations!$C$5)+('Input and Output'!C$25*Calculations!$C$6)+('Input and Output'!C$26*(IF('Input and Output'!E$7="Detritus",Calculations!$C$4,H171))-(SUM('Input and Output'!C$27:C$32))*I170))</f>
        <v>1620.3403282938634</v>
      </c>
      <c r="E171" s="49">
        <f>(('Input and Output'!D$23*'Input and Output'!$B$10)+('Input and Output'!D$24*Calculations!$C$5)+('Input and Output'!D$25*Calculations!$C$6)+('Input and Output'!D$26*(IF('Input and Output'!F$7="Detritus",Calculations!$C$4,I171))-(SUM('Input and Output'!D$27:D$32))*J170))</f>
        <v>730.89852649531167</v>
      </c>
      <c r="F171" s="49" t="e">
        <f>(('Input and Output'!E$23*'Input and Output'!$B$10)+('Input and Output'!E$24*Calculations!$C$5)+('Input and Output'!E$25*Calculations!$C$6)+('Input and Output'!E$26*(IF('Input and Output'!G$7="Detritus",Calculations!$C$4,J171))-(SUM('Input and Output'!E$27:E$32))*K170))</f>
        <v>#N/A</v>
      </c>
      <c r="H171" s="49">
        <f>IF(H$2="",NA(),C171*$B171+H170)</f>
        <v>141265.52060041559</v>
      </c>
      <c r="I171" s="49">
        <f>IF(I$2="",NA(),D171*$B171+I170)</f>
        <v>1374696.901610424</v>
      </c>
      <c r="J171" s="49">
        <f>IF(J$2="",NA(),E171*$B171+J170)</f>
        <v>665942.16899302602</v>
      </c>
      <c r="K171" s="49" t="e">
        <f>IF(K$2="",NA(),F171*$B171+K170)</f>
        <v>#N/A</v>
      </c>
    </row>
    <row r="172" spans="1:11" x14ac:dyDescent="0.4">
      <c r="A172" s="49">
        <v>169</v>
      </c>
      <c r="B172" s="49">
        <f>A172/$B$1</f>
        <v>7.041666666666667</v>
      </c>
      <c r="C172" s="49">
        <f>(('Input and Output'!B$23*'Input and Output'!$B$10)+('Input and Output'!B$24*Calculations!$C$5)+('Input and Output'!B$25*Calculations!$C$6)+('Input and Output'!B$26*(IF('Input and Output'!D$7="Detritus",Calculations!$C$4,G172))-(SUM('Input and Output'!B$27:B$32))*H171))</f>
        <v>176.6404125730287</v>
      </c>
      <c r="D172" s="49">
        <f>(('Input and Output'!C$23*'Input and Output'!$B$10)+('Input and Output'!C$24*Calculations!$C$5)+('Input and Output'!C$25*Calculations!$C$6)+('Input and Output'!C$26*(IF('Input and Output'!E$7="Detritus",Calculations!$C$4,H172))-(SUM('Input and Output'!C$27:C$32))*I171))</f>
        <v>1607.9535561972084</v>
      </c>
      <c r="E172" s="49">
        <f>(('Input and Output'!D$23*'Input and Output'!$B$10)+('Input and Output'!D$24*Calculations!$C$5)+('Input and Output'!D$25*Calculations!$C$6)+('Input and Output'!D$26*(IF('Input and Output'!F$7="Detritus",Calculations!$C$4,I172))-(SUM('Input and Output'!D$27:D$32))*J171))</f>
        <v>725.23475715810855</v>
      </c>
      <c r="F172" s="49" t="e">
        <f>(('Input and Output'!E$23*'Input and Output'!$B$10)+('Input and Output'!E$24*Calculations!$C$5)+('Input and Output'!E$25*Calculations!$C$6)+('Input and Output'!E$26*(IF('Input and Output'!G$7="Detritus",Calculations!$C$4,J172))-(SUM('Input and Output'!E$27:E$32))*K171))</f>
        <v>#N/A</v>
      </c>
      <c r="H172" s="49">
        <f>IF(H$2="",NA(),C172*$B172+H171)</f>
        <v>142509.36350561734</v>
      </c>
      <c r="I172" s="49">
        <f>IF(I$2="",NA(),D172*$B172+I171)</f>
        <v>1386019.574568646</v>
      </c>
      <c r="J172" s="49">
        <f>IF(J$2="",NA(),E172*$B172+J171)</f>
        <v>671049.03040801431</v>
      </c>
      <c r="K172" s="49" t="e">
        <f>IF(K$2="",NA(),F172*$B172+K171)</f>
        <v>#N/A</v>
      </c>
    </row>
    <row r="173" spans="1:11" x14ac:dyDescent="0.4">
      <c r="A173" s="49">
        <v>170</v>
      </c>
      <c r="B173" s="49">
        <f>A173/$B$1</f>
        <v>7.083333333333333</v>
      </c>
      <c r="C173" s="49">
        <f>(('Input and Output'!B$23*'Input and Output'!$B$10)+('Input and Output'!B$24*Calculations!$C$5)+('Input and Output'!B$25*Calculations!$C$6)+('Input and Output'!B$26*(IF('Input and Output'!D$7="Detritus",Calculations!$C$4,G173))-(SUM('Input and Output'!B$27:B$32))*H172))</f>
        <v>175.44120608653859</v>
      </c>
      <c r="D173" s="49">
        <f>(('Input and Output'!C$23*'Input and Output'!$B$10)+('Input and Output'!C$24*Calculations!$C$5)+('Input and Output'!C$25*Calculations!$C$6)+('Input and Output'!C$26*(IF('Input and Output'!E$7="Detritus",Calculations!$C$4,H173))-(SUM('Input and Output'!C$27:C$32))*I172))</f>
        <v>1595.6094835845556</v>
      </c>
      <c r="E173" s="49">
        <f>(('Input and Output'!D$23*'Input and Output'!$B$10)+('Input and Output'!D$24*Calculations!$C$5)+('Input and Output'!D$25*Calculations!$C$6)+('Input and Output'!D$26*(IF('Input and Output'!F$7="Detritus",Calculations!$C$4,I173))-(SUM('Input and Output'!D$27:D$32))*J172))</f>
        <v>719.59200738654545</v>
      </c>
      <c r="F173" s="49" t="e">
        <f>(('Input and Output'!E$23*'Input and Output'!$B$10)+('Input and Output'!E$24*Calculations!$C$5)+('Input and Output'!E$25*Calculations!$C$6)+('Input and Output'!E$26*(IF('Input and Output'!G$7="Detritus",Calculations!$C$4,J173))-(SUM('Input and Output'!E$27:E$32))*K172))</f>
        <v>#N/A</v>
      </c>
      <c r="H173" s="49">
        <f>IF(H$2="",NA(),C173*$B173+H172)</f>
        <v>143752.0720487303</v>
      </c>
      <c r="I173" s="49">
        <f>IF(I$2="",NA(),D173*$B173+I172)</f>
        <v>1397321.8084107032</v>
      </c>
      <c r="J173" s="49">
        <f>IF(J$2="",NA(),E173*$B173+J172)</f>
        <v>676146.14046033565</v>
      </c>
      <c r="K173" s="49" t="e">
        <f>IF(K$2="",NA(),F173*$B173+K172)</f>
        <v>#N/A</v>
      </c>
    </row>
    <row r="174" spans="1:11" x14ac:dyDescent="0.4">
      <c r="A174" s="49">
        <v>171</v>
      </c>
      <c r="B174" s="49">
        <f>A174/$B$1</f>
        <v>7.125</v>
      </c>
      <c r="C174" s="49">
        <f>(('Input and Output'!B$23*'Input and Output'!$B$10)+('Input and Output'!B$24*Calculations!$C$5)+('Input and Output'!B$25*Calculations!$C$6)+('Input and Output'!B$26*(IF('Input and Output'!D$7="Detritus",Calculations!$C$4,G174))-(SUM('Input and Output'!B$27:B$32))*H173))</f>
        <v>174.24309325453589</v>
      </c>
      <c r="D174" s="49">
        <f>(('Input and Output'!C$23*'Input and Output'!$B$10)+('Input and Output'!C$24*Calculations!$C$5)+('Input and Output'!C$25*Calculations!$C$6)+('Input and Output'!C$26*(IF('Input and Output'!E$7="Detritus",Calculations!$C$4,H174))-(SUM('Input and Output'!C$27:C$32))*I173))</f>
        <v>1583.3086577048193</v>
      </c>
      <c r="E174" s="49">
        <f>(('Input and Output'!D$23*'Input and Output'!$B$10)+('Input and Output'!D$24*Calculations!$C$5)+('Input and Output'!D$25*Calculations!$C$6)+('Input and Output'!D$26*(IF('Input and Output'!F$7="Detritus",Calculations!$C$4,I174))-(SUM('Input and Output'!D$27:D$32))*J173))</f>
        <v>713.97049789251105</v>
      </c>
      <c r="F174" s="49" t="e">
        <f>(('Input and Output'!E$23*'Input and Output'!$B$10)+('Input and Output'!E$24*Calculations!$C$5)+('Input and Output'!E$25*Calculations!$C$6)+('Input and Output'!E$26*(IF('Input and Output'!G$7="Detritus",Calculations!$C$4,J174))-(SUM('Input and Output'!E$27:E$32))*K173))</f>
        <v>#N/A</v>
      </c>
      <c r="H174" s="49">
        <f>IF(H$2="",NA(),C174*$B174+H173)</f>
        <v>144993.55408816886</v>
      </c>
      <c r="I174" s="49">
        <f>IF(I$2="",NA(),D174*$B174+I173)</f>
        <v>1408602.8825968499</v>
      </c>
      <c r="J174" s="49">
        <f>IF(J$2="",NA(),E174*$B174+J173)</f>
        <v>681233.18025781983</v>
      </c>
      <c r="K174" s="49" t="e">
        <f>IF(K$2="",NA(),F174*$B174+K173)</f>
        <v>#N/A</v>
      </c>
    </row>
    <row r="175" spans="1:11" x14ac:dyDescent="0.4">
      <c r="A175" s="49">
        <v>172</v>
      </c>
      <c r="B175" s="49">
        <f>A175/$B$1</f>
        <v>7.166666666666667</v>
      </c>
      <c r="C175" s="49">
        <f>(('Input and Output'!B$23*'Input and Output'!$B$10)+('Input and Output'!B$24*Calculations!$C$5)+('Input and Output'!B$25*Calculations!$C$6)+('Input and Output'!B$26*(IF('Input and Output'!D$7="Detritus",Calculations!$C$4,G175))-(SUM('Input and Output'!B$27:B$32))*H174))</f>
        <v>173.04616291202271</v>
      </c>
      <c r="D175" s="49">
        <f>(('Input and Output'!C$23*'Input and Output'!$B$10)+('Input and Output'!C$24*Calculations!$C$5)+('Input and Output'!C$25*Calculations!$C$6)+('Input and Output'!C$26*(IF('Input and Output'!E$7="Detritus",Calculations!$C$4,H175))-(SUM('Input and Output'!C$27:C$32))*I174))</f>
        <v>1571.0516107806493</v>
      </c>
      <c r="E175" s="49">
        <f>(('Input and Output'!D$23*'Input and Output'!$B$10)+('Input and Output'!D$24*Calculations!$C$5)+('Input and Output'!D$25*Calculations!$C$6)+('Input and Output'!D$26*(IF('Input and Output'!F$7="Detritus",Calculations!$C$4,I175))-(SUM('Input and Output'!D$27:D$32))*J174))</f>
        <v>708.37044288131074</v>
      </c>
      <c r="F175" s="49" t="e">
        <f>(('Input and Output'!E$23*'Input and Output'!$B$10)+('Input and Output'!E$24*Calculations!$C$5)+('Input and Output'!E$25*Calculations!$C$6)+('Input and Output'!E$26*(IF('Input and Output'!G$7="Detritus",Calculations!$C$4,J175))-(SUM('Input and Output'!E$27:E$32))*K174))</f>
        <v>#N/A</v>
      </c>
      <c r="H175" s="49">
        <f>IF(H$2="",NA(),C175*$B175+H174)</f>
        <v>146233.71825570503</v>
      </c>
      <c r="I175" s="49">
        <f>IF(I$2="",NA(),D175*$B175+I174)</f>
        <v>1419862.0858074445</v>
      </c>
      <c r="J175" s="49">
        <f>IF(J$2="",NA(),E175*$B175+J174)</f>
        <v>686309.83509846916</v>
      </c>
      <c r="K175" s="49" t="e">
        <f>IF(K$2="",NA(),F175*$B175+K174)</f>
        <v>#N/A</v>
      </c>
    </row>
    <row r="176" spans="1:11" x14ac:dyDescent="0.4">
      <c r="A176" s="49">
        <v>173</v>
      </c>
      <c r="B176" s="49">
        <f>A176/$B$1</f>
        <v>7.208333333333333</v>
      </c>
      <c r="C176" s="49">
        <f>(('Input and Output'!B$23*'Input and Output'!$B$10)+('Input and Output'!B$24*Calculations!$C$5)+('Input and Output'!B$25*Calculations!$C$6)+('Input and Output'!B$26*(IF('Input and Output'!D$7="Detritus",Calculations!$C$4,G176))-(SUM('Input and Output'!B$27:B$32))*H175))</f>
        <v>171.85050314839626</v>
      </c>
      <c r="D176" s="49">
        <f>(('Input and Output'!C$23*'Input and Output'!$B$10)+('Input and Output'!C$24*Calculations!$C$5)+('Input and Output'!C$25*Calculations!$C$6)+('Input and Output'!C$26*(IF('Input and Output'!E$7="Detritus",Calculations!$C$4,H176))-(SUM('Input and Output'!C$27:C$32))*I175))</f>
        <v>1558.838860258144</v>
      </c>
      <c r="E176" s="49">
        <f>(('Input and Output'!D$23*'Input and Output'!$B$10)+('Input and Output'!D$24*Calculations!$C$5)+('Input and Output'!D$25*Calculations!$C$6)+('Input and Output'!D$26*(IF('Input and Output'!F$7="Detritus",Calculations!$C$4,I176))-(SUM('Input and Output'!D$27:D$32))*J175))</f>
        <v>702.79205016139531</v>
      </c>
      <c r="F176" s="49" t="e">
        <f>(('Input and Output'!E$23*'Input and Output'!$B$10)+('Input and Output'!E$24*Calculations!$C$5)+('Input and Output'!E$25*Calculations!$C$6)+('Input and Output'!E$26*(IF('Input and Output'!G$7="Detritus",Calculations!$C$4,J176))-(SUM('Input and Output'!E$27:E$32))*K175))</f>
        <v>#N/A</v>
      </c>
      <c r="H176" s="49">
        <f>IF(H$2="",NA(),C176*$B176+H175)</f>
        <v>147472.47396589973</v>
      </c>
      <c r="I176" s="49">
        <f>IF(I$2="",NA(),D176*$B176+I175)</f>
        <v>1431098.7159251387</v>
      </c>
      <c r="J176" s="49">
        <f>IF(J$2="",NA(),E176*$B176+J175)</f>
        <v>691375.79446004925</v>
      </c>
      <c r="K176" s="49" t="e">
        <f>IF(K$2="",NA(),F176*$B176+K175)</f>
        <v>#N/A</v>
      </c>
    </row>
    <row r="177" spans="1:11" x14ac:dyDescent="0.4">
      <c r="A177" s="49">
        <v>174</v>
      </c>
      <c r="B177" s="49">
        <f>A177/$B$1</f>
        <v>7.25</v>
      </c>
      <c r="C177" s="49">
        <f>(('Input and Output'!B$23*'Input and Output'!$B$10)+('Input and Output'!B$24*Calculations!$C$5)+('Input and Output'!B$25*Calculations!$C$6)+('Input and Output'!B$26*(IF('Input and Output'!D$7="Detritus",Calculations!$C$4,G177))-(SUM('Input and Output'!B$27:B$32))*H176))</f>
        <v>170.6562012983558</v>
      </c>
      <c r="D177" s="49">
        <f>(('Input and Output'!C$23*'Input and Output'!$B$10)+('Input and Output'!C$24*Calculations!$C$5)+('Input and Output'!C$25*Calculations!$C$6)+('Input and Output'!C$26*(IF('Input and Output'!E$7="Detritus",Calculations!$C$4,H177))-(SUM('Input and Output'!C$27:C$32))*I176))</f>
        <v>1546.6709090564655</v>
      </c>
      <c r="E177" s="49">
        <f>(('Input and Output'!D$23*'Input and Output'!$B$10)+('Input and Output'!D$24*Calculations!$C$5)+('Input and Output'!D$25*Calculations!$C$6)+('Input and Output'!D$26*(IF('Input and Output'!F$7="Detritus",Calculations!$C$4,I177))-(SUM('Input and Output'!D$27:D$32))*J176))</f>
        <v>697.23552125404603</v>
      </c>
      <c r="F177" s="49" t="e">
        <f>(('Input and Output'!E$23*'Input and Output'!$B$10)+('Input and Output'!E$24*Calculations!$C$5)+('Input and Output'!E$25*Calculations!$C$6)+('Input and Output'!E$26*(IF('Input and Output'!G$7="Detritus",Calculations!$C$4,J177))-(SUM('Input and Output'!E$27:E$32))*K176))</f>
        <v>#N/A</v>
      </c>
      <c r="H177" s="49">
        <f>IF(H$2="",NA(),C177*$B177+H176)</f>
        <v>148709.73142531281</v>
      </c>
      <c r="I177" s="49">
        <f>IF(I$2="",NA(),D177*$B177+I176)</f>
        <v>1442312.0800157981</v>
      </c>
      <c r="J177" s="49">
        <f>IF(J$2="",NA(),E177*$B177+J176)</f>
        <v>696430.75198914111</v>
      </c>
      <c r="K177" s="49" t="e">
        <f>IF(K$2="",NA(),F177*$B177+K176)</f>
        <v>#N/A</v>
      </c>
    </row>
    <row r="178" spans="1:11" x14ac:dyDescent="0.4">
      <c r="A178" s="49">
        <v>175</v>
      </c>
      <c r="B178" s="49">
        <f>A178/$B$1</f>
        <v>7.291666666666667</v>
      </c>
      <c r="C178" s="49">
        <f>(('Input and Output'!B$23*'Input and Output'!$B$10)+('Input and Output'!B$24*Calculations!$C$5)+('Input and Output'!B$25*Calculations!$C$6)+('Input and Output'!B$26*(IF('Input and Output'!D$7="Detritus",Calculations!$C$4,G178))-(SUM('Input and Output'!B$27:B$32))*H177))</f>
        <v>169.46334393302331</v>
      </c>
      <c r="D178" s="49">
        <f>(('Input and Output'!C$23*'Input and Output'!$B$10)+('Input and Output'!C$24*Calculations!$C$5)+('Input and Output'!C$25*Calculations!$C$6)+('Input and Output'!C$26*(IF('Input and Output'!E$7="Detritus",Calculations!$C$4,H178))-(SUM('Input and Output'!C$27:C$32))*I177))</f>
        <v>1534.5482458171332</v>
      </c>
      <c r="E178" s="49">
        <f>(('Input and Output'!D$23*'Input and Output'!$B$10)+('Input and Output'!D$24*Calculations!$C$5)+('Input and Output'!D$25*Calculations!$C$6)+('Input and Output'!D$26*(IF('Input and Output'!F$7="Detritus",Calculations!$C$4,I178))-(SUM('Input and Output'!D$27:D$32))*J177))</f>
        <v>691.70105150335075</v>
      </c>
      <c r="F178" s="49" t="e">
        <f>(('Input and Output'!E$23*'Input and Output'!$B$10)+('Input and Output'!E$24*Calculations!$C$5)+('Input and Output'!E$25*Calculations!$C$6)+('Input and Output'!E$26*(IF('Input and Output'!G$7="Detritus",Calculations!$C$4,J178))-(SUM('Input and Output'!E$27:E$32))*K177))</f>
        <v>#N/A</v>
      </c>
      <c r="H178" s="49">
        <f>IF(H$2="",NA(),C178*$B178+H177)</f>
        <v>149945.4016414911</v>
      </c>
      <c r="I178" s="49">
        <f>IF(I$2="",NA(),D178*$B178+I177)</f>
        <v>1453501.4943082146</v>
      </c>
      <c r="J178" s="49">
        <f>IF(J$2="",NA(),E178*$B178+J177)</f>
        <v>701474.40548968641</v>
      </c>
      <c r="K178" s="49" t="e">
        <f>IF(K$2="",NA(),F178*$B178+K177)</f>
        <v>#N/A</v>
      </c>
    </row>
    <row r="179" spans="1:11" x14ac:dyDescent="0.4">
      <c r="A179" s="49">
        <v>176</v>
      </c>
      <c r="B179" s="49">
        <f>A179/$B$1</f>
        <v>7.333333333333333</v>
      </c>
      <c r="C179" s="49">
        <f>(('Input and Output'!B$23*'Input and Output'!$B$10)+('Input and Output'!B$24*Calculations!$C$5)+('Input and Output'!B$25*Calculations!$C$6)+('Input and Output'!B$26*(IF('Input and Output'!D$7="Detritus",Calculations!$C$4,G179))-(SUM('Input and Output'!B$27:B$32))*H178))</f>
        <v>168.27201685127795</v>
      </c>
      <c r="D179" s="49">
        <f>(('Input and Output'!C$23*'Input and Output'!$B$10)+('Input and Output'!C$24*Calculations!$C$5)+('Input and Output'!C$25*Calculations!$C$6)+('Input and Output'!C$26*(IF('Input and Output'!E$7="Detritus",Calculations!$C$4,H179))-(SUM('Input and Output'!C$27:C$32))*I178))</f>
        <v>1522.4713451527728</v>
      </c>
      <c r="E179" s="49">
        <f>(('Input and Output'!D$23*'Input and Output'!$B$10)+('Input and Output'!D$24*Calculations!$C$5)+('Input and Output'!D$25*Calculations!$C$6)+('Input and Output'!D$26*(IF('Input and Output'!F$7="Detritus",Calculations!$C$4,I179))-(SUM('Input and Output'!D$27:D$32))*J178))</f>
        <v>686.18883018605629</v>
      </c>
      <c r="F179" s="49" t="e">
        <f>(('Input and Output'!E$23*'Input and Output'!$B$10)+('Input and Output'!E$24*Calculations!$C$5)+('Input and Output'!E$25*Calculations!$C$6)+('Input and Output'!E$26*(IF('Input and Output'!G$7="Detritus",Calculations!$C$4,J179))-(SUM('Input and Output'!E$27:E$32))*K178))</f>
        <v>#N/A</v>
      </c>
      <c r="H179" s="49">
        <f>IF(H$2="",NA(),C179*$B179+H178)</f>
        <v>151179.3964317338</v>
      </c>
      <c r="I179" s="49">
        <f>IF(I$2="",NA(),D179*$B179+I178)</f>
        <v>1464666.2841726684</v>
      </c>
      <c r="J179" s="49">
        <f>IF(J$2="",NA(),E179*$B179+J178)</f>
        <v>706506.45691105083</v>
      </c>
      <c r="K179" s="49" t="e">
        <f>IF(K$2="",NA(),F179*$B179+K178)</f>
        <v>#N/A</v>
      </c>
    </row>
    <row r="180" spans="1:11" x14ac:dyDescent="0.4">
      <c r="A180" s="49">
        <v>177</v>
      </c>
      <c r="B180" s="49">
        <f>A180/$B$1</f>
        <v>7.375</v>
      </c>
      <c r="C180" s="49">
        <f>(('Input and Output'!B$23*'Input and Output'!$B$10)+('Input and Output'!B$24*Calculations!$C$5)+('Input and Output'!B$25*Calculations!$C$6)+('Input and Output'!B$26*(IF('Input and Output'!D$7="Detritus",Calculations!$C$4,G180))-(SUM('Input and Output'!B$27:B$32))*H179))</f>
        <v>167.08230507130523</v>
      </c>
      <c r="D180" s="49">
        <f>(('Input and Output'!C$23*'Input and Output'!$B$10)+('Input and Output'!C$24*Calculations!$C$5)+('Input and Output'!C$25*Calculations!$C$6)+('Input and Output'!C$26*(IF('Input and Output'!E$7="Detritus",Calculations!$C$4,H180))-(SUM('Input and Output'!C$27:C$32))*I179))</f>
        <v>1510.4406678951254</v>
      </c>
      <c r="E180" s="49">
        <f>(('Input and Output'!D$23*'Input and Output'!$B$10)+('Input and Output'!D$24*Calculations!$C$5)+('Input and Output'!D$25*Calculations!$C$6)+('Input and Output'!D$26*(IF('Input and Output'!F$7="Detritus",Calculations!$C$4,I180))-(SUM('Input and Output'!D$27:D$32))*J179))</f>
        <v>680.69904062112255</v>
      </c>
      <c r="F180" s="49" t="e">
        <f>(('Input and Output'!E$23*'Input and Output'!$B$10)+('Input and Output'!E$24*Calculations!$C$5)+('Input and Output'!E$25*Calculations!$C$6)+('Input and Output'!E$26*(IF('Input and Output'!G$7="Detritus",Calculations!$C$4,J180))-(SUM('Input and Output'!E$27:E$32))*K179))</f>
        <v>#N/A</v>
      </c>
      <c r="H180" s="49">
        <f>IF(H$2="",NA(),C180*$B180+H179)</f>
        <v>152411.62843163469</v>
      </c>
      <c r="I180" s="49">
        <f>IF(I$2="",NA(),D180*$B180+I179)</f>
        <v>1475805.7840983949</v>
      </c>
      <c r="J180" s="49">
        <f>IF(J$2="",NA(),E180*$B180+J179)</f>
        <v>711526.61233563162</v>
      </c>
      <c r="K180" s="49" t="e">
        <f>IF(K$2="",NA(),F180*$B180+K179)</f>
        <v>#N/A</v>
      </c>
    </row>
    <row r="181" spans="1:11" x14ac:dyDescent="0.4">
      <c r="A181" s="49">
        <v>178</v>
      </c>
      <c r="B181" s="49">
        <f>A181/$B$1</f>
        <v>7.416666666666667</v>
      </c>
      <c r="C181" s="49">
        <f>(('Input and Output'!B$23*'Input and Output'!$B$10)+('Input and Output'!B$24*Calculations!$C$5)+('Input and Output'!B$25*Calculations!$C$6)+('Input and Output'!B$26*(IF('Input and Output'!D$7="Detritus",Calculations!$C$4,G181))-(SUM('Input and Output'!B$27:B$32))*H180))</f>
        <v>165.89429282236117</v>
      </c>
      <c r="D181" s="49">
        <f>(('Input and Output'!C$23*'Input and Output'!$B$10)+('Input and Output'!C$24*Calculations!$C$5)+('Input and Output'!C$25*Calculations!$C$6)+('Input and Output'!C$26*(IF('Input and Output'!E$7="Detritus",Calculations!$C$4,H181))-(SUM('Input and Output'!C$27:C$32))*I180))</f>
        <v>1498.4566613421148</v>
      </c>
      <c r="E181" s="49">
        <f>(('Input and Output'!D$23*'Input and Output'!$B$10)+('Input and Output'!D$24*Calculations!$C$5)+('Input and Output'!D$25*Calculations!$C$6)+('Input and Output'!D$26*(IF('Input and Output'!F$7="Detritus",Calculations!$C$4,I181))-(SUM('Input and Output'!D$27:D$32))*J180))</f>
        <v>675.23186027924021</v>
      </c>
      <c r="F181" s="49" t="e">
        <f>(('Input and Output'!E$23*'Input and Output'!$B$10)+('Input and Output'!E$24*Calculations!$C$5)+('Input and Output'!E$25*Calculations!$C$6)+('Input and Output'!E$26*(IF('Input and Output'!G$7="Detritus",Calculations!$C$4,J181))-(SUM('Input and Output'!E$27:E$32))*K180))</f>
        <v>#N/A</v>
      </c>
      <c r="H181" s="49">
        <f>IF(H$2="",NA(),C181*$B181+H180)</f>
        <v>153642.01110340052</v>
      </c>
      <c r="I181" s="49">
        <f>IF(I$2="",NA(),D181*$B181+I180)</f>
        <v>1486919.3376700156</v>
      </c>
      <c r="J181" s="49">
        <f>IF(J$2="",NA(),E181*$B181+J180)</f>
        <v>716534.581966036</v>
      </c>
      <c r="K181" s="49" t="e">
        <f>IF(K$2="",NA(),F181*$B181+K180)</f>
        <v>#N/A</v>
      </c>
    </row>
    <row r="182" spans="1:11" x14ac:dyDescent="0.4">
      <c r="A182" s="49">
        <v>179</v>
      </c>
      <c r="B182" s="49">
        <f>A182/$B$1</f>
        <v>7.458333333333333</v>
      </c>
      <c r="C182" s="49">
        <f>(('Input and Output'!B$23*'Input and Output'!$B$10)+('Input and Output'!B$24*Calculations!$C$5)+('Input and Output'!B$25*Calculations!$C$6)+('Input and Output'!B$26*(IF('Input and Output'!D$7="Detritus",Calculations!$C$4,G182))-(SUM('Input and Output'!B$27:B$32))*H181))</f>
        <v>164.70806353675269</v>
      </c>
      <c r="D182" s="49">
        <f>(('Input and Output'!C$23*'Input and Output'!$B$10)+('Input and Output'!C$24*Calculations!$C$5)+('Input and Output'!C$25*Calculations!$C$6)+('Input and Output'!C$26*(IF('Input and Output'!E$7="Detritus",Calculations!$C$4,H182))-(SUM('Input and Output'!C$27:C$32))*I181))</f>
        <v>1486.5197595037639</v>
      </c>
      <c r="E182" s="49">
        <f>(('Input and Output'!D$23*'Input and Output'!$B$10)+('Input and Output'!D$24*Calculations!$C$5)+('Input and Output'!D$25*Calculations!$C$6)+('Input and Output'!D$26*(IF('Input and Output'!F$7="Detritus",Calculations!$C$4,I182))-(SUM('Input and Output'!D$27:D$32))*J181))</f>
        <v>669.78746089177366</v>
      </c>
      <c r="F182" s="49" t="e">
        <f>(('Input and Output'!E$23*'Input and Output'!$B$10)+('Input and Output'!E$24*Calculations!$C$5)+('Input and Output'!E$25*Calculations!$C$6)+('Input and Output'!E$26*(IF('Input and Output'!G$7="Detritus",Calculations!$C$4,J182))-(SUM('Input and Output'!E$27:E$32))*K181))</f>
        <v>#N/A</v>
      </c>
      <c r="H182" s="49">
        <f>IF(H$2="",NA(),C182*$B182+H181)</f>
        <v>154870.45874394546</v>
      </c>
      <c r="I182" s="49">
        <f>IF(I$2="",NA(),D182*$B182+I181)</f>
        <v>1498006.2975429811</v>
      </c>
      <c r="J182" s="49">
        <f>IF(J$2="",NA(),E182*$B182+J181)</f>
        <v>721530.08011185378</v>
      </c>
      <c r="K182" s="49" t="e">
        <f>IF(K$2="",NA(),F182*$B182+K181)</f>
        <v>#N/A</v>
      </c>
    </row>
    <row r="183" spans="1:11" x14ac:dyDescent="0.4">
      <c r="A183" s="49">
        <v>180</v>
      </c>
      <c r="B183" s="49">
        <f>A183/$B$1</f>
        <v>7.5</v>
      </c>
      <c r="C183" s="49">
        <f>(('Input and Output'!B$23*'Input and Output'!$B$10)+('Input and Output'!B$24*Calculations!$C$5)+('Input and Output'!B$25*Calculations!$C$6)+('Input and Output'!B$26*(IF('Input and Output'!D$7="Detritus",Calculations!$C$4,G183))-(SUM('Input and Output'!B$27:B$32))*H182))</f>
        <v>163.52369984203352</v>
      </c>
      <c r="D183" s="49">
        <f>(('Input and Output'!C$23*'Input and Output'!$B$10)+('Input and Output'!C$24*Calculations!$C$5)+('Input and Output'!C$25*Calculations!$C$6)+('Input and Output'!C$26*(IF('Input and Output'!E$7="Detritus",Calculations!$C$4,H183))-(SUM('Input and Output'!C$27:C$32))*I182))</f>
        <v>1474.630383346801</v>
      </c>
      <c r="E183" s="49">
        <f>(('Input and Output'!D$23*'Input and Output'!$B$10)+('Input and Output'!D$24*Calculations!$C$5)+('Input and Output'!D$25*Calculations!$C$6)+('Input and Output'!D$26*(IF('Input and Output'!F$7="Detritus",Calculations!$C$4,I183))-(SUM('Input and Output'!D$27:D$32))*J182))</f>
        <v>664.36600855939105</v>
      </c>
      <c r="F183" s="49" t="e">
        <f>(('Input and Output'!E$23*'Input and Output'!$B$10)+('Input and Output'!E$24*Calculations!$C$5)+('Input and Output'!E$25*Calculations!$C$6)+('Input and Output'!E$26*(IF('Input and Output'!G$7="Detritus",Calculations!$C$4,J183))-(SUM('Input and Output'!E$27:E$32))*K182))</f>
        <v>#N/A</v>
      </c>
      <c r="H183" s="49">
        <f>IF(H$2="",NA(),C183*$B183+H182)</f>
        <v>156096.88649276071</v>
      </c>
      <c r="I183" s="49">
        <f>IF(I$2="",NA(),D183*$B183+I182)</f>
        <v>1509066.025418082</v>
      </c>
      <c r="J183" s="49">
        <f>IF(J$2="",NA(),E183*$B183+J182)</f>
        <v>726512.82517604926</v>
      </c>
      <c r="K183" s="49" t="e">
        <f>IF(K$2="",NA(),F183*$B183+K182)</f>
        <v>#N/A</v>
      </c>
    </row>
    <row r="184" spans="1:11" x14ac:dyDescent="0.4">
      <c r="A184" s="49">
        <v>181</v>
      </c>
      <c r="B184" s="49">
        <f>A184/$B$1</f>
        <v>7.541666666666667</v>
      </c>
      <c r="C184" s="49">
        <f>(('Input and Output'!B$23*'Input and Output'!$B$10)+('Input and Output'!B$24*Calculations!$C$5)+('Input and Output'!B$25*Calculations!$C$6)+('Input and Output'!B$26*(IF('Input and Output'!D$7="Detritus",Calculations!$C$4,G184))-(SUM('Input and Output'!B$27:B$32))*H183))</f>
        <v>162.34128355341696</v>
      </c>
      <c r="D184" s="49">
        <f>(('Input and Output'!C$23*'Input and Output'!$B$10)+('Input and Output'!C$24*Calculations!$C$5)+('Input and Output'!C$25*Calculations!$C$6)+('Input and Output'!C$26*(IF('Input and Output'!E$7="Detritus",Calculations!$C$4,H184))-(SUM('Input and Output'!C$27:C$32))*I183))</f>
        <v>1462.7889410377456</v>
      </c>
      <c r="E184" s="49">
        <f>(('Input and Output'!D$23*'Input and Output'!$B$10)+('Input and Output'!D$24*Calculations!$C$5)+('Input and Output'!D$25*Calculations!$C$6)+('Input and Output'!D$26*(IF('Input and Output'!F$7="Detritus",Calculations!$C$4,I184))-(SUM('Input and Output'!D$27:D$32))*J183))</f>
        <v>658.96766385998126</v>
      </c>
      <c r="F184" s="49" t="e">
        <f>(('Input and Output'!E$23*'Input and Output'!$B$10)+('Input and Output'!E$24*Calculations!$C$5)+('Input and Output'!E$25*Calculations!$C$6)+('Input and Output'!E$26*(IF('Input and Output'!G$7="Detritus",Calculations!$C$4,J184))-(SUM('Input and Output'!E$27:E$32))*K183))</f>
        <v>#N/A</v>
      </c>
      <c r="H184" s="49">
        <f>IF(H$2="",NA(),C184*$B184+H183)</f>
        <v>157321.21033955939</v>
      </c>
      <c r="I184" s="49">
        <f>IF(I$2="",NA(),D184*$B184+I183)</f>
        <v>1520097.8920150751</v>
      </c>
      <c r="J184" s="49">
        <f>IF(J$2="",NA(),E184*$B184+J183)</f>
        <v>731482.53964099323</v>
      </c>
      <c r="K184" s="49" t="e">
        <f>IF(K$2="",NA(),F184*$B184+K183)</f>
        <v>#N/A</v>
      </c>
    </row>
    <row r="185" spans="1:11" x14ac:dyDescent="0.4">
      <c r="A185" s="49">
        <v>182</v>
      </c>
      <c r="B185" s="49">
        <f>A185/$B$1</f>
        <v>7.583333333333333</v>
      </c>
      <c r="C185" s="49">
        <f>(('Input and Output'!B$23*'Input and Output'!$B$10)+('Input and Output'!B$24*Calculations!$C$5)+('Input and Output'!B$25*Calculations!$C$6)+('Input and Output'!B$26*(IF('Input and Output'!D$7="Detritus",Calculations!$C$4,G185))-(SUM('Input and Output'!B$27:B$32))*H184))</f>
        <v>161.16089566640531</v>
      </c>
      <c r="D185" s="49">
        <f>(('Input and Output'!C$23*'Input and Output'!$B$10)+('Input and Output'!C$24*Calculations!$C$5)+('Input and Output'!C$25*Calculations!$C$6)+('Input and Output'!C$26*(IF('Input and Output'!E$7="Detritus",Calculations!$C$4,H185))-(SUM('Input and Output'!C$27:C$32))*I184))</f>
        <v>1450.9958281843233</v>
      </c>
      <c r="E185" s="49">
        <f>(('Input and Output'!D$23*'Input and Output'!$B$10)+('Input and Output'!D$24*Calculations!$C$5)+('Input and Output'!D$25*Calculations!$C$6)+('Input and Output'!D$26*(IF('Input and Output'!F$7="Detritus",Calculations!$C$4,I185))-(SUM('Input and Output'!D$27:D$32))*J184))</f>
        <v>653.59258195603252</v>
      </c>
      <c r="F185" s="49" t="e">
        <f>(('Input and Output'!E$23*'Input and Output'!$B$10)+('Input and Output'!E$24*Calculations!$C$5)+('Input and Output'!E$25*Calculations!$C$6)+('Input and Output'!E$26*(IF('Input and Output'!G$7="Detritus",Calculations!$C$4,J185))-(SUM('Input and Output'!E$27:E$32))*K184))</f>
        <v>#N/A</v>
      </c>
      <c r="H185" s="49">
        <f>IF(H$2="",NA(),C185*$B185+H184)</f>
        <v>158543.3471316963</v>
      </c>
      <c r="I185" s="49">
        <f>IF(I$2="",NA(),D185*$B185+I184)</f>
        <v>1531101.2770454728</v>
      </c>
      <c r="J185" s="49">
        <f>IF(J$2="",NA(),E185*$B185+J184)</f>
        <v>736438.95005415985</v>
      </c>
      <c r="K185" s="49" t="e">
        <f>IF(K$2="",NA(),F185*$B185+K184)</f>
        <v>#N/A</v>
      </c>
    </row>
    <row r="186" spans="1:11" x14ac:dyDescent="0.4">
      <c r="A186" s="49">
        <v>183</v>
      </c>
      <c r="B186" s="49">
        <f>A186/$B$1</f>
        <v>7.625</v>
      </c>
      <c r="C186" s="49">
        <f>(('Input and Output'!B$23*'Input and Output'!$B$10)+('Input and Output'!B$24*Calculations!$C$5)+('Input and Output'!B$25*Calculations!$C$6)+('Input and Output'!B$26*(IF('Input and Output'!D$7="Detritus",Calculations!$C$4,G186))-(SUM('Input and Output'!B$27:B$32))*H185))</f>
        <v>159.98261634963654</v>
      </c>
      <c r="D186" s="49">
        <f>(('Input and Output'!C$23*'Input and Output'!$B$10)+('Input and Output'!C$24*Calculations!$C$5)+('Input and Output'!C$25*Calculations!$C$6)+('Input and Output'!C$26*(IF('Input and Output'!E$7="Detritus",Calculations!$C$4,H186))-(SUM('Input and Output'!C$27:C$32))*I185))</f>
        <v>1439.2514280750433</v>
      </c>
      <c r="E186" s="49">
        <f>(('Input and Output'!D$23*'Input and Output'!$B$10)+('Input and Output'!D$24*Calculations!$C$5)+('Input and Output'!D$25*Calculations!$C$6)+('Input and Output'!D$26*(IF('Input and Output'!F$7="Detritus",Calculations!$C$4,I186))-(SUM('Input and Output'!D$27:D$32))*J185))</f>
        <v>648.24091270123972</v>
      </c>
      <c r="F186" s="49" t="e">
        <f>(('Input and Output'!E$23*'Input and Output'!$B$10)+('Input and Output'!E$24*Calculations!$C$5)+('Input and Output'!E$25*Calculations!$C$6)+('Input and Output'!E$26*(IF('Input and Output'!G$7="Detritus",Calculations!$C$4,J186))-(SUM('Input and Output'!E$27:E$32))*K185))</f>
        <v>#N/A</v>
      </c>
      <c r="H186" s="49">
        <f>IF(H$2="",NA(),C186*$B186+H185)</f>
        <v>159763.21458136226</v>
      </c>
      <c r="I186" s="49">
        <f>IF(I$2="",NA(),D186*$B186+I185)</f>
        <v>1542075.569184545</v>
      </c>
      <c r="J186" s="49">
        <f>IF(J$2="",NA(),E186*$B186+J185)</f>
        <v>741381.78701350675</v>
      </c>
      <c r="K186" s="49" t="e">
        <f>IF(K$2="",NA(),F186*$B186+K185)</f>
        <v>#N/A</v>
      </c>
    </row>
    <row r="187" spans="1:11" x14ac:dyDescent="0.4">
      <c r="A187" s="49">
        <v>184</v>
      </c>
      <c r="B187" s="49">
        <f>A187/$B$1</f>
        <v>7.666666666666667</v>
      </c>
      <c r="C187" s="49">
        <f>(('Input and Output'!B$23*'Input and Output'!$B$10)+('Input and Output'!B$24*Calculations!$C$5)+('Input and Output'!B$25*Calculations!$C$6)+('Input and Output'!B$26*(IF('Input and Output'!D$7="Detritus",Calculations!$C$4,G187))-(SUM('Input and Output'!B$27:B$32))*H186))</f>
        <v>158.80652493794793</v>
      </c>
      <c r="D187" s="49">
        <f>(('Input and Output'!C$23*'Input and Output'!$B$10)+('Input and Output'!C$24*Calculations!$C$5)+('Input and Output'!C$25*Calculations!$C$6)+('Input and Output'!C$26*(IF('Input and Output'!E$7="Detritus",Calculations!$C$4,H187))-(SUM('Input and Output'!C$27:C$32))*I186))</f>
        <v>1427.5561119167655</v>
      </c>
      <c r="E187" s="49">
        <f>(('Input and Output'!D$23*'Input and Output'!$B$10)+('Input and Output'!D$24*Calculations!$C$5)+('Input and Output'!D$25*Calculations!$C$6)+('Input and Output'!D$26*(IF('Input and Output'!F$7="Detritus",Calculations!$C$4,I187))-(SUM('Input and Output'!D$27:D$32))*J186))</f>
        <v>642.91280074626775</v>
      </c>
      <c r="F187" s="49" t="e">
        <f>(('Input and Output'!E$23*'Input and Output'!$B$10)+('Input and Output'!E$24*Calculations!$C$5)+('Input and Output'!E$25*Calculations!$C$6)+('Input and Output'!E$26*(IF('Input and Output'!G$7="Detritus",Calculations!$C$4,J187))-(SUM('Input and Output'!E$27:E$32))*K186))</f>
        <v>#N/A</v>
      </c>
      <c r="H187" s="49">
        <f>IF(H$2="",NA(),C187*$B187+H186)</f>
        <v>160980.73127255321</v>
      </c>
      <c r="I187" s="49">
        <f>IF(I$2="",NA(),D187*$B187+I186)</f>
        <v>1553020.1660425735</v>
      </c>
      <c r="J187" s="49">
        <f>IF(J$2="",NA(),E187*$B187+J186)</f>
        <v>746310.7851525615</v>
      </c>
      <c r="K187" s="49" t="e">
        <f>IF(K$2="",NA(),F187*$B187+K186)</f>
        <v>#N/A</v>
      </c>
    </row>
    <row r="188" spans="1:11" x14ac:dyDescent="0.4">
      <c r="A188" s="49">
        <v>185</v>
      </c>
      <c r="B188" s="49">
        <f>A188/$B$1</f>
        <v>7.708333333333333</v>
      </c>
      <c r="C188" s="49">
        <f>(('Input and Output'!B$23*'Input and Output'!$B$10)+('Input and Output'!B$24*Calculations!$C$5)+('Input and Output'!B$25*Calculations!$C$6)+('Input and Output'!B$26*(IF('Input and Output'!D$7="Detritus",Calculations!$C$4,G188))-(SUM('Input and Output'!B$27:B$32))*H187))</f>
        <v>157.63269992565722</v>
      </c>
      <c r="D188" s="49">
        <f>(('Input and Output'!C$23*'Input and Output'!$B$10)+('Input and Output'!C$24*Calculations!$C$5)+('Input and Output'!C$25*Calculations!$C$6)+('Input and Output'!C$26*(IF('Input and Output'!E$7="Detritus",Calculations!$C$4,H188))-(SUM('Input and Output'!C$27:C$32))*I187))</f>
        <v>1415.9102390701246</v>
      </c>
      <c r="E188" s="49">
        <f>(('Input and Output'!D$23*'Input and Output'!$B$10)+('Input and Output'!D$24*Calculations!$C$5)+('Input and Output'!D$25*Calculations!$C$6)+('Input and Output'!D$26*(IF('Input and Output'!F$7="Detritus",Calculations!$C$4,I188))-(SUM('Input and Output'!D$27:D$32))*J187))</f>
        <v>637.60838564361256</v>
      </c>
      <c r="F188" s="49" t="e">
        <f>(('Input and Output'!E$23*'Input and Output'!$B$10)+('Input and Output'!E$24*Calculations!$C$5)+('Input and Output'!E$25*Calculations!$C$6)+('Input and Output'!E$26*(IF('Input and Output'!G$7="Detritus",Calculations!$C$4,J188))-(SUM('Input and Output'!E$27:E$32))*K187))</f>
        <v>#N/A</v>
      </c>
      <c r="H188" s="49">
        <f>IF(H$2="",NA(),C188*$B188+H187)</f>
        <v>162195.81666781349</v>
      </c>
      <c r="I188" s="49">
        <f>IF(I$2="",NA(),D188*$B188+I187)</f>
        <v>1563934.4741354056</v>
      </c>
      <c r="J188" s="49">
        <f>IF(J$2="",NA(),E188*$B188+J187)</f>
        <v>751225.68312523107</v>
      </c>
      <c r="K188" s="49" t="e">
        <f>IF(K$2="",NA(),F188*$B188+K187)</f>
        <v>#N/A</v>
      </c>
    </row>
    <row r="189" spans="1:11" x14ac:dyDescent="0.4">
      <c r="A189" s="49">
        <v>186</v>
      </c>
      <c r="B189" s="49">
        <f>A189/$B$1</f>
        <v>7.75</v>
      </c>
      <c r="C189" s="49">
        <f>(('Input and Output'!B$23*'Input and Output'!$B$10)+('Input and Output'!B$24*Calculations!$C$5)+('Input and Output'!B$25*Calculations!$C$6)+('Input and Output'!B$26*(IF('Input and Output'!D$7="Detritus",Calculations!$C$4,G189))-(SUM('Input and Output'!B$27:B$32))*H188))</f>
        <v>156.46121896006116</v>
      </c>
      <c r="D189" s="49">
        <f>(('Input and Output'!C$23*'Input and Output'!$B$10)+('Input and Output'!C$24*Calculations!$C$5)+('Input and Output'!C$25*Calculations!$C$6)+('Input and Output'!C$26*(IF('Input and Output'!E$7="Detritus",Calculations!$C$4,H189))-(SUM('Input and Output'!C$27:C$32))*I188))</f>
        <v>1404.3141572826535</v>
      </c>
      <c r="E189" s="49">
        <f>(('Input and Output'!D$23*'Input and Output'!$B$10)+('Input and Output'!D$24*Calculations!$C$5)+('Input and Output'!D$25*Calculations!$C$6)+('Input and Output'!D$26*(IF('Input and Output'!F$7="Detritus",Calculations!$C$4,I189))-(SUM('Input and Output'!D$27:D$32))*J188))</f>
        <v>632.3278019515601</v>
      </c>
      <c r="F189" s="49" t="e">
        <f>(('Input and Output'!E$23*'Input and Output'!$B$10)+('Input and Output'!E$24*Calculations!$C$5)+('Input and Output'!E$25*Calculations!$C$6)+('Input and Output'!E$26*(IF('Input and Output'!G$7="Detritus",Calculations!$C$4,J189))-(SUM('Input and Output'!E$27:E$32))*K188))</f>
        <v>#N/A</v>
      </c>
      <c r="H189" s="49">
        <f>IF(H$2="",NA(),C189*$B189+H188)</f>
        <v>163408.39111475396</v>
      </c>
      <c r="I189" s="49">
        <f>IF(I$2="",NA(),D189*$B189+I188)</f>
        <v>1574817.9088543463</v>
      </c>
      <c r="J189" s="49">
        <f>IF(J$2="",NA(),E189*$B189+J188)</f>
        <v>756126.2235903556</v>
      </c>
      <c r="K189" s="49" t="e">
        <f>IF(K$2="",NA(),F189*$B189+K188)</f>
        <v>#N/A</v>
      </c>
    </row>
    <row r="190" spans="1:11" x14ac:dyDescent="0.4">
      <c r="A190" s="49">
        <v>187</v>
      </c>
      <c r="B190" s="49">
        <f>A190/$B$1</f>
        <v>7.791666666666667</v>
      </c>
      <c r="C190" s="49">
        <f>(('Input and Output'!B$23*'Input and Output'!$B$10)+('Input and Output'!B$24*Calculations!$C$5)+('Input and Output'!B$25*Calculations!$C$6)+('Input and Output'!B$26*(IF('Input and Output'!D$7="Detritus",Calculations!$C$4,G190))-(SUM('Input and Output'!B$27:B$32))*H189))</f>
        <v>155.2921588351515</v>
      </c>
      <c r="D190" s="49">
        <f>(('Input and Output'!C$23*'Input and Output'!$B$10)+('Input and Output'!C$24*Calculations!$C$5)+('Input and Output'!C$25*Calculations!$C$6)+('Input and Output'!C$26*(IF('Input and Output'!E$7="Detritus",Calculations!$C$4,H190))-(SUM('Input and Output'!C$27:C$32))*I189))</f>
        <v>1392.7682029194839</v>
      </c>
      <c r="E190" s="49">
        <f>(('Input and Output'!D$23*'Input and Output'!$B$10)+('Input and Output'!D$24*Calculations!$C$5)+('Input and Output'!D$25*Calculations!$C$6)+('Input and Output'!D$26*(IF('Input and Output'!F$7="Detritus",Calculations!$C$4,I190))-(SUM('Input and Output'!D$27:D$32))*J189))</f>
        <v>627.07117933698828</v>
      </c>
      <c r="F190" s="49" t="e">
        <f>(('Input and Output'!E$23*'Input and Output'!$B$10)+('Input and Output'!E$24*Calculations!$C$5)+('Input and Output'!E$25*Calculations!$C$6)+('Input and Output'!E$26*(IF('Input and Output'!G$7="Detritus",Calculations!$C$4,J190))-(SUM('Input and Output'!E$27:E$32))*K189))</f>
        <v>#N/A</v>
      </c>
      <c r="H190" s="49">
        <f>IF(H$2="",NA(),C190*$B190+H189)</f>
        <v>164618.37585234453</v>
      </c>
      <c r="I190" s="49">
        <f>IF(I$2="",NA(),D190*$B190+I189)</f>
        <v>1585669.8944354272</v>
      </c>
      <c r="J190" s="49">
        <f>IF(J$2="",NA(),E190*$B190+J189)</f>
        <v>761012.15319602296</v>
      </c>
      <c r="K190" s="49" t="e">
        <f>IF(K$2="",NA(),F190*$B190+K189)</f>
        <v>#N/A</v>
      </c>
    </row>
    <row r="191" spans="1:11" x14ac:dyDescent="0.4">
      <c r="A191" s="49">
        <v>188</v>
      </c>
      <c r="B191" s="49">
        <f>A191/$B$1</f>
        <v>7.833333333333333</v>
      </c>
      <c r="C191" s="49">
        <f>(('Input and Output'!B$23*'Input and Output'!$B$10)+('Input and Output'!B$24*Calculations!$C$5)+('Input and Output'!B$25*Calculations!$C$6)+('Input and Output'!B$26*(IF('Input and Output'!D$7="Detritus",Calculations!$C$4,G191))-(SUM('Input and Output'!B$27:B$32))*H190))</f>
        <v>154.12559548554802</v>
      </c>
      <c r="D191" s="49">
        <f>(('Input and Output'!C$23*'Input and Output'!$B$10)+('Input and Output'!C$24*Calculations!$C$5)+('Input and Output'!C$25*Calculations!$C$6)+('Input and Output'!C$26*(IF('Input and Output'!E$7="Detritus",Calculations!$C$4,H191))-(SUM('Input and Output'!C$27:C$32))*I190))</f>
        <v>1381.2727011914799</v>
      </c>
      <c r="E191" s="49">
        <f>(('Input and Output'!D$23*'Input and Output'!$B$10)+('Input and Output'!D$24*Calculations!$C$5)+('Input and Output'!D$25*Calculations!$C$6)+('Input and Output'!D$26*(IF('Input and Output'!F$7="Detritus",Calculations!$C$4,I191))-(SUM('Input and Output'!D$27:D$32))*J190))</f>
        <v>621.83864267715762</v>
      </c>
      <c r="F191" s="49" t="e">
        <f>(('Input and Output'!E$23*'Input and Output'!$B$10)+('Input and Output'!E$24*Calculations!$C$5)+('Input and Output'!E$25*Calculations!$C$6)+('Input and Output'!E$26*(IF('Input and Output'!G$7="Detritus",Calculations!$C$4,J191))-(SUM('Input and Output'!E$27:E$32))*K190))</f>
        <v>#N/A</v>
      </c>
      <c r="H191" s="49">
        <f>IF(H$2="",NA(),C191*$B191+H190)</f>
        <v>165825.69301698133</v>
      </c>
      <c r="I191" s="49">
        <f>IF(I$2="",NA(),D191*$B191+I190)</f>
        <v>1596489.8639280938</v>
      </c>
      <c r="J191" s="49">
        <f>IF(J$2="",NA(),E191*$B191+J190)</f>
        <v>765883.2225636607</v>
      </c>
      <c r="K191" s="49" t="e">
        <f>IF(K$2="",NA(),F191*$B191+K190)</f>
        <v>#N/A</v>
      </c>
    </row>
    <row r="192" spans="1:11" x14ac:dyDescent="0.4">
      <c r="A192" s="49">
        <v>189</v>
      </c>
      <c r="B192" s="49">
        <f>A192/$B$1</f>
        <v>7.875</v>
      </c>
      <c r="C192" s="49">
        <f>(('Input and Output'!B$23*'Input and Output'!$B$10)+('Input and Output'!B$24*Calculations!$C$5)+('Input and Output'!B$25*Calculations!$C$6)+('Input and Output'!B$26*(IF('Input and Output'!D$7="Detritus",Calculations!$C$4,G192))-(SUM('Input and Output'!B$27:B$32))*H191))</f>
        <v>152.96160398064936</v>
      </c>
      <c r="D192" s="49">
        <f>(('Input and Output'!C$23*'Input and Output'!$B$10)+('Input and Output'!C$24*Calculations!$C$5)+('Input and Output'!C$25*Calculations!$C$6)+('Input and Output'!C$26*(IF('Input and Output'!E$7="Detritus",Calculations!$C$4,H192))-(SUM('Input and Output'!C$27:C$32))*I191))</f>
        <v>1369.8279663806911</v>
      </c>
      <c r="E192" s="49">
        <f>(('Input and Output'!D$23*'Input and Output'!$B$10)+('Input and Output'!D$24*Calculations!$C$5)+('Input and Output'!D$25*Calculations!$C$6)+('Input and Output'!D$26*(IF('Input and Output'!F$7="Detritus",Calculations!$C$4,I192))-(SUM('Input and Output'!D$27:D$32))*J191))</f>
        <v>616.63031216027957</v>
      </c>
      <c r="F192" s="49" t="e">
        <f>(('Input and Output'!E$23*'Input and Output'!$B$10)+('Input and Output'!E$24*Calculations!$C$5)+('Input and Output'!E$25*Calculations!$C$6)+('Input and Output'!E$26*(IF('Input and Output'!G$7="Detritus",Calculations!$C$4,J192))-(SUM('Input and Output'!E$27:E$32))*K191))</f>
        <v>#N/A</v>
      </c>
      <c r="H192" s="49">
        <f>IF(H$2="",NA(),C192*$B192+H191)</f>
        <v>167030.26564832893</v>
      </c>
      <c r="I192" s="49">
        <f>IF(I$2="",NA(),D192*$B192+I191)</f>
        <v>1607277.2591633417</v>
      </c>
      <c r="J192" s="49">
        <f>IF(J$2="",NA(),E192*$B192+J191)</f>
        <v>770739.1862719229</v>
      </c>
      <c r="K192" s="49" t="e">
        <f>IF(K$2="",NA(),F192*$B192+K191)</f>
        <v>#N/A</v>
      </c>
    </row>
    <row r="193" spans="1:11" x14ac:dyDescent="0.4">
      <c r="A193" s="49">
        <v>190</v>
      </c>
      <c r="B193" s="49">
        <f>A193/$B$1</f>
        <v>7.916666666666667</v>
      </c>
      <c r="C193" s="49">
        <f>(('Input and Output'!B$23*'Input and Output'!$B$10)+('Input and Output'!B$24*Calculations!$C$5)+('Input and Output'!B$25*Calculations!$C$6)+('Input and Output'!B$26*(IF('Input and Output'!D$7="Detritus",Calculations!$C$4,G193))-(SUM('Input and Output'!B$27:B$32))*H192))</f>
        <v>151.80025851900024</v>
      </c>
      <c r="D193" s="49">
        <f>(('Input and Output'!C$23*'Input and Output'!$B$10)+('Input and Output'!C$24*Calculations!$C$5)+('Input and Output'!C$25*Calculations!$C$6)+('Input and Output'!C$26*(IF('Input and Output'!E$7="Detritus",Calculations!$C$4,H193))-(SUM('Input and Output'!C$27:C$32))*I192))</f>
        <v>1358.434302063014</v>
      </c>
      <c r="E193" s="49">
        <f>(('Input and Output'!D$23*'Input and Output'!$B$10)+('Input and Output'!D$24*Calculations!$C$5)+('Input and Output'!D$25*Calculations!$C$6)+('Input and Output'!D$26*(IF('Input and Output'!F$7="Detritus",Calculations!$C$4,I193))-(SUM('Input and Output'!D$27:D$32))*J192))</f>
        <v>611.44630338489151</v>
      </c>
      <c r="F193" s="49" t="e">
        <f>(('Input and Output'!E$23*'Input and Output'!$B$10)+('Input and Output'!E$24*Calculations!$C$5)+('Input and Output'!E$25*Calculations!$C$6)+('Input and Output'!E$26*(IF('Input and Output'!G$7="Detritus",Calculations!$C$4,J193))-(SUM('Input and Output'!E$27:E$32))*K192))</f>
        <v>#N/A</v>
      </c>
      <c r="H193" s="49">
        <f>IF(H$2="",NA(),C193*$B193+H192)</f>
        <v>168232.01769493768</v>
      </c>
      <c r="I193" s="49">
        <f>IF(I$2="",NA(),D193*$B193+I192)</f>
        <v>1618031.5307213406</v>
      </c>
      <c r="J193" s="49">
        <f>IF(J$2="",NA(),E193*$B193+J192)</f>
        <v>775579.80284038663</v>
      </c>
      <c r="K193" s="49" t="e">
        <f>IF(K$2="",NA(),F193*$B193+K192)</f>
        <v>#N/A</v>
      </c>
    </row>
    <row r="194" spans="1:11" x14ac:dyDescent="0.4">
      <c r="A194" s="49">
        <v>191</v>
      </c>
      <c r="B194" s="49">
        <f>A194/$B$1</f>
        <v>7.958333333333333</v>
      </c>
      <c r="C194" s="49">
        <f>(('Input and Output'!B$23*'Input and Output'!$B$10)+('Input and Output'!B$24*Calculations!$C$5)+('Input and Output'!B$25*Calculations!$C$6)+('Input and Output'!B$26*(IF('Input and Output'!D$7="Detritus",Calculations!$C$4,G194))-(SUM('Input and Output'!B$27:B$32))*H193))</f>
        <v>150.6416324228758</v>
      </c>
      <c r="D194" s="49">
        <f>(('Input and Output'!C$23*'Input and Output'!$B$10)+('Input and Output'!C$24*Calculations!$C$5)+('Input and Output'!C$25*Calculations!$C$6)+('Input and Output'!C$26*(IF('Input and Output'!E$7="Detritus",Calculations!$C$4,H194))-(SUM('Input and Output'!C$27:C$32))*I193))</f>
        <v>1347.0920013279388</v>
      </c>
      <c r="E194" s="49">
        <f>(('Input and Output'!D$23*'Input and Output'!$B$10)+('Input and Output'!D$24*Calculations!$C$5)+('Input and Output'!D$25*Calculations!$C$6)+('Input and Output'!D$26*(IF('Input and Output'!F$7="Detritus",Calculations!$C$4,I194))-(SUM('Input and Output'!D$27:D$32))*J193))</f>
        <v>606.28672745784934</v>
      </c>
      <c r="F194" s="49" t="e">
        <f>(('Input and Output'!E$23*'Input and Output'!$B$10)+('Input and Output'!E$24*Calculations!$C$5)+('Input and Output'!E$25*Calculations!$C$6)+('Input and Output'!E$26*(IF('Input and Output'!G$7="Detritus",Calculations!$C$4,J194))-(SUM('Input and Output'!E$27:E$32))*K193))</f>
        <v>#N/A</v>
      </c>
      <c r="H194" s="49">
        <f>IF(H$2="",NA(),C194*$B194+H193)</f>
        <v>169430.87401963639</v>
      </c>
      <c r="I194" s="49">
        <f>IF(I$2="",NA(),D194*$B194+I193)</f>
        <v>1628752.1378985755</v>
      </c>
      <c r="J194" s="49">
        <f>IF(J$2="",NA(),E194*$B194+J193)</f>
        <v>780404.83471307205</v>
      </c>
      <c r="K194" s="49" t="e">
        <f>IF(K$2="",NA(),F194*$B194+K193)</f>
        <v>#N/A</v>
      </c>
    </row>
    <row r="195" spans="1:11" x14ac:dyDescent="0.4">
      <c r="A195" s="49">
        <v>192</v>
      </c>
      <c r="B195" s="49">
        <f>A195/$B$1</f>
        <v>8</v>
      </c>
      <c r="C195" s="49">
        <f>(('Input and Output'!B$23*'Input and Output'!$B$10)+('Input and Output'!B$24*Calculations!$C$5)+('Input and Output'!B$25*Calculations!$C$6)+('Input and Output'!B$26*(IF('Input and Output'!D$7="Detritus",Calculations!$C$4,G195))-(SUM('Input and Output'!B$27:B$32))*H194))</f>
        <v>149.48579813308243</v>
      </c>
      <c r="D195" s="49">
        <f>(('Input and Output'!C$23*'Input and Output'!$B$10)+('Input and Output'!C$24*Calculations!$C$5)+('Input and Output'!C$25*Calculations!$C$6)+('Input and Output'!C$26*(IF('Input and Output'!E$7="Detritus",Calculations!$C$4,H195))-(SUM('Input and Output'!C$27:C$32))*I194))</f>
        <v>1335.8013469952975</v>
      </c>
      <c r="E195" s="49">
        <f>(('Input and Output'!D$23*'Input and Output'!$B$10)+('Input and Output'!D$24*Calculations!$C$5)+('Input and Output'!D$25*Calculations!$C$6)+('Input and Output'!D$26*(IF('Input and Output'!F$7="Detritus",Calculations!$C$4,I195))-(SUM('Input and Output'!D$27:D$32))*J194))</f>
        <v>601.15169109111957</v>
      </c>
      <c r="F195" s="49" t="e">
        <f>(('Input and Output'!E$23*'Input and Output'!$B$10)+('Input and Output'!E$24*Calculations!$C$5)+('Input and Output'!E$25*Calculations!$C$6)+('Input and Output'!E$26*(IF('Input and Output'!G$7="Detritus",Calculations!$C$4,J195))-(SUM('Input and Output'!E$27:E$32))*K194))</f>
        <v>#N/A</v>
      </c>
      <c r="H195" s="49">
        <f>IF(H$2="",NA(),C195*$B195+H194)</f>
        <v>170626.76040470105</v>
      </c>
      <c r="I195" s="49">
        <f>IF(I$2="",NA(),D195*$B195+I194)</f>
        <v>1639438.5486745378</v>
      </c>
      <c r="J195" s="49">
        <f>IF(J$2="",NA(),E195*$B195+J194)</f>
        <v>785214.04824180098</v>
      </c>
      <c r="K195" s="49" t="e">
        <f>IF(K$2="",NA(),F195*$B195+K194)</f>
        <v>#N/A</v>
      </c>
    </row>
    <row r="196" spans="1:11" x14ac:dyDescent="0.4">
      <c r="A196" s="49">
        <v>193</v>
      </c>
      <c r="B196" s="49">
        <f>A196/$B$1</f>
        <v>8.0416666666666661</v>
      </c>
      <c r="C196" s="49">
        <f>(('Input and Output'!B$23*'Input and Output'!$B$10)+('Input and Output'!B$24*Calculations!$C$5)+('Input and Output'!B$25*Calculations!$C$6)+('Input and Output'!B$26*(IF('Input and Output'!D$7="Detritus",Calculations!$C$4,G196))-(SUM('Input and Output'!B$27:B$32))*H195))</f>
        <v>148.33282720397449</v>
      </c>
      <c r="D196" s="49">
        <f>(('Input and Output'!C$23*'Input and Output'!$B$10)+('Input and Output'!C$24*Calculations!$C$5)+('Input and Output'!C$25*Calculations!$C$6)+('Input and Output'!C$26*(IF('Input and Output'!E$7="Detritus",Calculations!$C$4,H196))-(SUM('Input and Output'!C$27:C$32))*I195))</f>
        <v>1324.5626118289092</v>
      </c>
      <c r="E196" s="49">
        <f>(('Input and Output'!D$23*'Input and Output'!$B$10)+('Input and Output'!D$24*Calculations!$C$5)+('Input and Output'!D$25*Calculations!$C$6)+('Input and Output'!D$26*(IF('Input and Output'!F$7="Detritus",Calculations!$C$4,I196))-(SUM('Input and Output'!D$27:D$32))*J195))</f>
        <v>596.04129669713802</v>
      </c>
      <c r="F196" s="49" t="e">
        <f>(('Input and Output'!E$23*'Input and Output'!$B$10)+('Input and Output'!E$24*Calculations!$C$5)+('Input and Output'!E$25*Calculations!$C$6)+('Input and Output'!E$26*(IF('Input and Output'!G$7="Detritus",Calculations!$C$4,J196))-(SUM('Input and Output'!E$27:E$32))*K195))</f>
        <v>#N/A</v>
      </c>
      <c r="H196" s="49">
        <f>IF(H$2="",NA(),C196*$B196+H195)</f>
        <v>171819.60355679967</v>
      </c>
      <c r="I196" s="49">
        <f>IF(I$2="",NA(),D196*$B196+I195)</f>
        <v>1650090.2396779952</v>
      </c>
      <c r="J196" s="49">
        <f>IF(J$2="",NA(),E196*$B196+J195)</f>
        <v>790007.21366940718</v>
      </c>
      <c r="K196" s="49" t="e">
        <f>IF(K$2="",NA(),F196*$B196+K195)</f>
        <v>#N/A</v>
      </c>
    </row>
    <row r="197" spans="1:11" x14ac:dyDescent="0.4">
      <c r="A197" s="49">
        <v>194</v>
      </c>
      <c r="B197" s="49">
        <f>A197/$B$1</f>
        <v>8.0833333333333339</v>
      </c>
      <c r="C197" s="49">
        <f>(('Input and Output'!B$23*'Input and Output'!$B$10)+('Input and Output'!B$24*Calculations!$C$5)+('Input and Output'!B$25*Calculations!$C$6)+('Input and Output'!B$26*(IF('Input and Output'!D$7="Detritus",Calculations!$C$4,G197))-(SUM('Input and Output'!B$27:B$32))*H196))</f>
        <v>147.18279029868705</v>
      </c>
      <c r="D197" s="49">
        <f>(('Input and Output'!C$23*'Input and Output'!$B$10)+('Input and Output'!C$24*Calculations!$C$5)+('Input and Output'!C$25*Calculations!$C$6)+('Input and Output'!C$26*(IF('Input and Output'!E$7="Detritus",Calculations!$C$4,H197))-(SUM('Input and Output'!C$27:C$32))*I196))</f>
        <v>1313.3760587470283</v>
      </c>
      <c r="E197" s="49">
        <f>(('Input and Output'!D$23*'Input and Output'!$B$10)+('Input and Output'!D$24*Calculations!$C$5)+('Input and Output'!D$25*Calculations!$C$6)+('Input and Output'!D$26*(IF('Input and Output'!F$7="Detritus",Calculations!$C$4,I197))-(SUM('Input and Output'!D$27:D$32))*J196))</f>
        <v>590.95564248263327</v>
      </c>
      <c r="F197" s="49" t="e">
        <f>(('Input and Output'!E$23*'Input and Output'!$B$10)+('Input and Output'!E$24*Calculations!$C$5)+('Input and Output'!E$25*Calculations!$C$6)+('Input and Output'!E$26*(IF('Input and Output'!G$7="Detritus",Calculations!$C$4,J197))-(SUM('Input and Output'!E$27:E$32))*K196))</f>
        <v>#N/A</v>
      </c>
      <c r="H197" s="49">
        <f>IF(H$2="",NA(),C197*$B197+H196)</f>
        <v>173009.33111171407</v>
      </c>
      <c r="I197" s="49">
        <f>IF(I$2="",NA(),D197*$B197+I196)</f>
        <v>1660706.6961528671</v>
      </c>
      <c r="J197" s="49">
        <f>IF(J$2="",NA(),E197*$B197+J196)</f>
        <v>794784.10511280852</v>
      </c>
      <c r="K197" s="49" t="e">
        <f>IF(K$2="",NA(),F197*$B197+K196)</f>
        <v>#N/A</v>
      </c>
    </row>
    <row r="198" spans="1:11" x14ac:dyDescent="0.4">
      <c r="A198" s="49">
        <v>195</v>
      </c>
      <c r="B198" s="49">
        <f>A198/$B$1</f>
        <v>8.125</v>
      </c>
      <c r="C198" s="49">
        <f>(('Input and Output'!B$23*'Input and Output'!$B$10)+('Input and Output'!B$24*Calculations!$C$5)+('Input and Output'!B$25*Calculations!$C$6)+('Input and Output'!B$26*(IF('Input and Output'!D$7="Detritus",Calculations!$C$4,G198))-(SUM('Input and Output'!B$27:B$32))*H197))</f>
        <v>146.03575718458333</v>
      </c>
      <c r="D198" s="49">
        <f>(('Input and Output'!C$23*'Input and Output'!$B$10)+('Input and Output'!C$24*Calculations!$C$5)+('Input and Output'!C$25*Calculations!$C$6)+('Input and Output'!C$26*(IF('Input and Output'!E$7="Detritus",Calculations!$C$4,H198))-(SUM('Input and Output'!C$27:C$32))*I197))</f>
        <v>1302.2419410295356</v>
      </c>
      <c r="E198" s="49">
        <f>(('Input and Output'!D$23*'Input and Output'!$B$10)+('Input and Output'!D$24*Calculations!$C$5)+('Input and Output'!D$25*Calculations!$C$6)+('Input and Output'!D$26*(IF('Input and Output'!F$7="Detritus",Calculations!$C$4,I198))-(SUM('Input and Output'!D$27:D$32))*J197))</f>
        <v>585.8948225411259</v>
      </c>
      <c r="F198" s="49" t="e">
        <f>(('Input and Output'!E$23*'Input and Output'!$B$10)+('Input and Output'!E$24*Calculations!$C$5)+('Input and Output'!E$25*Calculations!$C$6)+('Input and Output'!E$26*(IF('Input and Output'!G$7="Detritus",Calculations!$C$4,J198))-(SUM('Input and Output'!E$27:E$32))*K197))</f>
        <v>#N/A</v>
      </c>
      <c r="H198" s="49">
        <f>IF(H$2="",NA(),C198*$B198+H197)</f>
        <v>174195.87163883881</v>
      </c>
      <c r="I198" s="49">
        <f>IF(I$2="",NA(),D198*$B198+I197)</f>
        <v>1671287.4119237321</v>
      </c>
      <c r="J198" s="49">
        <f>IF(J$2="",NA(),E198*$B198+J197)</f>
        <v>799544.50054595515</v>
      </c>
      <c r="K198" s="49" t="e">
        <f>IF(K$2="",NA(),F198*$B198+K197)</f>
        <v>#N/A</v>
      </c>
    </row>
    <row r="199" spans="1:11" x14ac:dyDescent="0.4">
      <c r="A199" s="49">
        <v>196</v>
      </c>
      <c r="B199" s="49">
        <f>A199/$B$1</f>
        <v>8.1666666666666661</v>
      </c>
      <c r="C199" s="49">
        <f>(('Input and Output'!B$23*'Input and Output'!$B$10)+('Input and Output'!B$24*Calculations!$C$5)+('Input and Output'!B$25*Calculations!$C$6)+('Input and Output'!B$26*(IF('Input and Output'!D$7="Detritus",Calculations!$C$4,G199))-(SUM('Input and Output'!B$27:B$32))*H198))</f>
        <v>144.89179672891743</v>
      </c>
      <c r="D199" s="49">
        <f>(('Input and Output'!C$23*'Input and Output'!$B$10)+('Input and Output'!C$24*Calculations!$C$5)+('Input and Output'!C$25*Calculations!$C$6)+('Input and Output'!C$26*(IF('Input and Output'!E$7="Detritus",Calculations!$C$4,H199))-(SUM('Input and Output'!C$27:C$32))*I198))</f>
        <v>1291.160502521775</v>
      </c>
      <c r="E199" s="49">
        <f>(('Input and Output'!D$23*'Input and Output'!$B$10)+('Input and Output'!D$24*Calculations!$C$5)+('Input and Output'!D$25*Calculations!$C$6)+('Input and Output'!D$26*(IF('Input and Output'!F$7="Detritus",Calculations!$C$4,I199))-(SUM('Input and Output'!D$27:D$32))*J198))</f>
        <v>580.85892694383438</v>
      </c>
      <c r="F199" s="49" t="e">
        <f>(('Input and Output'!E$23*'Input and Output'!$B$10)+('Input and Output'!E$24*Calculations!$C$5)+('Input and Output'!E$25*Calculations!$C$6)+('Input and Output'!E$26*(IF('Input and Output'!G$7="Detritus",Calculations!$C$4,J199))-(SUM('Input and Output'!E$27:E$32))*K198))</f>
        <v>#N/A</v>
      </c>
      <c r="H199" s="49">
        <f>IF(H$2="",NA(),C199*$B199+H198)</f>
        <v>175379.1546454583</v>
      </c>
      <c r="I199" s="49">
        <f>IF(I$2="",NA(),D199*$B199+I198)</f>
        <v>1681831.8893609934</v>
      </c>
      <c r="J199" s="49">
        <f>IF(J$2="",NA(),E199*$B199+J198)</f>
        <v>804288.1817826631</v>
      </c>
      <c r="K199" s="49" t="e">
        <f>IF(K$2="",NA(),F199*$B199+K198)</f>
        <v>#N/A</v>
      </c>
    </row>
    <row r="200" spans="1:11" x14ac:dyDescent="0.4">
      <c r="A200" s="49">
        <v>197</v>
      </c>
      <c r="B200" s="49">
        <f>A200/$B$1</f>
        <v>8.2083333333333339</v>
      </c>
      <c r="C200" s="49">
        <f>(('Input and Output'!B$23*'Input and Output'!$B$10)+('Input and Output'!B$24*Calculations!$C$5)+('Input and Output'!B$25*Calculations!$C$6)+('Input and Output'!B$26*(IF('Input and Output'!D$7="Detritus",Calculations!$C$4,G200))-(SUM('Input and Output'!B$27:B$32))*H199))</f>
        <v>143.75097689471059</v>
      </c>
      <c r="D200" s="49">
        <f>(('Input and Output'!C$23*'Input and Output'!$B$10)+('Input and Output'!C$24*Calculations!$C$5)+('Input and Output'!C$25*Calculations!$C$6)+('Input and Output'!C$26*(IF('Input and Output'!E$7="Detritus",Calculations!$C$4,H200))-(SUM('Input and Output'!C$27:C$32))*I199))</f>
        <v>1280.1319778349816</v>
      </c>
      <c r="E200" s="49">
        <f>(('Input and Output'!D$23*'Input and Output'!$B$10)+('Input and Output'!D$24*Calculations!$C$5)+('Input and Output'!D$25*Calculations!$C$6)+('Input and Output'!D$26*(IF('Input and Output'!F$7="Detritus",Calculations!$C$4,I200))-(SUM('Input and Output'!D$27:D$32))*J199))</f>
        <v>575.84804182907465</v>
      </c>
      <c r="F200" s="49" t="e">
        <f>(('Input and Output'!E$23*'Input and Output'!$B$10)+('Input and Output'!E$24*Calculations!$C$5)+('Input and Output'!E$25*Calculations!$C$6)+('Input and Output'!E$26*(IF('Input and Output'!G$7="Detritus",Calculations!$C$4,J200))-(SUM('Input and Output'!E$27:E$32))*K199))</f>
        <v>#N/A</v>
      </c>
      <c r="H200" s="49">
        <f>IF(H$2="",NA(),C200*$B200+H199)</f>
        <v>176559.11058080237</v>
      </c>
      <c r="I200" s="49">
        <f>IF(I$2="",NA(),D200*$B200+I199)</f>
        <v>1692339.6393457223</v>
      </c>
      <c r="J200" s="49">
        <f>IF(J$2="",NA(),E200*$B200+J199)</f>
        <v>809014.93445934344</v>
      </c>
      <c r="K200" s="49" t="e">
        <f>IF(K$2="",NA(),F200*$B200+K199)</f>
        <v>#N/A</v>
      </c>
    </row>
    <row r="201" spans="1:11" x14ac:dyDescent="0.4">
      <c r="A201" s="49">
        <v>198</v>
      </c>
      <c r="B201" s="49">
        <f>A201/$B$1</f>
        <v>8.25</v>
      </c>
      <c r="C201" s="49">
        <f>(('Input and Output'!B$23*'Input and Output'!$B$10)+('Input and Output'!B$24*Calculations!$C$5)+('Input and Output'!B$25*Calculations!$C$6)+('Input and Output'!B$26*(IF('Input and Output'!D$7="Detritus",Calculations!$C$4,G201))-(SUM('Input and Output'!B$27:B$32))*H200))</f>
        <v>142.61336473684116</v>
      </c>
      <c r="D201" s="49">
        <f>(('Input and Output'!C$23*'Input and Output'!$B$10)+('Input and Output'!C$24*Calculations!$C$5)+('Input and Output'!C$25*Calculations!$C$6)+('Input and Output'!C$26*(IF('Input and Output'!E$7="Detritus",Calculations!$C$4,H201))-(SUM('Input and Output'!C$27:C$32))*I200))</f>
        <v>1269.1565925432324</v>
      </c>
      <c r="E201" s="49">
        <f>(('Input and Output'!D$23*'Input and Output'!$B$10)+('Input and Output'!D$24*Calculations!$C$5)+('Input and Output'!D$25*Calculations!$C$6)+('Input and Output'!D$26*(IF('Input and Output'!F$7="Detritus",Calculations!$C$4,I201))-(SUM('Input and Output'!D$27:D$32))*J200))</f>
        <v>570.86224949004463</v>
      </c>
      <c r="F201" s="49" t="e">
        <f>(('Input and Output'!E$23*'Input and Output'!$B$10)+('Input and Output'!E$24*Calculations!$C$5)+('Input and Output'!E$25*Calculations!$C$6)+('Input and Output'!E$26*(IF('Input and Output'!G$7="Detritus",Calculations!$C$4,J201))-(SUM('Input and Output'!E$27:E$32))*K200))</f>
        <v>#N/A</v>
      </c>
      <c r="H201" s="49">
        <f>IF(H$2="",NA(),C201*$B201+H200)</f>
        <v>177735.67083988132</v>
      </c>
      <c r="I201" s="49">
        <f>IF(I$2="",NA(),D201*$B201+I200)</f>
        <v>1702810.181234204</v>
      </c>
      <c r="J201" s="49">
        <f>IF(J$2="",NA(),E201*$B201+J200)</f>
        <v>813724.54801763629</v>
      </c>
      <c r="K201" s="49" t="e">
        <f>IF(K$2="",NA(),F201*$B201+K200)</f>
        <v>#N/A</v>
      </c>
    </row>
    <row r="202" spans="1:11" x14ac:dyDescent="0.4">
      <c r="A202" s="49">
        <v>199</v>
      </c>
      <c r="B202" s="49">
        <f>A202/$B$1</f>
        <v>8.2916666666666661</v>
      </c>
      <c r="C202" s="49">
        <f>(('Input and Output'!B$23*'Input and Output'!$B$10)+('Input and Output'!B$24*Calculations!$C$5)+('Input and Output'!B$25*Calculations!$C$6)+('Input and Output'!B$26*(IF('Input and Output'!D$7="Detritus",Calculations!$C$4,G202))-(SUM('Input and Output'!B$27:B$32))*H201))</f>
        <v>141.47902639834729</v>
      </c>
      <c r="D202" s="49">
        <f>(('Input and Output'!C$23*'Input and Output'!$B$10)+('Input and Output'!C$24*Calculations!$C$5)+('Input and Output'!C$25*Calculations!$C$6)+('Input and Output'!C$26*(IF('Input and Output'!E$7="Detritus",Calculations!$C$4,H202))-(SUM('Input and Output'!C$27:C$32))*I201))</f>
        <v>1258.2345633768659</v>
      </c>
      <c r="E202" s="49">
        <f>(('Input and Output'!D$23*'Input and Output'!$B$10)+('Input and Output'!D$24*Calculations!$C$5)+('Input and Output'!D$25*Calculations!$C$6)+('Input and Output'!D$26*(IF('Input and Output'!F$7="Detritus",Calculations!$C$4,I202))-(SUM('Input and Output'!D$27:D$32))*J201))</f>
        <v>565.90162846106614</v>
      </c>
      <c r="F202" s="49" t="e">
        <f>(('Input and Output'!E$23*'Input and Output'!$B$10)+('Input and Output'!E$24*Calculations!$C$5)+('Input and Output'!E$25*Calculations!$C$6)+('Input and Output'!E$26*(IF('Input and Output'!G$7="Detritus",Calculations!$C$4,J202))-(SUM('Input and Output'!E$27:E$32))*K201))</f>
        <v>#N/A</v>
      </c>
      <c r="H202" s="49">
        <f>IF(H$2="",NA(),C202*$B202+H201)</f>
        <v>178908.76776710094</v>
      </c>
      <c r="I202" s="49">
        <f>IF(I$2="",NA(),D202*$B202+I201)</f>
        <v>1713243.0428222038</v>
      </c>
      <c r="J202" s="49">
        <f>IF(J$2="",NA(),E202*$B202+J201)</f>
        <v>818416.81568695931</v>
      </c>
      <c r="K202" s="49" t="e">
        <f>IF(K$2="",NA(),F202*$B202+K201)</f>
        <v>#N/A</v>
      </c>
    </row>
    <row r="203" spans="1:11" x14ac:dyDescent="0.4">
      <c r="A203" s="49">
        <v>200</v>
      </c>
      <c r="B203" s="49">
        <f>A203/$B$1</f>
        <v>8.3333333333333339</v>
      </c>
      <c r="C203" s="49">
        <f>(('Input and Output'!B$23*'Input and Output'!$B$10)+('Input and Output'!B$24*Calculations!$C$5)+('Input and Output'!B$25*Calculations!$C$6)+('Input and Output'!B$26*(IF('Input and Output'!D$7="Detritus",Calculations!$C$4,G203))-(SUM('Input and Output'!B$27:B$32))*H202))</f>
        <v>140.3480271069414</v>
      </c>
      <c r="D203" s="49">
        <f>(('Input and Output'!C$23*'Input and Output'!$B$10)+('Input and Output'!C$24*Calculations!$C$5)+('Input and Output'!C$25*Calculations!$C$6)+('Input and Output'!C$26*(IF('Input and Output'!E$7="Detritus",Calculations!$C$4,H203))-(SUM('Input and Output'!C$27:C$32))*I202))</f>
        <v>1247.3660984123248</v>
      </c>
      <c r="E203" s="49">
        <f>(('Input and Output'!D$23*'Input and Output'!$B$10)+('Input and Output'!D$24*Calculations!$C$5)+('Input and Output'!D$25*Calculations!$C$6)+('Input and Output'!D$26*(IF('Input and Output'!F$7="Detritus",Calculations!$C$4,I203))-(SUM('Input and Output'!D$27:D$32))*J202))</f>
        <v>560.96625360210237</v>
      </c>
      <c r="F203" s="49" t="e">
        <f>(('Input and Output'!E$23*'Input and Output'!$B$10)+('Input and Output'!E$24*Calculations!$C$5)+('Input and Output'!E$25*Calculations!$C$6)+('Input and Output'!E$26*(IF('Input and Output'!G$7="Detritus",Calculations!$C$4,J203))-(SUM('Input and Output'!E$27:E$32))*K202))</f>
        <v>#N/A</v>
      </c>
      <c r="H203" s="49">
        <f>IF(H$2="",NA(),C203*$B203+H202)</f>
        <v>180078.33465965878</v>
      </c>
      <c r="I203" s="49">
        <f>IF(I$2="",NA(),D203*$B203+I202)</f>
        <v>1723637.7603089733</v>
      </c>
      <c r="J203" s="49">
        <f>IF(J$2="",NA(),E203*$B203+J202)</f>
        <v>823091.53446697688</v>
      </c>
      <c r="K203" s="49" t="e">
        <f>IF(K$2="",NA(),F203*$B203+K202)</f>
        <v>#N/A</v>
      </c>
    </row>
    <row r="204" spans="1:11" x14ac:dyDescent="0.4">
      <c r="A204" s="49">
        <v>201</v>
      </c>
      <c r="B204" s="49">
        <f>A204/$B$1</f>
        <v>8.375</v>
      </c>
      <c r="C204" s="49">
        <f>(('Input and Output'!B$23*'Input and Output'!$B$10)+('Input and Output'!B$24*Calculations!$C$5)+('Input and Output'!B$25*Calculations!$C$6)+('Input and Output'!B$26*(IF('Input and Output'!D$7="Detritus",Calculations!$C$4,G204))-(SUM('Input and Output'!B$27:B$32))*H203))</f>
        <v>139.22043117173612</v>
      </c>
      <c r="D204" s="49">
        <f>(('Input and Output'!C$23*'Input and Output'!$B$10)+('Input and Output'!C$24*Calculations!$C$5)+('Input and Output'!C$25*Calculations!$C$6)+('Input and Output'!C$26*(IF('Input and Output'!E$7="Detritus",Calculations!$C$4,H204))-(SUM('Input and Output'!C$27:C$32))*I203))</f>
        <v>1236.5513972583731</v>
      </c>
      <c r="E204" s="49">
        <f>(('Input and Output'!D$23*'Input and Output'!$B$10)+('Input and Output'!D$24*Calculations!$C$5)+('Input and Output'!D$25*Calculations!$C$6)+('Input and Output'!D$26*(IF('Input and Output'!F$7="Detritus",Calculations!$C$4,I204))-(SUM('Input and Output'!D$27:D$32))*J203))</f>
        <v>556.05619618171841</v>
      </c>
      <c r="F204" s="49" t="e">
        <f>(('Input and Output'!E$23*'Input and Output'!$B$10)+('Input and Output'!E$24*Calculations!$C$5)+('Input and Output'!E$25*Calculations!$C$6)+('Input and Output'!E$26*(IF('Input and Output'!G$7="Detritus",Calculations!$C$4,J204))-(SUM('Input and Output'!E$27:E$32))*K203))</f>
        <v>#N/A</v>
      </c>
      <c r="H204" s="49">
        <f>IF(H$2="",NA(),C204*$B204+H203)</f>
        <v>181244.30577072207</v>
      </c>
      <c r="I204" s="49">
        <f>IF(I$2="",NA(),D204*$B204+I203)</f>
        <v>1733993.878261012</v>
      </c>
      <c r="J204" s="49">
        <f>IF(J$2="",NA(),E204*$B204+J203)</f>
        <v>827748.50510999875</v>
      </c>
      <c r="K204" s="49" t="e">
        <f>IF(K$2="",NA(),F204*$B204+K203)</f>
        <v>#N/A</v>
      </c>
    </row>
    <row r="205" spans="1:11" x14ac:dyDescent="0.4">
      <c r="A205" s="49">
        <v>202</v>
      </c>
      <c r="B205" s="49">
        <f>A205/$B$1</f>
        <v>8.4166666666666661</v>
      </c>
      <c r="C205" s="49">
        <f>(('Input and Output'!B$23*'Input and Output'!$B$10)+('Input and Output'!B$24*Calculations!$C$5)+('Input and Output'!B$25*Calculations!$C$6)+('Input and Output'!B$26*(IF('Input and Output'!D$7="Detritus",Calculations!$C$4,G205))-(SUM('Input and Output'!B$27:B$32))*H204))</f>
        <v>138.09630198018004</v>
      </c>
      <c r="D205" s="49">
        <f>(('Input and Output'!C$23*'Input and Output'!$B$10)+('Input and Output'!C$24*Calculations!$C$5)+('Input and Output'!C$25*Calculations!$C$6)+('Input and Output'!C$26*(IF('Input and Output'!E$7="Detritus",Calculations!$C$4,H205))-(SUM('Input and Output'!C$27:C$32))*I204))</f>
        <v>1225.7906512386512</v>
      </c>
      <c r="E205" s="49">
        <f>(('Input and Output'!D$23*'Input and Output'!$B$10)+('Input and Output'!D$24*Calculations!$C$5)+('Input and Output'!D$25*Calculations!$C$6)+('Input and Output'!D$26*(IF('Input and Output'!F$7="Detritus",Calculations!$C$4,I205))-(SUM('Input and Output'!D$27:D$32))*J204))</f>
        <v>551.17152395835365</v>
      </c>
      <c r="F205" s="49" t="e">
        <f>(('Input and Output'!E$23*'Input and Output'!$B$10)+('Input and Output'!E$24*Calculations!$C$5)+('Input and Output'!E$25*Calculations!$C$6)+('Input and Output'!E$26*(IF('Input and Output'!G$7="Detritus",Calculations!$C$4,J205))-(SUM('Input and Output'!E$27:E$32))*K204))</f>
        <v>#N/A</v>
      </c>
      <c r="H205" s="49">
        <f>IF(H$2="",NA(),C205*$B205+H204)</f>
        <v>182406.61631238859</v>
      </c>
      <c r="I205" s="49">
        <f>IF(I$2="",NA(),D205*$B205+I204)</f>
        <v>1744310.9495756039</v>
      </c>
      <c r="J205" s="49">
        <f>IF(J$2="",NA(),E205*$B205+J204)</f>
        <v>832387.53210331488</v>
      </c>
      <c r="K205" s="49" t="e">
        <f>IF(K$2="",NA(),F205*$B205+K204)</f>
        <v>#N/A</v>
      </c>
    </row>
    <row r="206" spans="1:11" x14ac:dyDescent="0.4">
      <c r="A206" s="49">
        <v>203</v>
      </c>
      <c r="B206" s="49">
        <f>A206/$B$1</f>
        <v>8.4583333333333339</v>
      </c>
      <c r="C206" s="49">
        <f>(('Input and Output'!B$23*'Input and Output'!$B$10)+('Input and Output'!B$24*Calculations!$C$5)+('Input and Output'!B$25*Calculations!$C$6)+('Input and Output'!B$26*(IF('Input and Output'!D$7="Detritus",Calculations!$C$4,G206))-(SUM('Input and Output'!B$27:B$32))*H205))</f>
        <v>136.97570199520345</v>
      </c>
      <c r="D206" s="49">
        <f>(('Input and Output'!C$23*'Input and Output'!$B$10)+('Input and Output'!C$24*Calculations!$C$5)+('Input and Output'!C$25*Calculations!$C$6)+('Input and Output'!C$26*(IF('Input and Output'!E$7="Detritus",Calculations!$C$4,H206))-(SUM('Input and Output'!C$27:C$32))*I205))</f>
        <v>1215.0840435705354</v>
      </c>
      <c r="E206" s="49">
        <f>(('Input and Output'!D$23*'Input and Output'!$B$10)+('Input and Output'!D$24*Calculations!$C$5)+('Input and Output'!D$25*Calculations!$C$6)+('Input and Output'!D$26*(IF('Input and Output'!F$7="Detritus",Calculations!$C$4,I206))-(SUM('Input and Output'!D$27:D$32))*J205))</f>
        <v>546.31230125981892</v>
      </c>
      <c r="F206" s="49" t="e">
        <f>(('Input and Output'!E$23*'Input and Output'!$B$10)+('Input and Output'!E$24*Calculations!$C$5)+('Input and Output'!E$25*Calculations!$C$6)+('Input and Output'!E$26*(IF('Input and Output'!G$7="Detritus",Calculations!$C$4,J206))-(SUM('Input and Output'!E$27:E$32))*K205))</f>
        <v>#N/A</v>
      </c>
      <c r="H206" s="49">
        <f>IF(H$2="",NA(),C206*$B206+H205)</f>
        <v>183565.20245843136</v>
      </c>
      <c r="I206" s="49">
        <f>IF(I$2="",NA(),D206*$B206+I205)</f>
        <v>1754588.5354441381</v>
      </c>
      <c r="J206" s="49">
        <f>IF(J$2="",NA(),E206*$B206+J205)</f>
        <v>837008.4236514708</v>
      </c>
      <c r="K206" s="49" t="e">
        <f>IF(K$2="",NA(),F206*$B206+K205)</f>
        <v>#N/A</v>
      </c>
    </row>
    <row r="207" spans="1:11" x14ac:dyDescent="0.4">
      <c r="A207" s="49">
        <v>204</v>
      </c>
      <c r="B207" s="49">
        <f>A207/$B$1</f>
        <v>8.5</v>
      </c>
      <c r="C207" s="49">
        <f>(('Input and Output'!B$23*'Input and Output'!$B$10)+('Input and Output'!B$24*Calculations!$C$5)+('Input and Output'!B$25*Calculations!$C$6)+('Input and Output'!B$26*(IF('Input and Output'!D$7="Detritus",Calculations!$C$4,G207))-(SUM('Input and Output'!B$27:B$32))*H206))</f>
        <v>135.85869275257187</v>
      </c>
      <c r="D207" s="49">
        <f>(('Input and Output'!C$23*'Input and Output'!$B$10)+('Input and Output'!C$24*Calculations!$C$5)+('Input and Output'!C$25*Calculations!$C$6)+('Input and Output'!C$26*(IF('Input and Output'!E$7="Detritus",Calculations!$C$4,H207))-(SUM('Input and Output'!C$27:C$32))*I206))</f>
        <v>1204.4317495402811</v>
      </c>
      <c r="E207" s="49">
        <f>(('Input and Output'!D$23*'Input and Output'!$B$10)+('Input and Output'!D$24*Calculations!$C$5)+('Input and Output'!D$25*Calculations!$C$6)+('Input and Output'!D$26*(IF('Input and Output'!F$7="Detritus",Calculations!$C$4,I207))-(SUM('Input and Output'!D$27:D$32))*J206))</f>
        <v>541.47858906124384</v>
      </c>
      <c r="F207" s="49" t="e">
        <f>(('Input and Output'!E$23*'Input and Output'!$B$10)+('Input and Output'!E$24*Calculations!$C$5)+('Input and Output'!E$25*Calculations!$C$6)+('Input and Output'!E$26*(IF('Input and Output'!G$7="Detritus",Calculations!$C$4,J207))-(SUM('Input and Output'!E$27:E$32))*K206))</f>
        <v>#N/A</v>
      </c>
      <c r="H207" s="49">
        <f>IF(H$2="",NA(),C207*$B207+H206)</f>
        <v>184720.00134682821</v>
      </c>
      <c r="I207" s="49">
        <f>IF(I$2="",NA(),D207*$B207+I206)</f>
        <v>1764826.2053152304</v>
      </c>
      <c r="J207" s="49">
        <f>IF(J$2="",NA(),E207*$B207+J206)</f>
        <v>841610.99165849143</v>
      </c>
      <c r="K207" s="49" t="e">
        <f>IF(K$2="",NA(),F207*$B207+K206)</f>
        <v>#N/A</v>
      </c>
    </row>
    <row r="208" spans="1:11" x14ac:dyDescent="0.4">
      <c r="A208" s="49">
        <v>205</v>
      </c>
      <c r="B208" s="49">
        <f>A208/$B$1</f>
        <v>8.5416666666666661</v>
      </c>
      <c r="C208" s="49">
        <f>(('Input and Output'!B$23*'Input and Output'!$B$10)+('Input and Output'!B$24*Calculations!$C$5)+('Input and Output'!B$25*Calculations!$C$6)+('Input and Output'!B$26*(IF('Input and Output'!D$7="Detritus",Calculations!$C$4,G208))-(SUM('Input and Output'!B$27:B$32))*H207))</f>
        <v>134.74533485844739</v>
      </c>
      <c r="D208" s="49">
        <f>(('Input and Output'!C$23*'Input and Output'!$B$10)+('Input and Output'!C$24*Calculations!$C$5)+('Input and Output'!C$25*Calculations!$C$6)+('Input and Output'!C$26*(IF('Input and Output'!E$7="Detritus",Calculations!$C$4,H208))-(SUM('Input and Output'!C$27:C$32))*I207))</f>
        <v>1193.8339366744276</v>
      </c>
      <c r="E208" s="49">
        <f>(('Input and Output'!D$23*'Input and Output'!$B$10)+('Input and Output'!D$24*Calculations!$C$5)+('Input and Output'!D$25*Calculations!$C$6)+('Input and Output'!D$26*(IF('Input and Output'!F$7="Detritus",Calculations!$C$4,I208))-(SUM('Input and Output'!D$27:D$32))*J207))</f>
        <v>536.67044506114689</v>
      </c>
      <c r="F208" s="49" t="e">
        <f>(('Input and Output'!E$23*'Input and Output'!$B$10)+('Input and Output'!E$24*Calculations!$C$5)+('Input and Output'!E$25*Calculations!$C$6)+('Input and Output'!E$26*(IF('Input and Output'!G$7="Detritus",Calculations!$C$4,J208))-(SUM('Input and Output'!E$27:E$32))*K207))</f>
        <v>#N/A</v>
      </c>
      <c r="H208" s="49">
        <f>IF(H$2="",NA(),C208*$B208+H207)</f>
        <v>185870.95108207746</v>
      </c>
      <c r="I208" s="49">
        <f>IF(I$2="",NA(),D208*$B208+I207)</f>
        <v>1775023.5368576578</v>
      </c>
      <c r="J208" s="49">
        <f>IF(J$2="",NA(),E208*$B208+J207)</f>
        <v>846195.05171005544</v>
      </c>
      <c r="K208" s="49" t="e">
        <f>IF(K$2="",NA(),F208*$B208+K207)</f>
        <v>#N/A</v>
      </c>
    </row>
    <row r="209" spans="1:11" x14ac:dyDescent="0.4">
      <c r="A209" s="49">
        <v>206</v>
      </c>
      <c r="B209" s="49">
        <f>A209/$B$1</f>
        <v>8.5833333333333339</v>
      </c>
      <c r="C209" s="49">
        <f>(('Input and Output'!B$23*'Input and Output'!$B$10)+('Input and Output'!B$24*Calculations!$C$5)+('Input and Output'!B$25*Calculations!$C$6)+('Input and Output'!B$26*(IF('Input and Output'!D$7="Detritus",Calculations!$C$4,G209))-(SUM('Input and Output'!B$27:B$32))*H208))</f>
        <v>133.6356879871561</v>
      </c>
      <c r="D209" s="49">
        <f>(('Input and Output'!C$23*'Input and Output'!$B$10)+('Input and Output'!C$24*Calculations!$C$5)+('Input and Output'!C$25*Calculations!$C$6)+('Input and Output'!C$26*(IF('Input and Output'!E$7="Detritus",Calculations!$C$4,H209))-(SUM('Input and Output'!C$27:C$32))*I208))</f>
        <v>1183.2907649074336</v>
      </c>
      <c r="E209" s="49">
        <f>(('Input and Output'!D$23*'Input and Output'!$B$10)+('Input and Output'!D$24*Calculations!$C$5)+('Input and Output'!D$25*Calculations!$C$6)+('Input and Output'!D$26*(IF('Input and Output'!F$7="Detritus",Calculations!$C$4,I209))-(SUM('Input and Output'!D$27:D$32))*J208))</f>
        <v>531.88792375594858</v>
      </c>
      <c r="F209" s="49" t="e">
        <f>(('Input and Output'!E$23*'Input and Output'!$B$10)+('Input and Output'!E$24*Calculations!$C$5)+('Input and Output'!E$25*Calculations!$C$6)+('Input and Output'!E$26*(IF('Input and Output'!G$7="Detritus",Calculations!$C$4,J209))-(SUM('Input and Output'!E$27:E$32))*K208))</f>
        <v>#N/A</v>
      </c>
      <c r="H209" s="49">
        <f>IF(H$2="",NA(),C209*$B209+H208)</f>
        <v>187017.99073730054</v>
      </c>
      <c r="I209" s="49">
        <f>IF(I$2="",NA(),D209*$B209+I208)</f>
        <v>1785180.1159231132</v>
      </c>
      <c r="J209" s="49">
        <f>IF(J$2="",NA(),E209*$B209+J208)</f>
        <v>850760.42305562738</v>
      </c>
      <c r="K209" s="49" t="e">
        <f>IF(K$2="",NA(),F209*$B209+K208)</f>
        <v>#N/A</v>
      </c>
    </row>
    <row r="210" spans="1:11" x14ac:dyDescent="0.4">
      <c r="A210" s="49">
        <v>207</v>
      </c>
      <c r="B210" s="49">
        <f>A210/$B$1</f>
        <v>8.625</v>
      </c>
      <c r="C210" s="49">
        <f>(('Input and Output'!B$23*'Input and Output'!$B$10)+('Input and Output'!B$24*Calculations!$C$5)+('Input and Output'!B$25*Calculations!$C$6)+('Input and Output'!B$26*(IF('Input and Output'!D$7="Detritus",Calculations!$C$4,G210))-(SUM('Input and Output'!B$27:B$32))*H209))</f>
        <v>132.52981087916086</v>
      </c>
      <c r="D210" s="49">
        <f>(('Input and Output'!C$23*'Input and Output'!$B$10)+('Input and Output'!C$24*Calculations!$C$5)+('Input and Output'!C$25*Calculations!$C$6)+('Input and Output'!C$26*(IF('Input and Output'!E$7="Detritus",Calculations!$C$4,H210))-(SUM('Input and Output'!C$27:C$32))*I209))</f>
        <v>1172.8023867455599</v>
      </c>
      <c r="E210" s="49">
        <f>(('Input and Output'!D$23*'Input and Output'!$B$10)+('Input and Output'!D$24*Calculations!$C$5)+('Input and Output'!D$25*Calculations!$C$6)+('Input and Output'!D$26*(IF('Input and Output'!F$7="Detritus",Calculations!$C$4,I210))-(SUM('Input and Output'!D$27:D$32))*J209))</f>
        <v>527.1310765126218</v>
      </c>
      <c r="F210" s="49" t="e">
        <f>(('Input and Output'!E$23*'Input and Output'!$B$10)+('Input and Output'!E$24*Calculations!$C$5)+('Input and Output'!E$25*Calculations!$C$6)+('Input and Output'!E$26*(IF('Input and Output'!G$7="Detritus",Calculations!$C$4,J210))-(SUM('Input and Output'!E$27:E$32))*K209))</f>
        <v>#N/A</v>
      </c>
      <c r="H210" s="49">
        <f>IF(H$2="",NA(),C210*$B210+H209)</f>
        <v>188161.0603561333</v>
      </c>
      <c r="I210" s="49">
        <f>IF(I$2="",NA(),D210*$B210+I209)</f>
        <v>1795295.5365087937</v>
      </c>
      <c r="J210" s="49">
        <f>IF(J$2="",NA(),E210*$B210+J209)</f>
        <v>855306.92859054869</v>
      </c>
      <c r="K210" s="49" t="e">
        <f>IF(K$2="",NA(),F210*$B210+K209)</f>
        <v>#N/A</v>
      </c>
    </row>
    <row r="211" spans="1:11" x14ac:dyDescent="0.4">
      <c r="A211" s="49">
        <v>208</v>
      </c>
      <c r="B211" s="49">
        <f>A211/$B$1</f>
        <v>8.6666666666666661</v>
      </c>
      <c r="C211" s="49">
        <f>(('Input and Output'!B$23*'Input and Output'!$B$10)+('Input and Output'!B$24*Calculations!$C$5)+('Input and Output'!B$25*Calculations!$C$6)+('Input and Output'!B$26*(IF('Input and Output'!D$7="Detritus",Calculations!$C$4,G211))-(SUM('Input and Output'!B$27:B$32))*H210))</f>
        <v>131.42776133923792</v>
      </c>
      <c r="D211" s="49">
        <f>(('Input and Output'!C$23*'Input and Output'!$B$10)+('Input and Output'!C$24*Calculations!$C$5)+('Input and Output'!C$25*Calculations!$C$6)+('Input and Output'!C$26*(IF('Input and Output'!E$7="Detritus",Calculations!$C$4,H211))-(SUM('Input and Output'!C$27:C$32))*I210))</f>
        <v>1162.368947426969</v>
      </c>
      <c r="E211" s="49">
        <f>(('Input and Output'!D$23*'Input and Output'!$B$10)+('Input and Output'!D$24*Calculations!$C$5)+('Input and Output'!D$25*Calculations!$C$6)+('Input and Output'!D$26*(IF('Input and Output'!F$7="Detritus",Calculations!$C$4,I211))-(SUM('Input and Output'!D$27:D$32))*J210))</f>
        <v>522.39995163970525</v>
      </c>
      <c r="F211" s="49" t="e">
        <f>(('Input and Output'!E$23*'Input and Output'!$B$10)+('Input and Output'!E$24*Calculations!$C$5)+('Input and Output'!E$25*Calculations!$C$6)+('Input and Output'!E$26*(IF('Input and Output'!G$7="Detritus",Calculations!$C$4,J211))-(SUM('Input and Output'!E$27:E$32))*K210))</f>
        <v>#N/A</v>
      </c>
      <c r="H211" s="49">
        <f>IF(H$2="",NA(),C211*$B211+H210)</f>
        <v>189300.10095440669</v>
      </c>
      <c r="I211" s="49">
        <f>IF(I$2="",NA(),D211*$B211+I210)</f>
        <v>1805369.4007198275</v>
      </c>
      <c r="J211" s="49">
        <f>IF(J$2="",NA(),E211*$B211+J210)</f>
        <v>859834.39483809285</v>
      </c>
      <c r="K211" s="49" t="e">
        <f>IF(K$2="",NA(),F211*$B211+K210)</f>
        <v>#N/A</v>
      </c>
    </row>
    <row r="212" spans="1:11" x14ac:dyDescent="0.4">
      <c r="A212" s="49">
        <v>209</v>
      </c>
      <c r="B212" s="49">
        <f>A212/$B$1</f>
        <v>8.7083333333333339</v>
      </c>
      <c r="C212" s="49">
        <f>(('Input and Output'!B$23*'Input and Output'!$B$10)+('Input and Output'!B$24*Calculations!$C$5)+('Input and Output'!B$25*Calculations!$C$6)+('Input and Output'!B$26*(IF('Input and Output'!D$7="Detritus",Calculations!$C$4,G212))-(SUM('Input and Output'!B$27:B$32))*H211))</f>
        <v>130.32959623485644</v>
      </c>
      <c r="D212" s="49">
        <f>(('Input and Output'!C$23*'Input and Output'!$B$10)+('Input and Output'!C$24*Calculations!$C$5)+('Input and Output'!C$25*Calculations!$C$6)+('Input and Output'!C$26*(IF('Input and Output'!E$7="Detritus",Calculations!$C$4,H212))-(SUM('Input and Output'!C$27:C$32))*I211))</f>
        <v>1151.9905850780592</v>
      </c>
      <c r="E212" s="49">
        <f>(('Input and Output'!D$23*'Input and Output'!$B$10)+('Input and Output'!D$24*Calculations!$C$5)+('Input and Output'!D$25*Calculations!$C$6)+('Input and Output'!D$26*(IF('Input and Output'!F$7="Detritus",Calculations!$C$4,I212))-(SUM('Input and Output'!D$27:D$32))*J211))</f>
        <v>517.69459445649773</v>
      </c>
      <c r="F212" s="49" t="e">
        <f>(('Input and Output'!E$23*'Input and Output'!$B$10)+('Input and Output'!E$24*Calculations!$C$5)+('Input and Output'!E$25*Calculations!$C$6)+('Input and Output'!E$26*(IF('Input and Output'!G$7="Detritus",Calculations!$C$4,J212))-(SUM('Input and Output'!E$27:E$32))*K211))</f>
        <v>#N/A</v>
      </c>
      <c r="H212" s="49">
        <f>IF(H$2="",NA(),C212*$B212+H211)</f>
        <v>190435.05452161856</v>
      </c>
      <c r="I212" s="49">
        <f>IF(I$2="",NA(),D212*$B212+I211)</f>
        <v>1815401.318731549</v>
      </c>
      <c r="J212" s="49">
        <f>IF(J$2="",NA(),E212*$B212+J211)</f>
        <v>864342.65193148481</v>
      </c>
      <c r="K212" s="49" t="e">
        <f>IF(K$2="",NA(),F212*$B212+K211)</f>
        <v>#N/A</v>
      </c>
    </row>
    <row r="213" spans="1:11" x14ac:dyDescent="0.4">
      <c r="A213" s="49">
        <v>210</v>
      </c>
      <c r="B213" s="49">
        <f>A213/$B$1</f>
        <v>8.75</v>
      </c>
      <c r="C213" s="49">
        <f>(('Input and Output'!B$23*'Input and Output'!$B$10)+('Input and Output'!B$24*Calculations!$C$5)+('Input and Output'!B$25*Calculations!$C$6)+('Input and Output'!B$26*(IF('Input and Output'!D$7="Detritus",Calculations!$C$4,G213))-(SUM('Input and Output'!B$27:B$32))*H212))</f>
        <v>129.2353714947597</v>
      </c>
      <c r="D213" s="49">
        <f>(('Input and Output'!C$23*'Input and Output'!$B$10)+('Input and Output'!C$24*Calculations!$C$5)+('Input and Output'!C$25*Calculations!$C$6)+('Input and Output'!C$26*(IF('Input and Output'!E$7="Detritus",Calculations!$C$4,H213))-(SUM('Input and Output'!C$27:C$32))*I212))</f>
        <v>1141.6674308660181</v>
      </c>
      <c r="E213" s="49">
        <f>(('Input and Output'!D$23*'Input and Output'!$B$10)+('Input and Output'!D$24*Calculations!$C$5)+('Input and Output'!D$25*Calculations!$C$6)+('Input and Output'!D$26*(IF('Input and Output'!F$7="Detritus",Calculations!$C$4,I213))-(SUM('Input and Output'!D$27:D$32))*J212))</f>
        <v>513.01504736065908</v>
      </c>
      <c r="F213" s="49" t="e">
        <f>(('Input and Output'!E$23*'Input and Output'!$B$10)+('Input and Output'!E$24*Calculations!$C$5)+('Input and Output'!E$25*Calculations!$C$6)+('Input and Output'!E$26*(IF('Input and Output'!G$7="Detritus",Calculations!$C$4,J213))-(SUM('Input and Output'!E$27:E$32))*K212))</f>
        <v>#N/A</v>
      </c>
      <c r="H213" s="49">
        <f>IF(H$2="",NA(),C213*$B213+H212)</f>
        <v>191565.8640221977</v>
      </c>
      <c r="I213" s="49">
        <f>IF(I$2="",NA(),D213*$B213+I212)</f>
        <v>1825390.9087516267</v>
      </c>
      <c r="J213" s="49">
        <f>IF(J$2="",NA(),E213*$B213+J212)</f>
        <v>868831.53359589062</v>
      </c>
      <c r="K213" s="49" t="e">
        <f>IF(K$2="",NA(),F213*$B213+K212)</f>
        <v>#N/A</v>
      </c>
    </row>
    <row r="214" spans="1:11" x14ac:dyDescent="0.4">
      <c r="A214" s="49">
        <v>211</v>
      </c>
      <c r="B214" s="49">
        <f>A214/$B$1</f>
        <v>8.7916666666666661</v>
      </c>
      <c r="C214" s="49">
        <f>(('Input and Output'!B$23*'Input and Output'!$B$10)+('Input and Output'!B$24*Calculations!$C$5)+('Input and Output'!B$25*Calculations!$C$6)+('Input and Output'!B$26*(IF('Input and Output'!D$7="Detritus",Calculations!$C$4,G214))-(SUM('Input and Output'!B$27:B$32))*H213))</f>
        <v>128.14514210774624</v>
      </c>
      <c r="D214" s="49">
        <f>(('Input and Output'!C$23*'Input and Output'!$B$10)+('Input and Output'!C$24*Calculations!$C$5)+('Input and Output'!C$25*Calculations!$C$6)+('Input and Output'!C$26*(IF('Input and Output'!E$7="Detritus",Calculations!$C$4,H214))-(SUM('Input and Output'!C$27:C$32))*I213))</f>
        <v>1131.3996091476279</v>
      </c>
      <c r="E214" s="49">
        <f>(('Input and Output'!D$23*'Input and Output'!$B$10)+('Input and Output'!D$24*Calculations!$C$5)+('Input and Output'!D$25*Calculations!$C$6)+('Input and Output'!D$26*(IF('Input and Output'!F$7="Detritus",Calculations!$C$4,I214))-(SUM('Input and Output'!D$27:D$32))*J213))</f>
        <v>508.36134989392667</v>
      </c>
      <c r="F214" s="49" t="e">
        <f>(('Input and Output'!E$23*'Input and Output'!$B$10)+('Input and Output'!E$24*Calculations!$C$5)+('Input and Output'!E$25*Calculations!$C$6)+('Input and Output'!E$26*(IF('Input and Output'!G$7="Detritus",Calculations!$C$4,J214))-(SUM('Input and Output'!E$27:E$32))*K213))</f>
        <v>#N/A</v>
      </c>
      <c r="H214" s="49">
        <f>IF(H$2="",NA(),C214*$B214+H213)</f>
        <v>192692.47339656163</v>
      </c>
      <c r="I214" s="49">
        <f>IF(I$2="",NA(),D214*$B214+I213)</f>
        <v>1835337.7969820497</v>
      </c>
      <c r="J214" s="49">
        <f>IF(J$2="",NA(),E214*$B214+J213)</f>
        <v>873300.87713037478</v>
      </c>
      <c r="K214" s="49" t="e">
        <f>IF(K$2="",NA(),F214*$B214+K213)</f>
        <v>#N/A</v>
      </c>
    </row>
    <row r="215" spans="1:11" x14ac:dyDescent="0.4">
      <c r="A215" s="49">
        <v>212</v>
      </c>
      <c r="B215" s="49">
        <f>A215/$B$1</f>
        <v>8.8333333333333339</v>
      </c>
      <c r="C215" s="49">
        <f>(('Input and Output'!B$23*'Input and Output'!$B$10)+('Input and Output'!B$24*Calculations!$C$5)+('Input and Output'!B$25*Calculations!$C$6)+('Input and Output'!B$26*(IF('Input and Output'!D$7="Detritus",Calculations!$C$4,G215))-(SUM('Input and Output'!B$27:B$32))*H214))</f>
        <v>127.0589621216501</v>
      </c>
      <c r="D215" s="49">
        <f>(('Input and Output'!C$23*'Input and Output'!$B$10)+('Input and Output'!C$24*Calculations!$C$5)+('Input and Output'!C$25*Calculations!$C$6)+('Input and Output'!C$26*(IF('Input and Output'!E$7="Detritus",Calculations!$C$4,H215))-(SUM('Input and Output'!C$27:C$32))*I214))</f>
        <v>1121.1872376143115</v>
      </c>
      <c r="E215" s="49">
        <f>(('Input and Output'!D$23*'Input and Output'!$B$10)+('Input and Output'!D$24*Calculations!$C$5)+('Input and Output'!D$25*Calculations!$C$6)+('Input and Output'!D$26*(IF('Input and Output'!F$7="Detritus",Calculations!$C$4,I215))-(SUM('Input and Output'!D$27:D$32))*J214))</f>
        <v>503.73353880625291</v>
      </c>
      <c r="F215" s="49" t="e">
        <f>(('Input and Output'!E$23*'Input and Output'!$B$10)+('Input and Output'!E$24*Calculations!$C$5)+('Input and Output'!E$25*Calculations!$C$6)+('Input and Output'!E$26*(IF('Input and Output'!G$7="Detritus",Calculations!$C$4,J215))-(SUM('Input and Output'!E$27:E$32))*K214))</f>
        <v>#N/A</v>
      </c>
      <c r="H215" s="49">
        <f>IF(H$2="",NA(),C215*$B215+H214)</f>
        <v>193814.82756196955</v>
      </c>
      <c r="I215" s="49">
        <f>IF(I$2="",NA(),D215*$B215+I214)</f>
        <v>1845241.6175809761</v>
      </c>
      <c r="J215" s="49">
        <f>IF(J$2="",NA(),E215*$B215+J214)</f>
        <v>877750.52338983002</v>
      </c>
      <c r="K215" s="49" t="e">
        <f>IF(K$2="",NA(),F215*$B215+K214)</f>
        <v>#N/A</v>
      </c>
    </row>
    <row r="216" spans="1:11" x14ac:dyDescent="0.4">
      <c r="A216" s="49">
        <v>213</v>
      </c>
      <c r="B216" s="49">
        <f>A216/$B$1</f>
        <v>8.875</v>
      </c>
      <c r="C216" s="49">
        <f>(('Input and Output'!B$23*'Input and Output'!$B$10)+('Input and Output'!B$24*Calculations!$C$5)+('Input and Output'!B$25*Calculations!$C$6)+('Input and Output'!B$26*(IF('Input and Output'!D$7="Detritus",Calculations!$C$4,G216))-(SUM('Input and Output'!B$27:B$32))*H215))</f>
        <v>125.97688464251854</v>
      </c>
      <c r="D216" s="49">
        <f>(('Input and Output'!C$23*'Input and Output'!$B$10)+('Input and Output'!C$24*Calculations!$C$5)+('Input and Output'!C$25*Calculations!$C$6)+('Input and Output'!C$26*(IF('Input and Output'!E$7="Detritus",Calculations!$C$4,H216))-(SUM('Input and Output'!C$27:C$32))*I215))</f>
        <v>1111.0304274334521</v>
      </c>
      <c r="E216" s="49">
        <f>(('Input and Output'!D$23*'Input and Output'!$B$10)+('Input and Output'!D$24*Calculations!$C$5)+('Input and Output'!D$25*Calculations!$C$6)+('Input and Output'!D$26*(IF('Input and Output'!F$7="Detritus",Calculations!$C$4,I216))-(SUM('Input and Output'!D$27:D$32))*J215))</f>
        <v>499.13164811809474</v>
      </c>
      <c r="F216" s="49" t="e">
        <f>(('Input and Output'!E$23*'Input and Output'!$B$10)+('Input and Output'!E$24*Calculations!$C$5)+('Input and Output'!E$25*Calculations!$C$6)+('Input and Output'!E$26*(IF('Input and Output'!G$7="Detritus",Calculations!$C$4,J216))-(SUM('Input and Output'!E$27:E$32))*K215))</f>
        <v>#N/A</v>
      </c>
      <c r="H216" s="49">
        <f>IF(H$2="",NA(),C216*$B216+H215)</f>
        <v>194932.87241317189</v>
      </c>
      <c r="I216" s="49">
        <f>IF(I$2="",NA(),D216*$B216+I215)</f>
        <v>1855102.0126244479</v>
      </c>
      <c r="J216" s="49">
        <f>IF(J$2="",NA(),E216*$B216+J215)</f>
        <v>882180.31676687812</v>
      </c>
      <c r="K216" s="49" t="e">
        <f>IF(K$2="",NA(),F216*$B216+K215)</f>
        <v>#N/A</v>
      </c>
    </row>
    <row r="217" spans="1:11" x14ac:dyDescent="0.4">
      <c r="A217" s="49">
        <v>214</v>
      </c>
      <c r="B217" s="49">
        <f>A217/$B$1</f>
        <v>8.9166666666666661</v>
      </c>
      <c r="C217" s="49">
        <f>(('Input and Output'!B$23*'Input and Output'!$B$10)+('Input and Output'!B$24*Calculations!$C$5)+('Input and Output'!B$25*Calculations!$C$6)+('Input and Output'!B$26*(IF('Input and Output'!D$7="Detritus",Calculations!$C$4,G217))-(SUM('Input and Output'!B$27:B$32))*H216))</f>
        <v>124.89896183398571</v>
      </c>
      <c r="D217" s="49">
        <f>(('Input and Output'!C$23*'Input and Output'!$B$10)+('Input and Output'!C$24*Calculations!$C$5)+('Input and Output'!C$25*Calculations!$C$6)+('Input and Output'!C$26*(IF('Input and Output'!E$7="Detritus",Calculations!$C$4,H217))-(SUM('Input and Output'!C$27:C$32))*I216))</f>
        <v>1100.9292833860072</v>
      </c>
      <c r="E217" s="49">
        <f>(('Input and Output'!D$23*'Input and Output'!$B$10)+('Input and Output'!D$24*Calculations!$C$5)+('Input and Output'!D$25*Calculations!$C$6)+('Input and Output'!D$26*(IF('Input and Output'!F$7="Detritus",Calculations!$C$4,I217))-(SUM('Input and Output'!D$27:D$32))*J216))</f>
        <v>494.55570918116791</v>
      </c>
      <c r="F217" s="49" t="e">
        <f>(('Input and Output'!E$23*'Input and Output'!$B$10)+('Input and Output'!E$24*Calculations!$C$5)+('Input and Output'!E$25*Calculations!$C$6)+('Input and Output'!E$26*(IF('Input and Output'!G$7="Detritus",Calculations!$C$4,J217))-(SUM('Input and Output'!E$27:E$32))*K216))</f>
        <v>#N/A</v>
      </c>
      <c r="H217" s="49">
        <f>IF(H$2="",NA(),C217*$B217+H216)</f>
        <v>196046.55482285828</v>
      </c>
      <c r="I217" s="49">
        <f>IF(I$2="",NA(),D217*$B217+I216)</f>
        <v>1864918.6320679733</v>
      </c>
      <c r="J217" s="49">
        <f>IF(J$2="",NA(),E217*$B217+J216)</f>
        <v>886590.10517374356</v>
      </c>
      <c r="K217" s="49" t="e">
        <f>IF(K$2="",NA(),F217*$B217+K216)</f>
        <v>#N/A</v>
      </c>
    </row>
    <row r="218" spans="1:11" x14ac:dyDescent="0.4">
      <c r="A218" s="49">
        <v>215</v>
      </c>
      <c r="B218" s="49">
        <f>A218/$B$1</f>
        <v>8.9583333333333339</v>
      </c>
      <c r="C218" s="49">
        <f>(('Input and Output'!B$23*'Input and Output'!$B$10)+('Input and Output'!B$24*Calculations!$C$5)+('Input and Output'!B$25*Calculations!$C$6)+('Input and Output'!B$26*(IF('Input and Output'!D$7="Detritus",Calculations!$C$4,G218))-(SUM('Input and Output'!B$27:B$32))*H217))</f>
        <v>123.82524491684075</v>
      </c>
      <c r="D218" s="49">
        <f>(('Input and Output'!C$23*'Input and Output'!$B$10)+('Input and Output'!C$24*Calculations!$C$5)+('Input and Output'!C$25*Calculations!$C$6)+('Input and Output'!C$26*(IF('Input and Output'!E$7="Detritus",Calculations!$C$4,H218))-(SUM('Input and Output'!C$27:C$32))*I217))</f>
        <v>1090.883904000425</v>
      </c>
      <c r="E218" s="49">
        <f>(('Input and Output'!D$23*'Input and Output'!$B$10)+('Input and Output'!D$24*Calculations!$C$5)+('Input and Output'!D$25*Calculations!$C$6)+('Input and Output'!D$26*(IF('Input and Output'!F$7="Detritus",Calculations!$C$4,I218))-(SUM('Input and Output'!D$27:D$32))*J217))</f>
        <v>490.0057507373167</v>
      </c>
      <c r="F218" s="49" t="e">
        <f>(('Input and Output'!E$23*'Input and Output'!$B$10)+('Input and Output'!E$24*Calculations!$C$5)+('Input and Output'!E$25*Calculations!$C$6)+('Input and Output'!E$26*(IF('Input and Output'!G$7="Detritus",Calculations!$C$4,J218))-(SUM('Input and Output'!E$27:E$32))*K217))</f>
        <v>#N/A</v>
      </c>
      <c r="H218" s="49">
        <f>IF(H$2="",NA(),C218*$B218+H217)</f>
        <v>197155.82264190499</v>
      </c>
      <c r="I218" s="49">
        <f>IF(I$2="",NA(),D218*$B218+I217)</f>
        <v>1874691.1337079771</v>
      </c>
      <c r="J218" s="49">
        <f>IF(J$2="",NA(),E218*$B218+J217)</f>
        <v>890979.74002409866</v>
      </c>
      <c r="K218" s="49" t="e">
        <f>IF(K$2="",NA(),F218*$B218+K217)</f>
        <v>#N/A</v>
      </c>
    </row>
    <row r="219" spans="1:11" x14ac:dyDescent="0.4">
      <c r="A219" s="49">
        <v>216</v>
      </c>
      <c r="B219" s="49">
        <f>A219/$B$1</f>
        <v>9</v>
      </c>
      <c r="C219" s="49">
        <f>(('Input and Output'!B$23*'Input and Output'!$B$10)+('Input and Output'!B$24*Calculations!$C$5)+('Input and Output'!B$25*Calculations!$C$6)+('Input and Output'!B$26*(IF('Input and Output'!D$7="Detritus",Calculations!$C$4,G219))-(SUM('Input and Output'!B$27:B$32))*H218))</f>
        <v>122.75578416878929</v>
      </c>
      <c r="D219" s="49">
        <f>(('Input and Output'!C$23*'Input and Output'!$B$10)+('Input and Output'!C$24*Calculations!$C$5)+('Input and Output'!C$25*Calculations!$C$6)+('Input and Output'!C$26*(IF('Input and Output'!E$7="Detritus",Calculations!$C$4,H219))-(SUM('Input and Output'!C$27:C$32))*I218))</f>
        <v>1080.8943816829237</v>
      </c>
      <c r="E219" s="49">
        <f>(('Input and Output'!D$23*'Input and Output'!$B$10)+('Input and Output'!D$24*Calculations!$C$5)+('Input and Output'!D$25*Calculations!$C$6)+('Input and Output'!D$26*(IF('Input and Output'!F$7="Detritus",Calculations!$C$4,I219))-(SUM('Input and Output'!D$27:D$32))*J218))</f>
        <v>485.48179897588489</v>
      </c>
      <c r="F219" s="49" t="e">
        <f>(('Input and Output'!E$23*'Input and Output'!$B$10)+('Input and Output'!E$24*Calculations!$C$5)+('Input and Output'!E$25*Calculations!$C$6)+('Input and Output'!E$26*(IF('Input and Output'!G$7="Detritus",Calculations!$C$4,J219))-(SUM('Input and Output'!E$27:E$32))*K218))</f>
        <v>#N/A</v>
      </c>
      <c r="H219" s="49">
        <f>IF(H$2="",NA(),C219*$B219+H218)</f>
        <v>198260.62469942408</v>
      </c>
      <c r="I219" s="49">
        <f>IF(I$2="",NA(),D219*$B219+I218)</f>
        <v>1884419.1831431235</v>
      </c>
      <c r="J219" s="49">
        <f>IF(J$2="",NA(),E219*$B219+J218)</f>
        <v>895349.07621488161</v>
      </c>
      <c r="K219" s="49" t="e">
        <f>IF(K$2="",NA(),F219*$B219+K218)</f>
        <v>#N/A</v>
      </c>
    </row>
    <row r="220" spans="1:11" x14ac:dyDescent="0.4">
      <c r="A220" s="49">
        <v>217</v>
      </c>
      <c r="B220" s="49">
        <f>A220/$B$1</f>
        <v>9.0416666666666661</v>
      </c>
      <c r="C220" s="49">
        <f>(('Input and Output'!B$23*'Input and Output'!$B$10)+('Input and Output'!B$24*Calculations!$C$5)+('Input and Output'!B$25*Calculations!$C$6)+('Input and Output'!B$26*(IF('Input and Output'!D$7="Detritus",Calculations!$C$4,G220))-(SUM('Input and Output'!B$27:B$32))*H219))</f>
        <v>121.69062892440604</v>
      </c>
      <c r="D220" s="49">
        <f>(('Input and Output'!C$23*'Input and Output'!$B$10)+('Input and Output'!C$24*Calculations!$C$5)+('Input and Output'!C$25*Calculations!$C$6)+('Input and Output'!C$26*(IF('Input and Output'!E$7="Detritus",Calculations!$C$4,H220))-(SUM('Input and Output'!C$27:C$32))*I219))</f>
        <v>1070.9608028441289</v>
      </c>
      <c r="E220" s="49">
        <f>(('Input and Output'!D$23*'Input and Output'!$B$10)+('Input and Output'!D$24*Calculations!$C$5)+('Input and Output'!D$25*Calculations!$C$6)+('Input and Output'!D$26*(IF('Input and Output'!F$7="Detritus",Calculations!$C$4,I220))-(SUM('Input and Output'!D$27:D$32))*J219))</f>
        <v>480.9838775892822</v>
      </c>
      <c r="F220" s="49" t="e">
        <f>(('Input and Output'!E$23*'Input and Output'!$B$10)+('Input and Output'!E$24*Calculations!$C$5)+('Input and Output'!E$25*Calculations!$C$6)+('Input and Output'!E$26*(IF('Input and Output'!G$7="Detritus",Calculations!$C$4,J220))-(SUM('Input and Output'!E$27:E$32))*K219))</f>
        <v>#N/A</v>
      </c>
      <c r="H220" s="49">
        <f>IF(H$2="",NA(),C220*$B220+H219)</f>
        <v>199360.91080261557</v>
      </c>
      <c r="I220" s="49">
        <f>IF(I$2="",NA(),D220*$B220+I219)</f>
        <v>1894102.4537355059</v>
      </c>
      <c r="J220" s="49">
        <f>IF(J$2="",NA(),E220*$B220+J219)</f>
        <v>899697.97210808471</v>
      </c>
      <c r="K220" s="49" t="e">
        <f>IF(K$2="",NA(),F220*$B220+K219)</f>
        <v>#N/A</v>
      </c>
    </row>
    <row r="221" spans="1:11" x14ac:dyDescent="0.4">
      <c r="A221" s="49">
        <v>218</v>
      </c>
      <c r="B221" s="49">
        <f>A221/$B$1</f>
        <v>9.0833333333333339</v>
      </c>
      <c r="C221" s="49">
        <f>(('Input and Output'!B$23*'Input and Output'!$B$10)+('Input and Output'!B$24*Calculations!$C$5)+('Input and Output'!B$25*Calculations!$C$6)+('Input and Output'!B$26*(IF('Input and Output'!D$7="Detritus",Calculations!$C$4,G221))-(SUM('Input and Output'!B$27:B$32))*H220))</f>
        <v>120.62982757527735</v>
      </c>
      <c r="D221" s="49">
        <f>(('Input and Output'!C$23*'Input and Output'!$B$10)+('Input and Output'!C$24*Calculations!$C$5)+('Input and Output'!C$25*Calculations!$C$6)+('Input and Output'!C$26*(IF('Input and Output'!E$7="Detritus",Calculations!$C$4,H221))-(SUM('Input and Output'!C$27:C$32))*I220))</f>
        <v>1061.0832480221397</v>
      </c>
      <c r="E221" s="49">
        <f>(('Input and Output'!D$23*'Input and Output'!$B$10)+('Input and Output'!D$24*Calculations!$C$5)+('Input and Output'!D$25*Calculations!$C$6)+('Input and Output'!D$26*(IF('Input and Output'!F$7="Detritus",Calculations!$C$4,I221))-(SUM('Input and Output'!D$27:D$32))*J220))</f>
        <v>476.5120078270229</v>
      </c>
      <c r="F221" s="49" t="e">
        <f>(('Input and Output'!E$23*'Input and Output'!$B$10)+('Input and Output'!E$24*Calculations!$C$5)+('Input and Output'!E$25*Calculations!$C$6)+('Input and Output'!E$26*(IF('Input and Output'!G$7="Detritus",Calculations!$C$4,J221))-(SUM('Input and Output'!E$27:E$32))*K220))</f>
        <v>#N/A</v>
      </c>
      <c r="H221" s="49">
        <f>IF(H$2="",NA(),C221*$B221+H220)</f>
        <v>200456.63173642434</v>
      </c>
      <c r="I221" s="49">
        <f>IF(I$2="",NA(),D221*$B221+I220)</f>
        <v>1903740.626571707</v>
      </c>
      <c r="J221" s="49">
        <f>IF(J$2="",NA(),E221*$B221+J220)</f>
        <v>904026.28951251355</v>
      </c>
      <c r="K221" s="49" t="e">
        <f>IF(K$2="",NA(),F221*$B221+K220)</f>
        <v>#N/A</v>
      </c>
    </row>
    <row r="222" spans="1:11" x14ac:dyDescent="0.4">
      <c r="A222" s="49">
        <v>219</v>
      </c>
      <c r="B222" s="49">
        <f>A222/$B$1</f>
        <v>9.125</v>
      </c>
      <c r="C222" s="49">
        <f>(('Input and Output'!B$23*'Input and Output'!$B$10)+('Input and Output'!B$24*Calculations!$C$5)+('Input and Output'!B$25*Calculations!$C$6)+('Input and Output'!B$26*(IF('Input and Output'!D$7="Detritus",Calculations!$C$4,G222))-(SUM('Input and Output'!B$27:B$32))*H221))</f>
        <v>119.57342757033192</v>
      </c>
      <c r="D222" s="49">
        <f>(('Input and Output'!C$23*'Input and Output'!$B$10)+('Input and Output'!C$24*Calculations!$C$5)+('Input and Output'!C$25*Calculations!$C$6)+('Input and Output'!C$26*(IF('Input and Output'!E$7="Detritus",Calculations!$C$4,H222))-(SUM('Input and Output'!C$27:C$32))*I221))</f>
        <v>1051.2617920020321</v>
      </c>
      <c r="E222" s="49">
        <f>(('Input and Output'!D$23*'Input and Output'!$B$10)+('Input and Output'!D$24*Calculations!$C$5)+('Input and Output'!D$25*Calculations!$C$6)+('Input and Output'!D$26*(IF('Input and Output'!F$7="Detritus",Calculations!$C$4,I222))-(SUM('Input and Output'!D$27:D$32))*J221))</f>
        <v>472.06620854803259</v>
      </c>
      <c r="F222" s="49" t="e">
        <f>(('Input and Output'!E$23*'Input and Output'!$B$10)+('Input and Output'!E$24*Calculations!$C$5)+('Input and Output'!E$25*Calculations!$C$6)+('Input and Output'!E$26*(IF('Input and Output'!G$7="Detritus",Calculations!$C$4,J222))-(SUM('Input and Output'!E$27:E$32))*K221))</f>
        <v>#N/A</v>
      </c>
      <c r="H222" s="49">
        <f>IF(H$2="",NA(),C222*$B222+H221)</f>
        <v>201547.73926300363</v>
      </c>
      <c r="I222" s="49">
        <f>IF(I$2="",NA(),D222*$B222+I221)</f>
        <v>1913333.3904237256</v>
      </c>
      <c r="J222" s="49">
        <f>IF(J$2="",NA(),E222*$B222+J221)</f>
        <v>908333.8936655143</v>
      </c>
      <c r="K222" s="49" t="e">
        <f>IF(K$2="",NA(),F222*$B222+K221)</f>
        <v>#N/A</v>
      </c>
    </row>
    <row r="223" spans="1:11" x14ac:dyDescent="0.4">
      <c r="A223" s="49">
        <v>220</v>
      </c>
      <c r="B223" s="49">
        <f>A223/$B$1</f>
        <v>9.1666666666666661</v>
      </c>
      <c r="C223" s="49">
        <f>(('Input and Output'!B$23*'Input and Output'!$B$10)+('Input and Output'!B$24*Calculations!$C$5)+('Input and Output'!B$25*Calculations!$C$6)+('Input and Output'!B$26*(IF('Input and Output'!D$7="Detritus",Calculations!$C$4,G223))-(SUM('Input and Output'!B$27:B$32))*H222))</f>
        <v>118.52147541635804</v>
      </c>
      <c r="D223" s="49">
        <f>(('Input and Output'!C$23*'Input and Output'!$B$10)+('Input and Output'!C$24*Calculations!$C$5)+('Input and Output'!C$25*Calculations!$C$6)+('Input and Output'!C$26*(IF('Input and Output'!E$7="Detritus",Calculations!$C$4,H223))-(SUM('Input and Output'!C$27:C$32))*I222))</f>
        <v>1041.4965039318658</v>
      </c>
      <c r="E223" s="49">
        <f>(('Input and Output'!D$23*'Input and Output'!$B$10)+('Input and Output'!D$24*Calculations!$C$5)+('Input and Output'!D$25*Calculations!$C$6)+('Input and Output'!D$26*(IF('Input and Output'!F$7="Detritus",Calculations!$C$4,I223))-(SUM('Input and Output'!D$27:D$32))*J222))</f>
        <v>467.646496271449</v>
      </c>
      <c r="F223" s="49" t="e">
        <f>(('Input and Output'!E$23*'Input and Output'!$B$10)+('Input and Output'!E$24*Calculations!$C$5)+('Input and Output'!E$25*Calculations!$C$6)+('Input and Output'!E$26*(IF('Input and Output'!G$7="Detritus",Calculations!$C$4,J223))-(SUM('Input and Output'!E$27:E$32))*K222))</f>
        <v>#N/A</v>
      </c>
      <c r="H223" s="49">
        <f>IF(H$2="",NA(),C223*$B223+H222)</f>
        <v>202634.18612098691</v>
      </c>
      <c r="I223" s="49">
        <f>IF(I$2="",NA(),D223*$B223+I222)</f>
        <v>1922880.4417097678</v>
      </c>
      <c r="J223" s="49">
        <f>IF(J$2="",NA(),E223*$B223+J222)</f>
        <v>912620.6532146692</v>
      </c>
      <c r="K223" s="49" t="e">
        <f>IF(K$2="",NA(),F223*$B223+K222)</f>
        <v>#N/A</v>
      </c>
    </row>
    <row r="224" spans="1:11" x14ac:dyDescent="0.4">
      <c r="A224" s="49">
        <v>221</v>
      </c>
      <c r="B224" s="49">
        <f>A224/$B$1</f>
        <v>9.2083333333333339</v>
      </c>
      <c r="C224" s="49">
        <f>(('Input and Output'!B$23*'Input and Output'!$B$10)+('Input and Output'!B$24*Calculations!$C$5)+('Input and Output'!B$25*Calculations!$C$6)+('Input and Output'!B$26*(IF('Input and Output'!D$7="Detritus",Calculations!$C$4,G224))-(SUM('Input and Output'!B$27:B$32))*H223))</f>
        <v>117.47401667870579</v>
      </c>
      <c r="D224" s="49">
        <f>(('Input and Output'!C$23*'Input and Output'!$B$10)+('Input and Output'!C$24*Calculations!$C$5)+('Input and Output'!C$25*Calculations!$C$6)+('Input and Output'!C$26*(IF('Input and Output'!E$7="Detritus",Calculations!$C$4,H224))-(SUM('Input and Output'!C$27:C$32))*I223))</f>
        <v>1031.7874474352338</v>
      </c>
      <c r="E224" s="49">
        <f>(('Input and Output'!D$23*'Input and Output'!$B$10)+('Input and Output'!D$24*Calculations!$C$5)+('Input and Output'!D$25*Calculations!$C$6)+('Input and Output'!D$26*(IF('Input and Output'!F$7="Detritus",Calculations!$C$4,I224))-(SUM('Input and Output'!D$27:D$32))*J223))</f>
        <v>463.2528852257492</v>
      </c>
      <c r="F224" s="49" t="e">
        <f>(('Input and Output'!E$23*'Input and Output'!$B$10)+('Input and Output'!E$24*Calculations!$C$5)+('Input and Output'!E$25*Calculations!$C$6)+('Input and Output'!E$26*(IF('Input and Output'!G$7="Detritus",Calculations!$C$4,J224))-(SUM('Input and Output'!E$27:E$32))*K223))</f>
        <v>#N/A</v>
      </c>
      <c r="H224" s="49">
        <f>IF(H$2="",NA(),C224*$B224+H223)</f>
        <v>203715.92602456998</v>
      </c>
      <c r="I224" s="49">
        <f>IF(I$2="",NA(),D224*$B224+I223)</f>
        <v>1932381.4844549005</v>
      </c>
      <c r="J224" s="49">
        <f>IF(J$2="",NA(),E224*$B224+J223)</f>
        <v>916886.44019945629</v>
      </c>
      <c r="K224" s="49" t="e">
        <f>IF(K$2="",NA(),F224*$B224+K223)</f>
        <v>#N/A</v>
      </c>
    </row>
    <row r="225" spans="1:11" x14ac:dyDescent="0.4">
      <c r="A225" s="49">
        <v>222</v>
      </c>
      <c r="B225" s="49">
        <f>A225/$B$1</f>
        <v>9.25</v>
      </c>
      <c r="C225" s="49">
        <f>(('Input and Output'!B$23*'Input and Output'!$B$10)+('Input and Output'!B$24*Calculations!$C$5)+('Input and Output'!B$25*Calculations!$C$6)+('Input and Output'!B$26*(IF('Input and Output'!D$7="Detritus",Calculations!$C$4,G225))-(SUM('Input and Output'!B$27:B$32))*H224))</f>
        <v>116.43109598217168</v>
      </c>
      <c r="D225" s="49">
        <f>(('Input and Output'!C$23*'Input and Output'!$B$10)+('Input and Output'!C$24*Calculations!$C$5)+('Input and Output'!C$25*Calculations!$C$6)+('Input and Output'!C$26*(IF('Input and Output'!E$7="Detritus",Calculations!$C$4,H225))-(SUM('Input and Output'!C$27:C$32))*I224))</f>
        <v>1022.13468072039</v>
      </c>
      <c r="E225" s="49">
        <f>(('Input and Output'!D$23*'Input and Output'!$B$10)+('Input and Output'!D$24*Calculations!$C$5)+('Input and Output'!D$25*Calculations!$C$6)+('Input and Output'!D$26*(IF('Input and Output'!F$7="Detritus",Calculations!$C$4,I225))-(SUM('Input and Output'!D$27:D$32))*J224))</f>
        <v>458.88538739631258</v>
      </c>
      <c r="F225" s="49" t="e">
        <f>(('Input and Output'!E$23*'Input and Output'!$B$10)+('Input and Output'!E$24*Calculations!$C$5)+('Input and Output'!E$25*Calculations!$C$6)+('Input and Output'!E$26*(IF('Input and Output'!G$7="Detritus",Calculations!$C$4,J225))-(SUM('Input and Output'!E$27:E$32))*K224))</f>
        <v>#N/A</v>
      </c>
      <c r="H225" s="49">
        <f>IF(H$2="",NA(),C225*$B225+H224)</f>
        <v>204792.91366240507</v>
      </c>
      <c r="I225" s="49">
        <f>IF(I$2="",NA(),D225*$B225+I224)</f>
        <v>1941836.2302515642</v>
      </c>
      <c r="J225" s="49">
        <f>IF(J$2="",NA(),E225*$B225+J224)</f>
        <v>921131.1300328722</v>
      </c>
      <c r="K225" s="49" t="e">
        <f>IF(K$2="",NA(),F225*$B225+K224)</f>
        <v>#N/A</v>
      </c>
    </row>
    <row r="226" spans="1:11" x14ac:dyDescent="0.4">
      <c r="A226" s="49">
        <v>223</v>
      </c>
      <c r="B226" s="49">
        <f>A226/$B$1</f>
        <v>9.2916666666666661</v>
      </c>
      <c r="C226" s="49">
        <f>(('Input and Output'!B$23*'Input and Output'!$B$10)+('Input and Output'!B$24*Calculations!$C$5)+('Input and Output'!B$25*Calculations!$C$6)+('Input and Output'!B$26*(IF('Input and Output'!D$7="Detritus",Calculations!$C$4,G226))-(SUM('Input and Output'!B$27:B$32))*H225))</f>
        <v>115.39275701206515</v>
      </c>
      <c r="D226" s="49">
        <f>(('Input and Output'!C$23*'Input and Output'!$B$10)+('Input and Output'!C$24*Calculations!$C$5)+('Input and Output'!C$25*Calculations!$C$6)+('Input and Output'!C$26*(IF('Input and Output'!E$7="Detritus",Calculations!$C$4,H226))-(SUM('Input and Output'!C$27:C$32))*I225))</f>
        <v>1012.5382566860162</v>
      </c>
      <c r="E226" s="49">
        <f>(('Input and Output'!D$23*'Input and Output'!$B$10)+('Input and Output'!D$24*Calculations!$C$5)+('Input and Output'!D$25*Calculations!$C$6)+('Input and Output'!D$26*(IF('Input and Output'!F$7="Detritus",Calculations!$C$4,I226))-(SUM('Input and Output'!D$27:D$32))*J225))</f>
        <v>454.54401257158679</v>
      </c>
      <c r="F226" s="49" t="e">
        <f>(('Input and Output'!E$23*'Input and Output'!$B$10)+('Input and Output'!E$24*Calculations!$C$5)+('Input and Output'!E$25*Calculations!$C$6)+('Input and Output'!E$26*(IF('Input and Output'!G$7="Detritus",Calculations!$C$4,J226))-(SUM('Input and Output'!E$27:E$32))*K225))</f>
        <v>#N/A</v>
      </c>
      <c r="H226" s="49">
        <f>IF(H$2="",NA(),C226*$B226+H225)</f>
        <v>205865.10469630884</v>
      </c>
      <c r="I226" s="49">
        <f>IF(I$2="",NA(),D226*$B226+I225)</f>
        <v>1951244.3982199384</v>
      </c>
      <c r="J226" s="49">
        <f>IF(J$2="",NA(),E226*$B226+J225)</f>
        <v>925354.60148301651</v>
      </c>
      <c r="K226" s="49" t="e">
        <f>IF(K$2="",NA(),F226*$B226+K225)</f>
        <v>#N/A</v>
      </c>
    </row>
    <row r="227" spans="1:11" x14ac:dyDescent="0.4">
      <c r="A227" s="49">
        <v>224</v>
      </c>
      <c r="B227" s="49">
        <f>A227/$B$1</f>
        <v>9.3333333333333339</v>
      </c>
      <c r="C227" s="49">
        <f>(('Input and Output'!B$23*'Input and Output'!$B$10)+('Input and Output'!B$24*Calculations!$C$5)+('Input and Output'!B$25*Calculations!$C$6)+('Input and Output'!B$26*(IF('Input and Output'!D$7="Detritus",Calculations!$C$4,G227))-(SUM('Input and Output'!B$27:B$32))*H226))</f>
        <v>114.35904251545401</v>
      </c>
      <c r="D227" s="49">
        <f>(('Input and Output'!C$23*'Input and Output'!$B$10)+('Input and Output'!C$24*Calculations!$C$5)+('Input and Output'!C$25*Calculations!$C$6)+('Input and Output'!C$26*(IF('Input and Output'!E$7="Detritus",Calculations!$C$4,H227))-(SUM('Input and Output'!C$27:C$32))*I226))</f>
        <v>1002.9982230236956</v>
      </c>
      <c r="E227" s="49">
        <f>(('Input and Output'!D$23*'Input and Output'!$B$10)+('Input and Output'!D$24*Calculations!$C$5)+('Input and Output'!D$25*Calculations!$C$6)+('Input and Output'!D$26*(IF('Input and Output'!F$7="Detritus",Calculations!$C$4,I227))-(SUM('Input and Output'!D$27:D$32))*J226))</f>
        <v>450.22876838752927</v>
      </c>
      <c r="F227" s="49" t="e">
        <f>(('Input and Output'!E$23*'Input and Output'!$B$10)+('Input and Output'!E$24*Calculations!$C$5)+('Input and Output'!E$25*Calculations!$C$6)+('Input and Output'!E$26*(IF('Input and Output'!G$7="Detritus",Calculations!$C$4,J227))-(SUM('Input and Output'!E$27:E$32))*K226))</f>
        <v>#N/A</v>
      </c>
      <c r="H227" s="49">
        <f>IF(H$2="",NA(),C227*$B227+H226)</f>
        <v>206932.45575978642</v>
      </c>
      <c r="I227" s="49">
        <f>IF(I$2="",NA(),D227*$B227+I226)</f>
        <v>1960605.7149681596</v>
      </c>
      <c r="J227" s="49">
        <f>IF(J$2="",NA(),E227*$B227+J226)</f>
        <v>929556.73665463342</v>
      </c>
      <c r="K227" s="49" t="e">
        <f>IF(K$2="",NA(),F227*$B227+K226)</f>
        <v>#N/A</v>
      </c>
    </row>
    <row r="228" spans="1:11" x14ac:dyDescent="0.4">
      <c r="A228" s="49">
        <v>225</v>
      </c>
      <c r="B228" s="49">
        <f>A228/$B$1</f>
        <v>9.375</v>
      </c>
      <c r="C228" s="49">
        <f>(('Input and Output'!B$23*'Input and Output'!$B$10)+('Input and Output'!B$24*Calculations!$C$5)+('Input and Output'!B$25*Calculations!$C$6)+('Input and Output'!B$26*(IF('Input and Output'!D$7="Detritus",Calculations!$C$4,G228))-(SUM('Input and Output'!B$27:B$32))*H227))</f>
        <v>113.32999430258761</v>
      </c>
      <c r="D228" s="49">
        <f>(('Input and Output'!C$23*'Input and Output'!$B$10)+('Input and Output'!C$24*Calculations!$C$5)+('Input and Output'!C$25*Calculations!$C$6)+('Input and Output'!C$26*(IF('Input and Output'!E$7="Detritus",Calculations!$C$4,H228))-(SUM('Input and Output'!C$27:C$32))*I227))</f>
        <v>993.51462231711048</v>
      </c>
      <c r="E228" s="49">
        <f>(('Input and Output'!D$23*'Input and Output'!$B$10)+('Input and Output'!D$24*Calculations!$C$5)+('Input and Output'!D$25*Calculations!$C$6)+('Input and Output'!D$26*(IF('Input and Output'!F$7="Detritus",Calculations!$C$4,I228))-(SUM('Input and Output'!D$27:D$32))*J227))</f>
        <v>445.93966037069549</v>
      </c>
      <c r="F228" s="49" t="e">
        <f>(('Input and Output'!E$23*'Input and Output'!$B$10)+('Input and Output'!E$24*Calculations!$C$5)+('Input and Output'!E$25*Calculations!$C$6)+('Input and Output'!E$26*(IF('Input and Output'!G$7="Detritus",Calculations!$C$4,J228))-(SUM('Input and Output'!E$27:E$32))*K227))</f>
        <v>#N/A</v>
      </c>
      <c r="H228" s="49">
        <f>IF(H$2="",NA(),C228*$B228+H227)</f>
        <v>207994.92445637318</v>
      </c>
      <c r="I228" s="49">
        <f>IF(I$2="",NA(),D228*$B228+I227)</f>
        <v>1969919.9145523824</v>
      </c>
      <c r="J228" s="49">
        <f>IF(J$2="",NA(),E228*$B228+J227)</f>
        <v>933737.42097060871</v>
      </c>
      <c r="K228" s="49" t="e">
        <f>IF(K$2="",NA(),F228*$B228+K227)</f>
        <v>#N/A</v>
      </c>
    </row>
    <row r="229" spans="1:11" x14ac:dyDescent="0.4">
      <c r="A229" s="49">
        <v>226</v>
      </c>
      <c r="B229" s="49">
        <f>A229/$B$1</f>
        <v>9.4166666666666661</v>
      </c>
      <c r="C229" s="49">
        <f>(('Input and Output'!B$23*'Input and Output'!$B$10)+('Input and Output'!B$24*Calculations!$C$5)+('Input and Output'!B$25*Calculations!$C$6)+('Input and Output'!B$26*(IF('Input and Output'!D$7="Detritus",Calculations!$C$4,G229))-(SUM('Input and Output'!B$27:B$32))*H228))</f>
        <v>112.30565324849533</v>
      </c>
      <c r="D229" s="49">
        <f>(('Input and Output'!C$23*'Input and Output'!$B$10)+('Input and Output'!C$24*Calculations!$C$5)+('Input and Output'!C$25*Calculations!$C$6)+('Input and Output'!C$26*(IF('Input and Output'!E$7="Detritus",Calculations!$C$4,H229))-(SUM('Input and Output'!C$27:C$32))*I228))</f>
        <v>984.08749213806459</v>
      </c>
      <c r="E229" s="49">
        <f>(('Input and Output'!D$23*'Input and Output'!$B$10)+('Input and Output'!D$24*Calculations!$C$5)+('Input and Output'!D$25*Calculations!$C$6)+('Input and Output'!D$26*(IF('Input and Output'!F$7="Detritus",Calculations!$C$4,I229))-(SUM('Input and Output'!D$27:D$32))*J228))</f>
        <v>441.67669197984287</v>
      </c>
      <c r="F229" s="49" t="e">
        <f>(('Input and Output'!E$23*'Input and Output'!$B$10)+('Input and Output'!E$24*Calculations!$C$5)+('Input and Output'!E$25*Calculations!$C$6)+('Input and Output'!E$26*(IF('Input and Output'!G$7="Detritus",Calculations!$C$4,J229))-(SUM('Input and Output'!E$27:E$32))*K228))</f>
        <v>#N/A</v>
      </c>
      <c r="H229" s="49">
        <f>IF(H$2="",NA(),C229*$B229+H228)</f>
        <v>209052.46935779651</v>
      </c>
      <c r="I229" s="49">
        <f>IF(I$2="",NA(),D229*$B229+I228)</f>
        <v>1979186.7384366826</v>
      </c>
      <c r="J229" s="49">
        <f>IF(J$2="",NA(),E229*$B229+J228)</f>
        <v>937896.54315341893</v>
      </c>
      <c r="K229" s="49" t="e">
        <f>IF(K$2="",NA(),F229*$B229+K228)</f>
        <v>#N/A</v>
      </c>
    </row>
    <row r="230" spans="1:11" x14ac:dyDescent="0.4">
      <c r="A230" s="49">
        <v>227</v>
      </c>
      <c r="B230" s="49">
        <f>A230/$B$1</f>
        <v>9.4583333333333339</v>
      </c>
      <c r="C230" s="49">
        <f>(('Input and Output'!B$23*'Input and Output'!$B$10)+('Input and Output'!B$24*Calculations!$C$5)+('Input and Output'!B$25*Calculations!$C$6)+('Input and Output'!B$26*(IF('Input and Output'!D$7="Detritus",Calculations!$C$4,G230))-(SUM('Input and Output'!B$27:B$32))*H229))</f>
        <v>111.2860592947591</v>
      </c>
      <c r="D230" s="49">
        <f>(('Input and Output'!C$23*'Input and Output'!$B$10)+('Input and Output'!C$24*Calculations!$C$5)+('Input and Output'!C$25*Calculations!$C$6)+('Input and Output'!C$26*(IF('Input and Output'!E$7="Detritus",Calculations!$C$4,H230))-(SUM('Input and Output'!C$27:C$32))*I229))</f>
        <v>974.71686513936311</v>
      </c>
      <c r="E230" s="49">
        <f>(('Input and Output'!D$23*'Input and Output'!$B$10)+('Input and Output'!D$24*Calculations!$C$5)+('Input and Output'!D$25*Calculations!$C$6)+('Input and Output'!D$26*(IF('Input and Output'!F$7="Detritus",Calculations!$C$4,I230))-(SUM('Input and Output'!D$27:D$32))*J229))</f>
        <v>437.43986464610862</v>
      </c>
      <c r="F230" s="49" t="e">
        <f>(('Input and Output'!E$23*'Input and Output'!$B$10)+('Input and Output'!E$24*Calculations!$C$5)+('Input and Output'!E$25*Calculations!$C$6)+('Input and Output'!E$26*(IF('Input and Output'!G$7="Detritus",Calculations!$C$4,J230))-(SUM('Input and Output'!E$27:E$32))*K229))</f>
        <v>#N/A</v>
      </c>
      <c r="H230" s="49">
        <f>IF(H$2="",NA(),C230*$B230+H229)</f>
        <v>210105.05000195943</v>
      </c>
      <c r="I230" s="49">
        <f>IF(I$2="",NA(),D230*$B230+I229)</f>
        <v>1988405.9354527923</v>
      </c>
      <c r="J230" s="49">
        <f>IF(J$2="",NA(),E230*$B230+J229)</f>
        <v>942033.99520653009</v>
      </c>
      <c r="K230" s="49" t="e">
        <f>IF(K$2="",NA(),F230*$B230+K229)</f>
        <v>#N/A</v>
      </c>
    </row>
    <row r="231" spans="1:11" x14ac:dyDescent="0.4">
      <c r="A231" s="49">
        <v>228</v>
      </c>
      <c r="B231" s="49">
        <f>A231/$B$1</f>
        <v>9.5</v>
      </c>
      <c r="C231" s="49">
        <f>(('Input and Output'!B$23*'Input and Output'!$B$10)+('Input and Output'!B$24*Calculations!$C$5)+('Input and Output'!B$25*Calculations!$C$6)+('Input and Output'!B$26*(IF('Input and Output'!D$7="Detritus",Calculations!$C$4,G231))-(SUM('Input and Output'!B$27:B$32))*H230))</f>
        <v>110.27125145145723</v>
      </c>
      <c r="D231" s="49">
        <f>(('Input and Output'!C$23*'Input and Output'!$B$10)+('Input and Output'!C$24*Calculations!$C$5)+('Input and Output'!C$25*Calculations!$C$6)+('Input and Output'!C$26*(IF('Input and Output'!E$7="Detritus",Calculations!$C$4,H231))-(SUM('Input and Output'!C$27:C$32))*I230))</f>
        <v>965.40276914461538</v>
      </c>
      <c r="E231" s="49">
        <f>(('Input and Output'!D$23*'Input and Output'!$B$10)+('Input and Output'!D$24*Calculations!$C$5)+('Input and Output'!D$25*Calculations!$C$6)+('Input and Output'!D$26*(IF('Input and Output'!F$7="Detritus",Calculations!$C$4,I231))-(SUM('Input and Output'!D$27:D$32))*J230))</f>
        <v>433.22917781169599</v>
      </c>
      <c r="F231" s="49" t="e">
        <f>(('Input and Output'!E$23*'Input and Output'!$B$10)+('Input and Output'!E$24*Calculations!$C$5)+('Input and Output'!E$25*Calculations!$C$6)+('Input and Output'!E$26*(IF('Input and Output'!G$7="Detritus",Calculations!$C$4,J231))-(SUM('Input and Output'!E$27:E$32))*K230))</f>
        <v>#N/A</v>
      </c>
      <c r="H231" s="49">
        <f>IF(H$2="",NA(),C231*$B231+H230)</f>
        <v>211152.62689074827</v>
      </c>
      <c r="I231" s="49">
        <f>IF(I$2="",NA(),D231*$B231+I230)</f>
        <v>1997577.2617596663</v>
      </c>
      <c r="J231" s="49">
        <f>IF(J$2="",NA(),E231*$B231+J230)</f>
        <v>946149.67239574122</v>
      </c>
      <c r="K231" s="49" t="e">
        <f>IF(K$2="",NA(),F231*$B231+K230)</f>
        <v>#N/A</v>
      </c>
    </row>
    <row r="232" spans="1:11" x14ac:dyDescent="0.4">
      <c r="A232" s="49">
        <v>229</v>
      </c>
      <c r="B232" s="49">
        <f>A232/$B$1</f>
        <v>9.5416666666666661</v>
      </c>
      <c r="C232" s="49">
        <f>(('Input and Output'!B$23*'Input and Output'!$B$10)+('Input and Output'!B$24*Calculations!$C$5)+('Input and Output'!B$25*Calculations!$C$6)+('Input and Output'!B$26*(IF('Input and Output'!D$7="Detritus",Calculations!$C$4,G232))-(SUM('Input and Output'!B$27:B$32))*H231))</f>
        <v>109.26126779927816</v>
      </c>
      <c r="D232" s="49">
        <f>(('Input and Output'!C$23*'Input and Output'!$B$10)+('Input and Output'!C$24*Calculations!$C$5)+('Input and Output'!C$25*Calculations!$C$6)+('Input and Output'!C$26*(IF('Input and Output'!E$7="Detritus",Calculations!$C$4,H232))-(SUM('Input and Output'!C$27:C$32))*I231))</f>
        <v>956.14522723503524</v>
      </c>
      <c r="E232" s="49">
        <f>(('Input and Output'!D$23*'Input and Output'!$B$10)+('Input and Output'!D$24*Calculations!$C$5)+('Input and Output'!D$25*Calculations!$C$6)+('Input and Output'!D$26*(IF('Input and Output'!F$7="Detritus",Calculations!$C$4,I232))-(SUM('Input and Output'!D$27:D$32))*J231))</f>
        <v>429.04462896730183</v>
      </c>
      <c r="F232" s="49" t="e">
        <f>(('Input and Output'!E$23*'Input and Output'!$B$10)+('Input and Output'!E$24*Calculations!$C$5)+('Input and Output'!E$25*Calculations!$C$6)+('Input and Output'!E$26*(IF('Input and Output'!G$7="Detritus",Calculations!$C$4,J232))-(SUM('Input and Output'!E$27:E$32))*K231))</f>
        <v>#N/A</v>
      </c>
      <c r="H232" s="49">
        <f>IF(H$2="",NA(),C232*$B232+H231)</f>
        <v>212195.1614876664</v>
      </c>
      <c r="I232" s="49">
        <f>IF(I$2="",NA(),D232*$B232+I231)</f>
        <v>2006700.4808028673</v>
      </c>
      <c r="J232" s="49">
        <f>IF(J$2="",NA(),E232*$B232+J231)</f>
        <v>950243.4732304709</v>
      </c>
      <c r="K232" s="49" t="e">
        <f>IF(K$2="",NA(),F232*$B232+K231)</f>
        <v>#N/A</v>
      </c>
    </row>
    <row r="233" spans="1:11" x14ac:dyDescent="0.4">
      <c r="A233" s="49">
        <v>230</v>
      </c>
      <c r="B233" s="49">
        <f>A233/$B$1</f>
        <v>9.5833333333333339</v>
      </c>
      <c r="C233" s="49">
        <f>(('Input and Output'!B$23*'Input and Output'!$B$10)+('Input and Output'!B$24*Calculations!$C$5)+('Input and Output'!B$25*Calculations!$C$6)+('Input and Output'!B$26*(IF('Input and Output'!D$7="Detritus",Calculations!$C$4,G233))-(SUM('Input and Output'!B$27:B$32))*H232))</f>
        <v>108.2561454918017</v>
      </c>
      <c r="D233" s="49">
        <f>(('Input and Output'!C$23*'Input and Output'!$B$10)+('Input and Output'!C$24*Calculations!$C$5)+('Input and Output'!C$25*Calculations!$C$6)+('Input and Output'!C$26*(IF('Input and Output'!E$7="Detritus",Calculations!$C$4,H233))-(SUM('Input and Output'!C$27:C$32))*I232))</f>
        <v>946.94425783328734</v>
      </c>
      <c r="E233" s="49">
        <f>(('Input and Output'!D$23*'Input and Output'!$B$10)+('Input and Output'!D$24*Calculations!$C$5)+('Input and Output'!D$25*Calculations!$C$6)+('Input and Output'!D$26*(IF('Input and Output'!F$7="Detritus",Calculations!$C$4,I233))-(SUM('Input and Output'!D$27:D$32))*J232))</f>
        <v>424.88621368818349</v>
      </c>
      <c r="F233" s="49" t="e">
        <f>(('Input and Output'!E$23*'Input and Output'!$B$10)+('Input and Output'!E$24*Calculations!$C$5)+('Input and Output'!E$25*Calculations!$C$6)+('Input and Output'!E$26*(IF('Input and Output'!G$7="Detritus",Calculations!$C$4,J233))-(SUM('Input and Output'!E$27:E$32))*K232))</f>
        <v>#N/A</v>
      </c>
      <c r="H233" s="49">
        <f>IF(H$2="",NA(),C233*$B233+H232)</f>
        <v>213232.61621529615</v>
      </c>
      <c r="I233" s="49">
        <f>IF(I$2="",NA(),D233*$B233+I232)</f>
        <v>2015775.3632737696</v>
      </c>
      <c r="J233" s="49">
        <f>IF(J$2="",NA(),E233*$B233+J232)</f>
        <v>954315.29944498267</v>
      </c>
      <c r="K233" s="49" t="e">
        <f>IF(K$2="",NA(),F233*$B233+K232)</f>
        <v>#N/A</v>
      </c>
    </row>
    <row r="234" spans="1:11" x14ac:dyDescent="0.4">
      <c r="A234" s="49">
        <v>231</v>
      </c>
      <c r="B234" s="49">
        <f>A234/$B$1</f>
        <v>9.625</v>
      </c>
      <c r="C234" s="49">
        <f>(('Input and Output'!B$23*'Input and Output'!$B$10)+('Input and Output'!B$24*Calculations!$C$5)+('Input and Output'!B$25*Calculations!$C$6)+('Input and Output'!B$26*(IF('Input and Output'!D$7="Detritus",Calculations!$C$4,G234))-(SUM('Input and Output'!B$27:B$32))*H233))</f>
        <v>107.25592075794626</v>
      </c>
      <c r="D234" s="49">
        <f>(('Input and Output'!C$23*'Input and Output'!$B$10)+('Input and Output'!C$24*Calculations!$C$5)+('Input and Output'!C$25*Calculations!$C$6)+('Input and Output'!C$26*(IF('Input and Output'!E$7="Detritus",Calculations!$C$4,H234))-(SUM('Input and Output'!C$27:C$32))*I233))</f>
        <v>937.79987478447129</v>
      </c>
      <c r="E234" s="49">
        <f>(('Input and Output'!D$23*'Input and Output'!$B$10)+('Input and Output'!D$24*Calculations!$C$5)+('Input and Output'!D$25*Calculations!$C$6)+('Input and Output'!D$26*(IF('Input and Output'!F$7="Detritus",Calculations!$C$4,I234))-(SUM('Input and Output'!D$27:D$32))*J233))</f>
        <v>420.75392566877053</v>
      </c>
      <c r="F234" s="49" t="e">
        <f>(('Input and Output'!E$23*'Input and Output'!$B$10)+('Input and Output'!E$24*Calculations!$C$5)+('Input and Output'!E$25*Calculations!$C$6)+('Input and Output'!E$26*(IF('Input and Output'!G$7="Detritus",Calculations!$C$4,J234))-(SUM('Input and Output'!E$27:E$32))*K233))</f>
        <v>#N/A</v>
      </c>
      <c r="H234" s="49">
        <f>IF(H$2="",NA(),C234*$B234+H233)</f>
        <v>214264.95445259137</v>
      </c>
      <c r="I234" s="49">
        <f>IF(I$2="",NA(),D234*$B234+I233)</f>
        <v>2024801.6870685702</v>
      </c>
      <c r="J234" s="49">
        <f>IF(J$2="",NA(),E234*$B234+J233)</f>
        <v>958365.05597954453</v>
      </c>
      <c r="K234" s="49" t="e">
        <f>IF(K$2="",NA(),F234*$B234+K233)</f>
        <v>#N/A</v>
      </c>
    </row>
    <row r="235" spans="1:11" x14ac:dyDescent="0.4">
      <c r="A235" s="49">
        <v>232</v>
      </c>
      <c r="B235" s="49">
        <f>A235/$B$1</f>
        <v>9.6666666666666661</v>
      </c>
      <c r="C235" s="49">
        <f>(('Input and Output'!B$23*'Input and Output'!$B$10)+('Input and Output'!B$24*Calculations!$C$5)+('Input and Output'!B$25*Calculations!$C$6)+('Input and Output'!B$26*(IF('Input and Output'!D$7="Detritus",Calculations!$C$4,G235))-(SUM('Input and Output'!B$27:B$32))*H234))</f>
        <v>106.26062890457879</v>
      </c>
      <c r="D235" s="49">
        <f>(('Input and Output'!C$23*'Input and Output'!$B$10)+('Input and Output'!C$24*Calculations!$C$5)+('Input and Output'!C$25*Calculations!$C$6)+('Input and Output'!C$26*(IF('Input and Output'!E$7="Detritus",Calculations!$C$4,H235))-(SUM('Input and Output'!C$27:C$32))*I234))</f>
        <v>928.71208743427451</v>
      </c>
      <c r="E235" s="49">
        <f>(('Input and Output'!D$23*'Input and Output'!$B$10)+('Input and Output'!D$24*Calculations!$C$5)+('Input and Output'!D$25*Calculations!$C$6)+('Input and Output'!D$26*(IF('Input and Output'!F$7="Detritus",Calculations!$C$4,I235))-(SUM('Input and Output'!D$27:D$32))*J234))</f>
        <v>416.64775675624333</v>
      </c>
      <c r="F235" s="49" t="e">
        <f>(('Input and Output'!E$23*'Input and Output'!$B$10)+('Input and Output'!E$24*Calculations!$C$5)+('Input and Output'!E$25*Calculations!$C$6)+('Input and Output'!E$26*(IF('Input and Output'!G$7="Detritus",Calculations!$C$4,J235))-(SUM('Input and Output'!E$27:E$32))*K234))</f>
        <v>#N/A</v>
      </c>
      <c r="H235" s="49">
        <f>IF(H$2="",NA(),C235*$B235+H234)</f>
        <v>215292.14053200229</v>
      </c>
      <c r="I235" s="49">
        <f>IF(I$2="",NA(),D235*$B235+I234)</f>
        <v>2033779.2372471015</v>
      </c>
      <c r="J235" s="49">
        <f>IF(J$2="",NA(),E235*$B235+J234)</f>
        <v>962392.65096152155</v>
      </c>
      <c r="K235" s="49" t="e">
        <f>IF(K$2="",NA(),F235*$B235+K234)</f>
        <v>#N/A</v>
      </c>
    </row>
    <row r="236" spans="1:11" x14ac:dyDescent="0.4">
      <c r="A236" s="49">
        <v>233</v>
      </c>
      <c r="B236" s="49">
        <f>A236/$B$1</f>
        <v>9.7083333333333339</v>
      </c>
      <c r="C236" s="49">
        <f>(('Input and Output'!B$23*'Input and Output'!$B$10)+('Input and Output'!B$24*Calculations!$C$5)+('Input and Output'!B$25*Calculations!$C$6)+('Input and Output'!B$26*(IF('Input and Output'!D$7="Detritus",Calculations!$C$4,G236))-(SUM('Input and Output'!B$27:B$32))*H235))</f>
        <v>105.27030431928711</v>
      </c>
      <c r="D236" s="49">
        <f>(('Input and Output'!C$23*'Input and Output'!$B$10)+('Input and Output'!C$24*Calculations!$C$5)+('Input and Output'!C$25*Calculations!$C$6)+('Input and Output'!C$26*(IF('Input and Output'!E$7="Detritus",Calculations!$C$4,H236))-(SUM('Input and Output'!C$27:C$32))*I235))</f>
        <v>919.68090070439575</v>
      </c>
      <c r="E236" s="49">
        <f>(('Input and Output'!D$23*'Input and Output'!$B$10)+('Input and Output'!D$24*Calculations!$C$5)+('Input and Output'!D$25*Calculations!$C$6)+('Input and Output'!D$26*(IF('Input and Output'!F$7="Detritus",Calculations!$C$4,I236))-(SUM('Input and Output'!D$27:D$32))*J235))</f>
        <v>412.56769698260541</v>
      </c>
      <c r="F236" s="49" t="e">
        <f>(('Input and Output'!E$23*'Input and Output'!$B$10)+('Input and Output'!E$24*Calculations!$C$5)+('Input and Output'!E$25*Calculations!$C$6)+('Input and Output'!E$26*(IF('Input and Output'!G$7="Detritus",Calculations!$C$4,J236))-(SUM('Input and Output'!E$27:E$32))*K235))</f>
        <v>#N/A</v>
      </c>
      <c r="H236" s="49">
        <f>IF(H$2="",NA(),C236*$B236+H235)</f>
        <v>216314.13973643538</v>
      </c>
      <c r="I236" s="49">
        <f>IF(I$2="",NA(),D236*$B236+I235)</f>
        <v>2042707.8059914401</v>
      </c>
      <c r="J236" s="49">
        <f>IF(J$2="",NA(),E236*$B236+J235)</f>
        <v>966397.9956863944</v>
      </c>
      <c r="K236" s="49" t="e">
        <f>IF(K$2="",NA(),F236*$B236+K235)</f>
        <v>#N/A</v>
      </c>
    </row>
    <row r="237" spans="1:11" x14ac:dyDescent="0.4">
      <c r="A237" s="49">
        <v>234</v>
      </c>
      <c r="B237" s="49">
        <f>A237/$B$1</f>
        <v>9.75</v>
      </c>
      <c r="C237" s="49">
        <f>(('Input and Output'!B$23*'Input and Output'!$B$10)+('Input and Output'!B$24*Calculations!$C$5)+('Input and Output'!B$25*Calculations!$C$6)+('Input and Output'!B$26*(IF('Input and Output'!D$7="Detritus",Calculations!$C$4,G237))-(SUM('Input and Output'!B$27:B$32))*H236))</f>
        <v>104.28498047331067</v>
      </c>
      <c r="D237" s="49">
        <f>(('Input and Output'!C$23*'Input and Output'!$B$10)+('Input and Output'!C$24*Calculations!$C$5)+('Input and Output'!C$25*Calculations!$C$6)+('Input and Output'!C$26*(IF('Input and Output'!E$7="Detritus",Calculations!$C$4,H237))-(SUM('Input and Output'!C$27:C$32))*I236))</f>
        <v>910.7063151652992</v>
      </c>
      <c r="E237" s="49">
        <f>(('Input and Output'!D$23*'Input and Output'!$B$10)+('Input and Output'!D$24*Calculations!$C$5)+('Input and Output'!D$25*Calculations!$C$6)+('Input and Output'!D$26*(IF('Input and Output'!F$7="Detritus",Calculations!$C$4,I237))-(SUM('Input and Output'!D$27:D$32))*J236))</f>
        <v>408.51373459569368</v>
      </c>
      <c r="F237" s="49" t="e">
        <f>(('Input and Output'!E$23*'Input and Output'!$B$10)+('Input and Output'!E$24*Calculations!$C$5)+('Input and Output'!E$25*Calculations!$C$6)+('Input and Output'!E$26*(IF('Input and Output'!G$7="Detritus",Calculations!$C$4,J237))-(SUM('Input and Output'!E$27:E$32))*K236))</f>
        <v>#N/A</v>
      </c>
      <c r="H237" s="49">
        <f>IF(H$2="",NA(),C237*$B237+H236)</f>
        <v>217330.91829605016</v>
      </c>
      <c r="I237" s="49">
        <f>IF(I$2="",NA(),D237*$B237+I236)</f>
        <v>2051587.1925643017</v>
      </c>
      <c r="J237" s="49">
        <f>IF(J$2="",NA(),E237*$B237+J236)</f>
        <v>970381.00459870242</v>
      </c>
      <c r="K237" s="49" t="e">
        <f>IF(K$2="",NA(),F237*$B237+K236)</f>
        <v>#N/A</v>
      </c>
    </row>
    <row r="238" spans="1:11" x14ac:dyDescent="0.4">
      <c r="A238" s="49">
        <v>235</v>
      </c>
      <c r="B238" s="49">
        <f>A238/$B$1</f>
        <v>9.7916666666666661</v>
      </c>
      <c r="C238" s="49">
        <f>(('Input and Output'!B$23*'Input and Output'!$B$10)+('Input and Output'!B$24*Calculations!$C$5)+('Input and Output'!B$25*Calculations!$C$6)+('Input and Output'!B$26*(IF('Input and Output'!D$7="Detritus",Calculations!$C$4,G238))-(SUM('Input and Output'!B$27:B$32))*H237))</f>
        <v>103.30468992462892</v>
      </c>
      <c r="D238" s="49">
        <f>(('Input and Output'!C$23*'Input and Output'!$B$10)+('Input and Output'!C$24*Calculations!$C$5)+('Input and Output'!C$25*Calculations!$C$6)+('Input and Output'!C$26*(IF('Input and Output'!E$7="Detritus",Calculations!$C$4,H238))-(SUM('Input and Output'!C$27:C$32))*I237))</f>
        <v>901.78832710635834</v>
      </c>
      <c r="E238" s="49">
        <f>(('Input and Output'!D$23*'Input and Output'!$B$10)+('Input and Output'!D$24*Calculations!$C$5)+('Input and Output'!D$25*Calculations!$C$6)+('Input and Output'!D$26*(IF('Input and Output'!F$7="Detritus",Calculations!$C$4,I238))-(SUM('Input and Output'!D$27:D$32))*J237))</f>
        <v>404.48585608905341</v>
      </c>
      <c r="F238" s="49" t="e">
        <f>(('Input and Output'!E$23*'Input and Output'!$B$10)+('Input and Output'!E$24*Calculations!$C$5)+('Input and Output'!E$25*Calculations!$C$6)+('Input and Output'!E$26*(IF('Input and Output'!G$7="Detritus",Calculations!$C$4,J238))-(SUM('Input and Output'!E$27:E$32))*K237))</f>
        <v>#N/A</v>
      </c>
      <c r="H238" s="49">
        <f>IF(H$2="",NA(),C238*$B238+H237)</f>
        <v>218342.44338489548</v>
      </c>
      <c r="I238" s="49">
        <f>IF(I$2="",NA(),D238*$B238+I237)</f>
        <v>2060417.2032672181</v>
      </c>
      <c r="J238" s="49">
        <f>IF(J$2="",NA(),E238*$B238+J237)</f>
        <v>974341.59527290775</v>
      </c>
      <c r="K238" s="49" t="e">
        <f>IF(K$2="",NA(),F238*$B238+K237)</f>
        <v>#N/A</v>
      </c>
    </row>
    <row r="239" spans="1:11" x14ac:dyDescent="0.4">
      <c r="A239" s="49">
        <v>236</v>
      </c>
      <c r="B239" s="49">
        <f>A239/$B$1</f>
        <v>9.8333333333333339</v>
      </c>
      <c r="C239" s="49">
        <f>(('Input and Output'!B$23*'Input and Output'!$B$10)+('Input and Output'!B$24*Calculations!$C$5)+('Input and Output'!B$25*Calculations!$C$6)+('Input and Output'!B$26*(IF('Input and Output'!D$7="Detritus",Calculations!$C$4,G239))-(SUM('Input and Output'!B$27:B$32))*H238))</f>
        <v>102.32946432120431</v>
      </c>
      <c r="D239" s="49">
        <f>(('Input and Output'!C$23*'Input and Output'!$B$10)+('Input and Output'!C$24*Calculations!$C$5)+('Input and Output'!C$25*Calculations!$C$6)+('Input and Output'!C$26*(IF('Input and Output'!E$7="Detritus",Calculations!$C$4,H239))-(SUM('Input and Output'!C$27:C$32))*I238))</f>
        <v>892.92692860348143</v>
      </c>
      <c r="E239" s="49">
        <f>(('Input and Output'!D$23*'Input and Output'!$B$10)+('Input and Output'!D$24*Calculations!$C$5)+('Input and Output'!D$25*Calculations!$C$6)+('Input and Output'!D$26*(IF('Input and Output'!F$7="Detritus",Calculations!$C$4,I239))-(SUM('Input and Output'!D$27:D$32))*J238))</f>
        <v>400.4840462303946</v>
      </c>
      <c r="F239" s="49" t="e">
        <f>(('Input and Output'!E$23*'Input and Output'!$B$10)+('Input and Output'!E$24*Calculations!$C$5)+('Input and Output'!E$25*Calculations!$C$6)+('Input and Output'!E$26*(IF('Input and Output'!G$7="Detritus",Calculations!$C$4,J239))-(SUM('Input and Output'!E$27:E$32))*K238))</f>
        <v>#N/A</v>
      </c>
      <c r="H239" s="49">
        <f>IF(H$2="",NA(),C239*$B239+H238)</f>
        <v>219348.68311738732</v>
      </c>
      <c r="I239" s="49">
        <f>IF(I$2="",NA(),D239*$B239+I238)</f>
        <v>2069197.6513984858</v>
      </c>
      <c r="J239" s="49">
        <f>IF(J$2="",NA(),E239*$B239+J238)</f>
        <v>978279.68839417328</v>
      </c>
      <c r="K239" s="49" t="e">
        <f>IF(K$2="",NA(),F239*$B239+K238)</f>
        <v>#N/A</v>
      </c>
    </row>
    <row r="240" spans="1:11" x14ac:dyDescent="0.4">
      <c r="A240" s="49">
        <v>237</v>
      </c>
      <c r="B240" s="49">
        <f>A240/$B$1</f>
        <v>9.875</v>
      </c>
      <c r="C240" s="49">
        <f>(('Input and Output'!B$23*'Input and Output'!$B$10)+('Input and Output'!B$24*Calculations!$C$5)+('Input and Output'!B$25*Calculations!$C$6)+('Input and Output'!B$26*(IF('Input and Output'!D$7="Detritus",Calculations!$C$4,G240))-(SUM('Input and Output'!B$27:B$32))*H239))</f>
        <v>101.35933440437805</v>
      </c>
      <c r="D240" s="49">
        <f>(('Input and Output'!C$23*'Input and Output'!$B$10)+('Input and Output'!C$24*Calculations!$C$5)+('Input and Output'!C$25*Calculations!$C$6)+('Input and Output'!C$26*(IF('Input and Output'!E$7="Detritus",Calculations!$C$4,H240))-(SUM('Input and Output'!C$27:C$32))*I239))</f>
        <v>884.12210758427136</v>
      </c>
      <c r="E240" s="49">
        <f>(('Input and Output'!D$23*'Input and Output'!$B$10)+('Input and Output'!D$24*Calculations!$C$5)+('Input and Output'!D$25*Calculations!$C$6)+('Input and Output'!D$26*(IF('Input and Output'!F$7="Detritus",Calculations!$C$4,I240))-(SUM('Input and Output'!D$27:D$32))*J239))</f>
        <v>396.50828808929145</v>
      </c>
      <c r="F240" s="49" t="e">
        <f>(('Input and Output'!E$23*'Input and Output'!$B$10)+('Input and Output'!E$24*Calculations!$C$5)+('Input and Output'!E$25*Calculations!$C$6)+('Input and Output'!E$26*(IF('Input and Output'!G$7="Detritus",Calculations!$C$4,J240))-(SUM('Input and Output'!E$27:E$32))*K239))</f>
        <v>#N/A</v>
      </c>
      <c r="H240" s="49">
        <f>IF(H$2="",NA(),C240*$B240+H239)</f>
        <v>220349.60654463054</v>
      </c>
      <c r="I240" s="49">
        <f>IF(I$2="",NA(),D240*$B240+I239)</f>
        <v>2077928.3572108804</v>
      </c>
      <c r="J240" s="49">
        <f>IF(J$2="",NA(),E240*$B240+J239)</f>
        <v>982195.20773905504</v>
      </c>
      <c r="K240" s="49" t="e">
        <f>IF(K$2="",NA(),F240*$B240+K239)</f>
        <v>#N/A</v>
      </c>
    </row>
    <row r="241" spans="1:11" x14ac:dyDescent="0.4">
      <c r="A241" s="49">
        <v>238</v>
      </c>
      <c r="B241" s="49">
        <f>A241/$B$1</f>
        <v>9.9166666666666661</v>
      </c>
      <c r="C241" s="49">
        <f>(('Input and Output'!B$23*'Input and Output'!$B$10)+('Input and Output'!B$24*Calculations!$C$5)+('Input and Output'!B$25*Calculations!$C$6)+('Input and Output'!B$26*(IF('Input and Output'!D$7="Detritus",Calculations!$C$4,G241))-(SUM('Input and Output'!B$27:B$32))*H240))</f>
        <v>100.39433001241645</v>
      </c>
      <c r="D241" s="49">
        <f>(('Input and Output'!C$23*'Input and Output'!$B$10)+('Input and Output'!C$24*Calculations!$C$5)+('Input and Output'!C$25*Calculations!$C$6)+('Input and Output'!C$26*(IF('Input and Output'!E$7="Detritus",Calculations!$C$4,H241))-(SUM('Input and Output'!C$27:C$32))*I240))</f>
        <v>875.37384789080897</v>
      </c>
      <c r="E241" s="49">
        <f>(('Input and Output'!D$23*'Input and Output'!$B$10)+('Input and Output'!D$24*Calculations!$C$5)+('Input and Output'!D$25*Calculations!$C$6)+('Input and Output'!D$26*(IF('Input and Output'!F$7="Detritus",Calculations!$C$4,I241))-(SUM('Input and Output'!D$27:D$32))*J240))</f>
        <v>392.55856306354326</v>
      </c>
      <c r="F241" s="49" t="e">
        <f>(('Input and Output'!E$23*'Input and Output'!$B$10)+('Input and Output'!E$24*Calculations!$C$5)+('Input and Output'!E$25*Calculations!$C$6)+('Input and Output'!E$26*(IF('Input and Output'!G$7="Detritus",Calculations!$C$4,J241))-(SUM('Input and Output'!E$27:E$32))*K240))</f>
        <v>#N/A</v>
      </c>
      <c r="H241" s="49">
        <f>IF(H$2="",NA(),C241*$B241+H240)</f>
        <v>221345.18365058702</v>
      </c>
      <c r="I241" s="49">
        <f>IF(I$2="",NA(),D241*$B241+I240)</f>
        <v>2086609.1478691308</v>
      </c>
      <c r="J241" s="49">
        <f>IF(J$2="",NA(),E241*$B241+J240)</f>
        <v>986088.08015610185</v>
      </c>
      <c r="K241" s="49" t="e">
        <f>IF(K$2="",NA(),F241*$B241+K240)</f>
        <v>#N/A</v>
      </c>
    </row>
    <row r="242" spans="1:11" x14ac:dyDescent="0.4">
      <c r="A242" s="49">
        <v>239</v>
      </c>
      <c r="B242" s="49">
        <f>A242/$B$1</f>
        <v>9.9583333333333339</v>
      </c>
      <c r="C242" s="49">
        <f>(('Input and Output'!B$23*'Input and Output'!$B$10)+('Input and Output'!B$24*Calculations!$C$5)+('Input and Output'!B$25*Calculations!$C$6)+('Input and Output'!B$26*(IF('Input and Output'!D$7="Detritus",Calculations!$C$4,G242))-(SUM('Input and Output'!B$27:B$32))*H241))</f>
        <v>99.43448008420512</v>
      </c>
      <c r="D242" s="49">
        <f>(('Input and Output'!C$23*'Input and Output'!$B$10)+('Input and Output'!C$24*Calculations!$C$5)+('Input and Output'!C$25*Calculations!$C$6)+('Input and Output'!C$26*(IF('Input and Output'!E$7="Detritus",Calculations!$C$4,H242))-(SUM('Input and Output'!C$27:C$32))*I241))</f>
        <v>866.68212934011899</v>
      </c>
      <c r="E242" s="49">
        <f>(('Input and Output'!D$23*'Input and Output'!$B$10)+('Input and Output'!D$24*Calculations!$C$5)+('Input and Output'!D$25*Calculations!$C$6)+('Input and Output'!D$26*(IF('Input and Output'!F$7="Detritus",Calculations!$C$4,I242))-(SUM('Input and Output'!D$27:D$32))*J241))</f>
        <v>388.63485090456015</v>
      </c>
      <c r="F242" s="49" t="e">
        <f>(('Input and Output'!E$23*'Input and Output'!$B$10)+('Input and Output'!E$24*Calculations!$C$5)+('Input and Output'!E$25*Calculations!$C$6)+('Input and Output'!E$26*(IF('Input and Output'!G$7="Detritus",Calculations!$C$4,J242))-(SUM('Input and Output'!E$27:E$32))*K241))</f>
        <v>#N/A</v>
      </c>
      <c r="H242" s="49">
        <f>IF(H$2="",NA(),C242*$B242+H241)</f>
        <v>222335.38534809221</v>
      </c>
      <c r="I242" s="49">
        <f>IF(I$2="",NA(),D242*$B242+I241)</f>
        <v>2095239.8574071429</v>
      </c>
      <c r="J242" s="49">
        <f>IF(J$2="",NA(),E242*$B242+J241)</f>
        <v>989958.23554635979</v>
      </c>
      <c r="K242" s="49" t="e">
        <f>IF(K$2="",NA(),F242*$B242+K241)</f>
        <v>#N/A</v>
      </c>
    </row>
    <row r="243" spans="1:11" x14ac:dyDescent="0.4">
      <c r="A243" s="49">
        <v>240</v>
      </c>
      <c r="B243" s="49">
        <f>A243/$B$1</f>
        <v>10</v>
      </c>
      <c r="C243" s="49">
        <f>(('Input and Output'!B$23*'Input and Output'!$B$10)+('Input and Output'!B$24*Calculations!$C$5)+('Input and Output'!B$25*Calculations!$C$6)+('Input and Output'!B$26*(IF('Input and Output'!D$7="Detritus",Calculations!$C$4,G243))-(SUM('Input and Output'!B$27:B$32))*H242))</f>
        <v>98.479812663089632</v>
      </c>
      <c r="D243" s="49">
        <f>(('Input and Output'!C$23*'Input and Output'!$B$10)+('Input and Output'!C$24*Calculations!$C$5)+('Input and Output'!C$25*Calculations!$C$6)+('Input and Output'!C$26*(IF('Input and Output'!E$7="Detritus",Calculations!$C$4,H243))-(SUM('Input and Output'!C$27:C$32))*I242))</f>
        <v>858.04692778241042</v>
      </c>
      <c r="E243" s="49">
        <f>(('Input and Output'!D$23*'Input and Output'!$B$10)+('Input and Output'!D$24*Calculations!$C$5)+('Input and Output'!D$25*Calculations!$C$6)+('Input and Output'!D$26*(IF('Input and Output'!F$7="Detritus",Calculations!$C$4,I243))-(SUM('Input and Output'!D$27:D$32))*J242))</f>
        <v>384.73712974175942</v>
      </c>
      <c r="F243" s="49" t="e">
        <f>(('Input and Output'!E$23*'Input and Output'!$B$10)+('Input and Output'!E$24*Calculations!$C$5)+('Input and Output'!E$25*Calculations!$C$6)+('Input and Output'!E$26*(IF('Input and Output'!G$7="Detritus",Calculations!$C$4,J243))-(SUM('Input and Output'!E$27:E$32))*K242))</f>
        <v>#N/A</v>
      </c>
      <c r="H243" s="49">
        <f>IF(H$2="",NA(),C243*$B243+H242)</f>
        <v>223320.1834747231</v>
      </c>
      <c r="I243" s="49">
        <f>IF(I$2="",NA(),D243*$B243+I242)</f>
        <v>2103820.3266849671</v>
      </c>
      <c r="J243" s="49">
        <f>IF(J$2="",NA(),E243*$B243+J242)</f>
        <v>993805.60684377735</v>
      </c>
      <c r="K243" s="49" t="e">
        <f>IF(K$2="",NA(),F243*$B243+K242)</f>
        <v>#N/A</v>
      </c>
    </row>
    <row r="244" spans="1:11" x14ac:dyDescent="0.4">
      <c r="A244" s="49">
        <v>241</v>
      </c>
      <c r="B244" s="49">
        <f>A244/$B$1</f>
        <v>10.041666666666666</v>
      </c>
      <c r="C244" s="49">
        <f>(('Input and Output'!B$23*'Input and Output'!$B$10)+('Input and Output'!B$24*Calculations!$C$5)+('Input and Output'!B$25*Calculations!$C$6)+('Input and Output'!B$26*(IF('Input and Output'!D$7="Detritus",Calculations!$C$4,G244))-(SUM('Input and Output'!B$27:B$32))*H243))</f>
        <v>97.53035490085918</v>
      </c>
      <c r="D244" s="49">
        <f>(('Input and Output'!C$23*'Input and Output'!$B$10)+('Input and Output'!C$24*Calculations!$C$5)+('Input and Output'!C$25*Calculations!$C$6)+('Input and Output'!C$26*(IF('Input and Output'!E$7="Detritus",Calculations!$C$4,H244))-(SUM('Input and Output'!C$27:C$32))*I243))</f>
        <v>849.468215157136</v>
      </c>
      <c r="E244" s="49">
        <f>(('Input and Output'!D$23*'Input and Output'!$B$10)+('Input and Output'!D$24*Calculations!$C$5)+('Input and Output'!D$25*Calculations!$C$6)+('Input and Output'!D$26*(IF('Input and Output'!F$7="Detritus",Calculations!$C$4,I244))-(SUM('Input and Output'!D$27:D$32))*J243))</f>
        <v>380.86537610600135</v>
      </c>
      <c r="F244" s="49" t="e">
        <f>(('Input and Output'!E$23*'Input and Output'!$B$10)+('Input and Output'!E$24*Calculations!$C$5)+('Input and Output'!E$25*Calculations!$C$6)+('Input and Output'!E$26*(IF('Input and Output'!G$7="Detritus",Calculations!$C$4,J244))-(SUM('Input and Output'!E$27:E$32))*K243))</f>
        <v>#N/A</v>
      </c>
      <c r="H244" s="49">
        <f>IF(H$2="",NA(),C244*$B244+H243)</f>
        <v>224299.55078851923</v>
      </c>
      <c r="I244" s="49">
        <f>IF(I$2="",NA(),D244*$B244+I243)</f>
        <v>2112350.4033455034</v>
      </c>
      <c r="J244" s="49">
        <f>IF(J$2="",NA(),E244*$B244+J243)</f>
        <v>997630.12999550847</v>
      </c>
      <c r="K244" s="49" t="e">
        <f>IF(K$2="",NA(),F244*$B244+K243)</f>
        <v>#N/A</v>
      </c>
    </row>
    <row r="245" spans="1:11" x14ac:dyDescent="0.4">
      <c r="A245" s="49">
        <v>242</v>
      </c>
      <c r="B245" s="49">
        <f>A245/$B$1</f>
        <v>10.083333333333334</v>
      </c>
      <c r="C245" s="49">
        <f>(('Input and Output'!B$23*'Input and Output'!$B$10)+('Input and Output'!B$24*Calculations!$C$5)+('Input and Output'!B$25*Calculations!$C$6)+('Input and Output'!B$26*(IF('Input and Output'!D$7="Detritus",Calculations!$C$4,G245))-(SUM('Input and Output'!B$27:B$32))*H244))</f>
        <v>96.586133061872005</v>
      </c>
      <c r="D245" s="49">
        <f>(('Input and Output'!C$23*'Input and Output'!$B$10)+('Input and Output'!C$24*Calculations!$C$5)+('Input and Output'!C$25*Calculations!$C$6)+('Input and Output'!C$26*(IF('Input and Output'!E$7="Detritus",Calculations!$C$4,H245))-(SUM('Input and Output'!C$27:C$32))*I244))</f>
        <v>840.9459595469898</v>
      </c>
      <c r="E245" s="49">
        <f>(('Input and Output'!D$23*'Input and Output'!$B$10)+('Input and Output'!D$24*Calculations!$C$5)+('Input and Output'!D$25*Calculations!$C$6)+('Input and Output'!D$26*(IF('Input and Output'!F$7="Detritus",Calculations!$C$4,I245))-(SUM('Input and Output'!D$27:D$32))*J244))</f>
        <v>377.0195649519701</v>
      </c>
      <c r="F245" s="49" t="e">
        <f>(('Input and Output'!E$23*'Input and Output'!$B$10)+('Input and Output'!E$24*Calculations!$C$5)+('Input and Output'!E$25*Calculations!$C$6)+('Input and Output'!E$26*(IF('Input and Output'!G$7="Detritus",Calculations!$C$4,J245))-(SUM('Input and Output'!E$27:E$32))*K244))</f>
        <v>#N/A</v>
      </c>
      <c r="H245" s="49">
        <f>IF(H$2="",NA(),C245*$B245+H244)</f>
        <v>225273.46096355977</v>
      </c>
      <c r="I245" s="49">
        <f>IF(I$2="",NA(),D245*$B245+I244)</f>
        <v>2120829.9417709354</v>
      </c>
      <c r="J245" s="49">
        <f>IF(J$2="",NA(),E245*$B245+J244)</f>
        <v>1001431.7439421075</v>
      </c>
      <c r="K245" s="49" t="e">
        <f>IF(K$2="",NA(),F245*$B245+K244)</f>
        <v>#N/A</v>
      </c>
    </row>
    <row r="246" spans="1:11" x14ac:dyDescent="0.4">
      <c r="A246" s="49">
        <v>243</v>
      </c>
      <c r="B246" s="49">
        <f>A246/$B$1</f>
        <v>10.125</v>
      </c>
      <c r="C246" s="49">
        <f>(('Input and Output'!B$23*'Input and Output'!$B$10)+('Input and Output'!B$24*Calculations!$C$5)+('Input and Output'!B$25*Calculations!$C$6)+('Input and Output'!B$26*(IF('Input and Output'!D$7="Detritus",Calculations!$C$4,G246))-(SUM('Input and Output'!B$27:B$32))*H245))</f>
        <v>95.647172527319697</v>
      </c>
      <c r="D246" s="49">
        <f>(('Input and Output'!C$23*'Input and Output'!$B$10)+('Input and Output'!C$24*Calculations!$C$5)+('Input and Output'!C$25*Calculations!$C$6)+('Input and Output'!C$26*(IF('Input and Output'!E$7="Detritus",Calculations!$C$4,H246))-(SUM('Input and Output'!C$27:C$32))*I245))</f>
        <v>832.48012522985937</v>
      </c>
      <c r="E246" s="49">
        <f>(('Input and Output'!D$23*'Input and Output'!$B$10)+('Input and Output'!D$24*Calculations!$C$5)+('Input and Output'!D$25*Calculations!$C$6)+('Input and Output'!D$26*(IF('Input and Output'!F$7="Detritus",Calculations!$C$4,I246))-(SUM('Input and Output'!D$27:D$32))*J245))</f>
        <v>373.19966967977598</v>
      </c>
      <c r="F246" s="49" t="e">
        <f>(('Input and Output'!E$23*'Input and Output'!$B$10)+('Input and Output'!E$24*Calculations!$C$5)+('Input and Output'!E$25*Calculations!$C$6)+('Input and Output'!E$26*(IF('Input and Output'!G$7="Detritus",Calculations!$C$4,J246))-(SUM('Input and Output'!E$27:E$32))*K245))</f>
        <v>#N/A</v>
      </c>
      <c r="H246" s="49">
        <f>IF(H$2="",NA(),C246*$B246+H245)</f>
        <v>226241.88858539888</v>
      </c>
      <c r="I246" s="49">
        <f>IF(I$2="",NA(),D246*$B246+I245)</f>
        <v>2129258.8030388877</v>
      </c>
      <c r="J246" s="49">
        <f>IF(J$2="",NA(),E246*$B246+J245)</f>
        <v>1005210.3905976153</v>
      </c>
      <c r="K246" s="49" t="e">
        <f>IF(K$2="",NA(),F246*$B246+K245)</f>
        <v>#N/A</v>
      </c>
    </row>
    <row r="247" spans="1:11" x14ac:dyDescent="0.4">
      <c r="A247" s="49">
        <v>244</v>
      </c>
      <c r="B247" s="49">
        <f>A247/$B$1</f>
        <v>10.166666666666666</v>
      </c>
      <c r="C247" s="49">
        <f>(('Input and Output'!B$23*'Input and Output'!$B$10)+('Input and Output'!B$24*Calculations!$C$5)+('Input and Output'!B$25*Calculations!$C$6)+('Input and Output'!B$26*(IF('Input and Output'!D$7="Detritus",Calculations!$C$4,G247))-(SUM('Input and Output'!B$27:B$32))*H246))</f>
        <v>94.713497799627874</v>
      </c>
      <c r="D247" s="49">
        <f>(('Input and Output'!C$23*'Input and Output'!$B$10)+('Input and Output'!C$24*Calculations!$C$5)+('Input and Output'!C$25*Calculations!$C$6)+('Input and Output'!C$26*(IF('Input and Output'!E$7="Detritus",Calculations!$C$4,H247))-(SUM('Input and Output'!C$27:C$32))*I246))</f>
        <v>824.07067272885797</v>
      </c>
      <c r="E247" s="49">
        <f>(('Input and Output'!D$23*'Input and Output'!$B$10)+('Input and Output'!D$24*Calculations!$C$5)+('Input and Output'!D$25*Calculations!$C$6)+('Input and Output'!D$26*(IF('Input and Output'!F$7="Detritus",Calculations!$C$4,I247))-(SUM('Input and Output'!D$27:D$32))*J246))</f>
        <v>369.40566215564832</v>
      </c>
      <c r="F247" s="49" t="e">
        <f>(('Input and Output'!E$23*'Input and Output'!$B$10)+('Input and Output'!E$24*Calculations!$C$5)+('Input and Output'!E$25*Calculations!$C$6)+('Input and Output'!E$26*(IF('Input and Output'!G$7="Detritus",Calculations!$C$4,J247))-(SUM('Input and Output'!E$27:E$32))*K246))</f>
        <v>#N/A</v>
      </c>
      <c r="H247" s="49">
        <f>IF(H$2="",NA(),C247*$B247+H246)</f>
        <v>227204.80914636175</v>
      </c>
      <c r="I247" s="49">
        <f>IF(I$2="",NA(),D247*$B247+I246)</f>
        <v>2137636.8548782975</v>
      </c>
      <c r="J247" s="49">
        <f>IF(J$2="",NA(),E247*$B247+J246)</f>
        <v>1008966.0148295311</v>
      </c>
      <c r="K247" s="49" t="e">
        <f>IF(K$2="",NA(),F247*$B247+K246)</f>
        <v>#N/A</v>
      </c>
    </row>
    <row r="248" spans="1:11" x14ac:dyDescent="0.4">
      <c r="A248" s="49">
        <v>245</v>
      </c>
      <c r="B248" s="49">
        <f>A248/$B$1</f>
        <v>10.208333333333334</v>
      </c>
      <c r="C248" s="49">
        <f>(('Input and Output'!B$23*'Input and Output'!$B$10)+('Input and Output'!B$24*Calculations!$C$5)+('Input and Output'!B$25*Calculations!$C$6)+('Input and Output'!B$26*(IF('Input and Output'!D$7="Detritus",Calculations!$C$4,G248))-(SUM('Input and Output'!B$27:B$32))*H247))</f>
        <v>93.785132506991431</v>
      </c>
      <c r="D248" s="49">
        <f>(('Input and Output'!C$23*'Input and Output'!$B$10)+('Input and Output'!C$24*Calculations!$C$5)+('Input and Output'!C$25*Calculations!$C$6)+('Input and Output'!C$26*(IF('Input and Output'!E$7="Detritus",Calculations!$C$4,H248))-(SUM('Input and Output'!C$27:C$32))*I247))</f>
        <v>815.71755886048413</v>
      </c>
      <c r="E248" s="49">
        <f>(('Input and Output'!D$23*'Input and Output'!$B$10)+('Input and Output'!D$24*Calculations!$C$5)+('Input and Output'!D$25*Calculations!$C$6)+('Input and Output'!D$26*(IF('Input and Output'!F$7="Detritus",Calculations!$C$4,I248))-(SUM('Input and Output'!D$27:D$32))*J247))</f>
        <v>365.63751273166781</v>
      </c>
      <c r="F248" s="49" t="e">
        <f>(('Input and Output'!E$23*'Input and Output'!$B$10)+('Input and Output'!E$24*Calculations!$C$5)+('Input and Output'!E$25*Calculations!$C$6)+('Input and Output'!E$26*(IF('Input and Output'!G$7="Detritus",Calculations!$C$4,J248))-(SUM('Input and Output'!E$27:E$32))*K247))</f>
        <v>#N/A</v>
      </c>
      <c r="H248" s="49">
        <f>IF(H$2="",NA(),C248*$B248+H247)</f>
        <v>228162.19904070394</v>
      </c>
      <c r="I248" s="49">
        <f>IF(I$2="",NA(),D248*$B248+I247)</f>
        <v>2145963.9716249984</v>
      </c>
      <c r="J248" s="49">
        <f>IF(J$2="",NA(),E248*$B248+J247)</f>
        <v>1012698.5644386668</v>
      </c>
      <c r="K248" s="49" t="e">
        <f>IF(K$2="",NA(),F248*$B248+K247)</f>
        <v>#N/A</v>
      </c>
    </row>
    <row r="249" spans="1:11" x14ac:dyDescent="0.4">
      <c r="A249" s="49">
        <v>246</v>
      </c>
      <c r="B249" s="49">
        <f>A249/$B$1</f>
        <v>10.25</v>
      </c>
      <c r="C249" s="49">
        <f>(('Input and Output'!B$23*'Input and Output'!$B$10)+('Input and Output'!B$24*Calculations!$C$5)+('Input and Output'!B$25*Calculations!$C$6)+('Input and Output'!B$26*(IF('Input and Output'!D$7="Detritus",Calculations!$C$4,G249))-(SUM('Input and Output'!B$27:B$32))*H248))</f>
        <v>92.862099408041502</v>
      </c>
      <c r="D249" s="49">
        <f>(('Input and Output'!C$23*'Input and Output'!$B$10)+('Input and Output'!C$24*Calculations!$C$5)+('Input and Output'!C$25*Calculations!$C$6)+('Input and Output'!C$26*(IF('Input and Output'!E$7="Detritus",Calculations!$C$4,H249))-(SUM('Input and Output'!C$27:C$32))*I248))</f>
        <v>807.42073678098313</v>
      </c>
      <c r="E249" s="49">
        <f>(('Input and Output'!D$23*'Input and Output'!$B$10)+('Input and Output'!D$24*Calculations!$C$5)+('Input and Output'!D$25*Calculations!$C$6)+('Input and Output'!D$26*(IF('Input and Output'!F$7="Detritus",Calculations!$C$4,I249))-(SUM('Input and Output'!D$27:D$32))*J248))</f>
        <v>361.89519026490234</v>
      </c>
      <c r="F249" s="49" t="e">
        <f>(('Input and Output'!E$23*'Input and Output'!$B$10)+('Input and Output'!E$24*Calculations!$C$5)+('Input and Output'!E$25*Calculations!$C$6)+('Input and Output'!E$26*(IF('Input and Output'!G$7="Detritus",Calculations!$C$4,J249))-(SUM('Input and Output'!E$27:E$32))*K248))</f>
        <v>#N/A</v>
      </c>
      <c r="H249" s="49">
        <f>IF(H$2="",NA(),C249*$B249+H248)</f>
        <v>229114.03555963637</v>
      </c>
      <c r="I249" s="49">
        <f>IF(I$2="",NA(),D249*$B249+I248)</f>
        <v>2154240.0341770034</v>
      </c>
      <c r="J249" s="49">
        <f>IF(J$2="",NA(),E249*$B249+J248)</f>
        <v>1016407.9901388821</v>
      </c>
      <c r="K249" s="49" t="e">
        <f>IF(K$2="",NA(),F249*$B249+K248)</f>
        <v>#N/A</v>
      </c>
    </row>
    <row r="250" spans="1:11" x14ac:dyDescent="0.4">
      <c r="A250" s="49">
        <v>247</v>
      </c>
      <c r="B250" s="49">
        <f>A250/$B$1</f>
        <v>10.291666666666666</v>
      </c>
      <c r="C250" s="49">
        <f>(('Input and Output'!B$23*'Input and Output'!$B$10)+('Input and Output'!B$24*Calculations!$C$5)+('Input and Output'!B$25*Calculations!$C$6)+('Input and Output'!B$26*(IF('Input and Output'!D$7="Detritus",Calculations!$C$4,G250))-(SUM('Input and Output'!B$27:B$32))*H249))</f>
        <v>91.944420396641931</v>
      </c>
      <c r="D250" s="49">
        <f>(('Input and Output'!C$23*'Input and Output'!$B$10)+('Input and Output'!C$24*Calculations!$C$5)+('Input and Output'!C$25*Calculations!$C$6)+('Input and Output'!C$26*(IF('Input and Output'!E$7="Detritus",Calculations!$C$4,H250))-(SUM('Input and Output'!C$27:C$32))*I249))</f>
        <v>799.18015603098775</v>
      </c>
      <c r="E250" s="49">
        <f>(('Input and Output'!D$23*'Input and Output'!$B$10)+('Input and Output'!D$24*Calculations!$C$5)+('Input and Output'!D$25*Calculations!$C$6)+('Input and Output'!D$26*(IF('Input and Output'!F$7="Detritus",Calculations!$C$4,I250))-(SUM('Input and Output'!D$27:D$32))*J249))</f>
        <v>358.17866213555317</v>
      </c>
      <c r="F250" s="49" t="e">
        <f>(('Input and Output'!E$23*'Input and Output'!$B$10)+('Input and Output'!E$24*Calculations!$C$5)+('Input and Output'!E$25*Calculations!$C$6)+('Input and Output'!E$26*(IF('Input and Output'!G$7="Detritus",Calculations!$C$4,J250))-(SUM('Input and Output'!E$27:E$32))*K249))</f>
        <v>#N/A</v>
      </c>
      <c r="H250" s="49">
        <f>IF(H$2="",NA(),C250*$B250+H249)</f>
        <v>230060.29688621848</v>
      </c>
      <c r="I250" s="49">
        <f>IF(I$2="",NA(),D250*$B250+I249)</f>
        <v>2162464.929949489</v>
      </c>
      <c r="J250" s="49">
        <f>IF(J$2="",NA(),E250*$B250+J249)</f>
        <v>1020094.2455366938</v>
      </c>
      <c r="K250" s="49" t="e">
        <f>IF(K$2="",NA(),F250*$B250+K249)</f>
        <v>#N/A</v>
      </c>
    </row>
    <row r="251" spans="1:11" x14ac:dyDescent="0.4">
      <c r="A251" s="49">
        <v>248</v>
      </c>
      <c r="B251" s="49">
        <f>A251/$B$1</f>
        <v>10.333333333333334</v>
      </c>
      <c r="C251" s="49">
        <f>(('Input and Output'!B$23*'Input and Output'!$B$10)+('Input and Output'!B$24*Calculations!$C$5)+('Input and Output'!B$25*Calculations!$C$6)+('Input and Output'!B$26*(IF('Input and Output'!D$7="Detritus",Calculations!$C$4,G251))-(SUM('Input and Output'!B$27:B$32))*H250))</f>
        <v>91.032116506812713</v>
      </c>
      <c r="D251" s="49">
        <f>(('Input and Output'!C$23*'Input and Output'!$B$10)+('Input and Output'!C$24*Calculations!$C$5)+('Input and Output'!C$25*Calculations!$C$6)+('Input and Output'!C$26*(IF('Input and Output'!E$7="Detritus",Calculations!$C$4,H251))-(SUM('Input and Output'!C$27:C$32))*I250))</f>
        <v>790.99576257851822</v>
      </c>
      <c r="E251" s="49">
        <f>(('Input and Output'!D$23*'Input and Output'!$B$10)+('Input and Output'!D$24*Calculations!$C$5)+('Input and Output'!D$25*Calculations!$C$6)+('Input and Output'!D$26*(IF('Input and Output'!F$7="Detritus",Calculations!$C$4,I251))-(SUM('Input and Output'!D$27:D$32))*J250))</f>
        <v>354.48789426455551</v>
      </c>
      <c r="F251" s="49" t="e">
        <f>(('Input and Output'!E$23*'Input and Output'!$B$10)+('Input and Output'!E$24*Calculations!$C$5)+('Input and Output'!E$25*Calculations!$C$6)+('Input and Output'!E$26*(IF('Input and Output'!G$7="Detritus",Calculations!$C$4,J251))-(SUM('Input and Output'!E$27:E$32))*K250))</f>
        <v>#N/A</v>
      </c>
      <c r="H251" s="49">
        <f>IF(H$2="",NA(),C251*$B251+H250)</f>
        <v>231000.96209012222</v>
      </c>
      <c r="I251" s="49">
        <f>IF(I$2="",NA(),D251*$B251+I250)</f>
        <v>2170638.5528294668</v>
      </c>
      <c r="J251" s="49">
        <f>IF(J$2="",NA(),E251*$B251+J250)</f>
        <v>1023757.2871107609</v>
      </c>
      <c r="K251" s="49" t="e">
        <f>IF(K$2="",NA(),F251*$B251+K250)</f>
        <v>#N/A</v>
      </c>
    </row>
    <row r="252" spans="1:11" x14ac:dyDescent="0.4">
      <c r="A252" s="49">
        <v>249</v>
      </c>
      <c r="B252" s="49">
        <f>A252/$B$1</f>
        <v>10.375</v>
      </c>
      <c r="C252" s="49">
        <f>(('Input and Output'!B$23*'Input and Output'!$B$10)+('Input and Output'!B$24*Calculations!$C$5)+('Input and Output'!B$25*Calculations!$C$6)+('Input and Output'!B$26*(IF('Input and Output'!D$7="Detritus",Calculations!$C$4,G252))-(SUM('Input and Output'!B$27:B$32))*H251))</f>
        <v>90.125207917778368</v>
      </c>
      <c r="D252" s="49">
        <f>(('Input and Output'!C$23*'Input and Output'!$B$10)+('Input and Output'!C$24*Calculations!$C$5)+('Input and Output'!C$25*Calculations!$C$6)+('Input and Output'!C$26*(IF('Input and Output'!E$7="Detritus",Calculations!$C$4,H252))-(SUM('Input and Output'!C$27:C$32))*I251))</f>
        <v>782.86749886038615</v>
      </c>
      <c r="E252" s="49">
        <f>(('Input and Output'!D$23*'Input and Output'!$B$10)+('Input and Output'!D$24*Calculations!$C$5)+('Input and Output'!D$25*Calculations!$C$6)+('Input and Output'!D$26*(IF('Input and Output'!F$7="Detritus",Calculations!$C$4,I252))-(SUM('Input and Output'!D$27:D$32))*J251))</f>
        <v>350.82285113034959</v>
      </c>
      <c r="F252" s="49" t="e">
        <f>(('Input and Output'!E$23*'Input and Output'!$B$10)+('Input and Output'!E$24*Calculations!$C$5)+('Input and Output'!E$25*Calculations!$C$6)+('Input and Output'!E$26*(IF('Input and Output'!G$7="Detritus",Calculations!$C$4,J252))-(SUM('Input and Output'!E$27:E$32))*K251))</f>
        <v>#N/A</v>
      </c>
      <c r="H252" s="49">
        <f>IF(H$2="",NA(),C252*$B252+H251)</f>
        <v>231936.01112226918</v>
      </c>
      <c r="I252" s="49">
        <f>IF(I$2="",NA(),D252*$B252+I251)</f>
        <v>2178760.8031301433</v>
      </c>
      <c r="J252" s="49">
        <f>IF(J$2="",NA(),E252*$B252+J251)</f>
        <v>1027397.0741912383</v>
      </c>
      <c r="K252" s="49" t="e">
        <f>IF(K$2="",NA(),F252*$B252+K251)</f>
        <v>#N/A</v>
      </c>
    </row>
    <row r="253" spans="1:11" x14ac:dyDescent="0.4">
      <c r="A253" s="49">
        <v>250</v>
      </c>
      <c r="B253" s="49">
        <f>A253/$B$1</f>
        <v>10.416666666666666</v>
      </c>
      <c r="C253" s="49">
        <f>(('Input and Output'!B$23*'Input and Output'!$B$10)+('Input and Output'!B$24*Calculations!$C$5)+('Input and Output'!B$25*Calculations!$C$6)+('Input and Output'!B$26*(IF('Input and Output'!D$7="Detritus",Calculations!$C$4,G253))-(SUM('Input and Output'!B$27:B$32))*H252))</f>
        <v>89.223713959138109</v>
      </c>
      <c r="D253" s="49">
        <f>(('Input and Output'!C$23*'Input and Output'!$B$10)+('Input and Output'!C$24*Calculations!$C$5)+('Input and Output'!C$25*Calculations!$C$6)+('Input and Output'!C$26*(IF('Input and Output'!E$7="Detritus",Calculations!$C$4,H253))-(SUM('Input and Output'!C$27:C$32))*I252))</f>
        <v>774.79530382211215</v>
      </c>
      <c r="E253" s="49">
        <f>(('Input and Output'!D$23*'Input and Output'!$B$10)+('Input and Output'!D$24*Calculations!$C$5)+('Input and Output'!D$25*Calculations!$C$6)+('Input and Output'!D$26*(IF('Input and Output'!F$7="Detritus",Calculations!$C$4,I253))-(SUM('Input and Output'!D$27:D$32))*J252))</f>
        <v>347.18349578493871</v>
      </c>
      <c r="F253" s="49" t="e">
        <f>(('Input and Output'!E$23*'Input and Output'!$B$10)+('Input and Output'!E$24*Calculations!$C$5)+('Input and Output'!E$25*Calculations!$C$6)+('Input and Output'!E$26*(IF('Input and Output'!G$7="Detritus",Calculations!$C$4,J253))-(SUM('Input and Output'!E$27:E$32))*K252))</f>
        <v>#N/A</v>
      </c>
      <c r="H253" s="49">
        <f>IF(H$2="",NA(),C253*$B253+H252)</f>
        <v>232865.42480934353</v>
      </c>
      <c r="I253" s="49">
        <f>IF(I$2="",NA(),D253*$B253+I252)</f>
        <v>2186831.5875449572</v>
      </c>
      <c r="J253" s="49">
        <f>IF(J$2="",NA(),E253*$B253+J252)</f>
        <v>1031013.568938998</v>
      </c>
      <c r="K253" s="49" t="e">
        <f>IF(K$2="",NA(),F253*$B253+K252)</f>
        <v>#N/A</v>
      </c>
    </row>
    <row r="254" spans="1:11" x14ac:dyDescent="0.4">
      <c r="A254" s="49">
        <v>251</v>
      </c>
      <c r="B254" s="49">
        <f>A254/$B$1</f>
        <v>10.458333333333334</v>
      </c>
      <c r="C254" s="49">
        <f>(('Input and Output'!B$23*'Input and Output'!$B$10)+('Input and Output'!B$24*Calculations!$C$5)+('Input and Output'!B$25*Calculations!$C$6)+('Input and Output'!B$26*(IF('Input and Output'!D$7="Detritus",Calculations!$C$4,G254))-(SUM('Input and Output'!B$27:B$32))*H253))</f>
        <v>88.327653116156085</v>
      </c>
      <c r="D254" s="49">
        <f>(('Input and Output'!C$23*'Input and Output'!$B$10)+('Input and Output'!C$24*Calculations!$C$5)+('Input and Output'!C$25*Calculations!$C$6)+('Input and Output'!C$26*(IF('Input and Output'!E$7="Detritus",Calculations!$C$4,H254))-(SUM('Input and Output'!C$27:C$32))*I253))</f>
        <v>766.77911295640115</v>
      </c>
      <c r="E254" s="49">
        <f>(('Input and Output'!D$23*'Input and Output'!$B$10)+('Input and Output'!D$24*Calculations!$C$5)+('Input and Output'!D$25*Calculations!$C$6)+('Input and Output'!D$26*(IF('Input and Output'!F$7="Detritus",Calculations!$C$4,I254))-(SUM('Input and Output'!D$27:D$32))*J253))</f>
        <v>343.56978986948161</v>
      </c>
      <c r="F254" s="49" t="e">
        <f>(('Input and Output'!E$23*'Input and Output'!$B$10)+('Input and Output'!E$24*Calculations!$C$5)+('Input and Output'!E$25*Calculations!$C$6)+('Input and Output'!E$26*(IF('Input and Output'!G$7="Detritus",Calculations!$C$4,J254))-(SUM('Input and Output'!E$27:E$32))*K253))</f>
        <v>#N/A</v>
      </c>
      <c r="H254" s="49">
        <f>IF(H$2="",NA(),C254*$B254+H253)</f>
        <v>233789.18484818333</v>
      </c>
      <c r="I254" s="49">
        <f>IF(I$2="",NA(),D254*$B254+I253)</f>
        <v>2194850.8191012926</v>
      </c>
      <c r="J254" s="49">
        <f>IF(J$2="",NA(),E254*$B254+J253)</f>
        <v>1034606.7363247164</v>
      </c>
      <c r="K254" s="49" t="e">
        <f>IF(K$2="",NA(),F254*$B254+K253)</f>
        <v>#N/A</v>
      </c>
    </row>
    <row r="255" spans="1:11" x14ac:dyDescent="0.4">
      <c r="A255" s="49">
        <v>252</v>
      </c>
      <c r="B255" s="49">
        <f>A255/$B$1</f>
        <v>10.5</v>
      </c>
      <c r="C255" s="49">
        <f>(('Input and Output'!B$23*'Input and Output'!$B$10)+('Input and Output'!B$24*Calculations!$C$5)+('Input and Output'!B$25*Calculations!$C$6)+('Input and Output'!B$26*(IF('Input and Output'!D$7="Detritus",Calculations!$C$4,G255))-(SUM('Input and Output'!B$27:B$32))*H254))</f>
        <v>87.437043035168927</v>
      </c>
      <c r="D255" s="49">
        <f>(('Input and Output'!C$23*'Input and Output'!$B$10)+('Input and Output'!C$24*Calculations!$C$5)+('Input and Output'!C$25*Calculations!$C$6)+('Input and Output'!C$26*(IF('Input and Output'!E$7="Detritus",Calculations!$C$4,H255))-(SUM('Input and Output'!C$27:C$32))*I254))</f>
        <v>758.81885834024342</v>
      </c>
      <c r="E255" s="49">
        <f>(('Input and Output'!D$23*'Input and Output'!$B$10)+('Input and Output'!D$24*Calculations!$C$5)+('Input and Output'!D$25*Calculations!$C$6)+('Input and Output'!D$26*(IF('Input and Output'!F$7="Detritus",Calculations!$C$4,I255))-(SUM('Input and Output'!D$27:D$32))*J254))</f>
        <v>339.9816936291063</v>
      </c>
      <c r="F255" s="49" t="e">
        <f>(('Input and Output'!E$23*'Input and Output'!$B$10)+('Input and Output'!E$24*Calculations!$C$5)+('Input and Output'!E$25*Calculations!$C$6)+('Input and Output'!E$26*(IF('Input and Output'!G$7="Detritus",Calculations!$C$4,J255))-(SUM('Input and Output'!E$27:E$32))*K254))</f>
        <v>#N/A</v>
      </c>
      <c r="H255" s="49">
        <f>IF(H$2="",NA(),C255*$B255+H254)</f>
        <v>234707.27380005262</v>
      </c>
      <c r="I255" s="49">
        <f>IF(I$2="",NA(),D255*$B255+I254)</f>
        <v>2202818.4171138653</v>
      </c>
      <c r="J255" s="49">
        <f>IF(J$2="",NA(),E255*$B255+J254)</f>
        <v>1038176.544107822</v>
      </c>
      <c r="K255" s="49" t="e">
        <f>IF(K$2="",NA(),F255*$B255+K254)</f>
        <v>#N/A</v>
      </c>
    </row>
    <row r="256" spans="1:11" x14ac:dyDescent="0.4">
      <c r="A256" s="49">
        <v>253</v>
      </c>
      <c r="B256" s="49">
        <f>A256/$B$1</f>
        <v>10.541666666666666</v>
      </c>
      <c r="C256" s="49">
        <f>(('Input and Output'!B$23*'Input and Output'!$B$10)+('Input and Output'!B$24*Calculations!$C$5)+('Input and Output'!B$25*Calculations!$C$6)+('Input and Output'!B$26*(IF('Input and Output'!D$7="Detritus",Calculations!$C$4,G256))-(SUM('Input and Output'!B$27:B$32))*H255))</f>
        <v>86.551900529107854</v>
      </c>
      <c r="D256" s="49">
        <f>(('Input and Output'!C$23*'Input and Output'!$B$10)+('Input and Output'!C$24*Calculations!$C$5)+('Input and Output'!C$25*Calculations!$C$6)+('Input and Output'!C$26*(IF('Input and Output'!E$7="Detritus",Calculations!$C$4,H256))-(SUM('Input and Output'!C$27:C$32))*I255))</f>
        <v>750.91446867072136</v>
      </c>
      <c r="E256" s="49">
        <f>(('Input and Output'!D$23*'Input and Output'!$B$10)+('Input and Output'!D$24*Calculations!$C$5)+('Input and Output'!D$25*Calculations!$C$6)+('Input and Output'!D$26*(IF('Input and Output'!F$7="Detritus",Calculations!$C$4,I256))-(SUM('Input and Output'!D$27:D$32))*J255))</f>
        <v>336.41916592725102</v>
      </c>
      <c r="F256" s="49" t="e">
        <f>(('Input and Output'!E$23*'Input and Output'!$B$10)+('Input and Output'!E$24*Calculations!$C$5)+('Input and Output'!E$25*Calculations!$C$6)+('Input and Output'!E$26*(IF('Input and Output'!G$7="Detritus",Calculations!$C$4,J256))-(SUM('Input and Output'!E$27:E$32))*K255))</f>
        <v>#N/A</v>
      </c>
      <c r="H256" s="49">
        <f>IF(H$2="",NA(),C256*$B256+H255)</f>
        <v>235619.67508479697</v>
      </c>
      <c r="I256" s="49">
        <f>IF(I$2="",NA(),D256*$B256+I255)</f>
        <v>2210734.3071377692</v>
      </c>
      <c r="J256" s="49">
        <f>IF(J$2="",NA(),E256*$B256+J255)</f>
        <v>1041722.9628153051</v>
      </c>
      <c r="K256" s="49" t="e">
        <f>IF(K$2="",NA(),F256*$B256+K255)</f>
        <v>#N/A</v>
      </c>
    </row>
    <row r="257" spans="1:11" x14ac:dyDescent="0.4">
      <c r="A257" s="49">
        <v>254</v>
      </c>
      <c r="B257" s="49">
        <f>A257/$B$1</f>
        <v>10.583333333333334</v>
      </c>
      <c r="C257" s="49">
        <f>(('Input and Output'!B$23*'Input and Output'!$B$10)+('Input and Output'!B$24*Calculations!$C$5)+('Input and Output'!B$25*Calculations!$C$6)+('Input and Output'!B$26*(IF('Input and Output'!D$7="Detritus",Calculations!$C$4,G257))-(SUM('Input and Output'!B$27:B$32))*H256))</f>
        <v>85.672241583133598</v>
      </c>
      <c r="D257" s="49">
        <f>(('Input and Output'!C$23*'Input and Output'!$B$10)+('Input and Output'!C$24*Calculations!$C$5)+('Input and Output'!C$25*Calculations!$C$6)+('Input and Output'!C$26*(IF('Input and Output'!E$7="Detritus",Calculations!$C$4,H257))-(SUM('Input and Output'!C$27:C$32))*I256))</f>
        <v>743.0658692995994</v>
      </c>
      <c r="E257" s="49">
        <f>(('Input and Output'!D$23*'Input and Output'!$B$10)+('Input and Output'!D$24*Calculations!$C$5)+('Input and Output'!D$25*Calculations!$C$6)+('Input and Output'!D$26*(IF('Input and Output'!F$7="Detritus",Calculations!$C$4,I257))-(SUM('Input and Output'!D$27:D$32))*J256))</f>
        <v>332.8821642593939</v>
      </c>
      <c r="F257" s="49" t="e">
        <f>(('Input and Output'!E$23*'Input and Output'!$B$10)+('Input and Output'!E$24*Calculations!$C$5)+('Input and Output'!E$25*Calculations!$C$6)+('Input and Output'!E$26*(IF('Input and Output'!G$7="Detritus",Calculations!$C$4,J257))-(SUM('Input and Output'!E$27:E$32))*K256))</f>
        <v>#N/A</v>
      </c>
      <c r="H257" s="49">
        <f>IF(H$2="",NA(),C257*$B257+H256)</f>
        <v>236526.37297488513</v>
      </c>
      <c r="I257" s="49">
        <f>IF(I$2="",NA(),D257*$B257+I256)</f>
        <v>2218598.4209211897</v>
      </c>
      <c r="J257" s="49">
        <f>IF(J$2="",NA(),E257*$B257+J256)</f>
        <v>1045245.9657203837</v>
      </c>
      <c r="K257" s="49" t="e">
        <f>IF(K$2="",NA(),F257*$B257+K256)</f>
        <v>#N/A</v>
      </c>
    </row>
    <row r="258" spans="1:11" x14ac:dyDescent="0.4">
      <c r="A258" s="49">
        <v>255</v>
      </c>
      <c r="B258" s="49">
        <f>A258/$B$1</f>
        <v>10.625</v>
      </c>
      <c r="C258" s="49">
        <f>(('Input and Output'!B$23*'Input and Output'!$B$10)+('Input and Output'!B$24*Calculations!$C$5)+('Input and Output'!B$25*Calculations!$C$6)+('Input and Output'!B$26*(IF('Input and Output'!D$7="Detritus",Calculations!$C$4,G258))-(SUM('Input and Output'!B$27:B$32))*H257))</f>
        <v>84.798081360380792</v>
      </c>
      <c r="D258" s="49">
        <f>(('Input and Output'!C$23*'Input and Output'!$B$10)+('Input and Output'!C$24*Calculations!$C$5)+('Input and Output'!C$25*Calculations!$C$6)+('Input and Output'!C$26*(IF('Input and Output'!E$7="Detritus",Calculations!$C$4,H258))-(SUM('Input and Output'!C$27:C$32))*I257))</f>
        <v>735.27298226673156</v>
      </c>
      <c r="E258" s="49">
        <f>(('Input and Output'!D$23*'Input and Output'!$B$10)+('Input and Output'!D$24*Calculations!$C$5)+('Input and Output'!D$25*Calculations!$C$6)+('Input and Output'!D$26*(IF('Input and Output'!F$7="Detritus",Calculations!$C$4,I258))-(SUM('Input and Output'!D$27:D$32))*J257))</f>
        <v>329.37064476631713</v>
      </c>
      <c r="F258" s="49" t="e">
        <f>(('Input and Output'!E$23*'Input and Output'!$B$10)+('Input and Output'!E$24*Calculations!$C$5)+('Input and Output'!E$25*Calculations!$C$6)+('Input and Output'!E$26*(IF('Input and Output'!G$7="Detritus",Calculations!$C$4,J258))-(SUM('Input and Output'!E$27:E$32))*K257))</f>
        <v>#N/A</v>
      </c>
      <c r="H258" s="49">
        <f>IF(H$2="",NA(),C258*$B258+H257)</f>
        <v>237427.35258933919</v>
      </c>
      <c r="I258" s="49">
        <f>IF(I$2="",NA(),D258*$B258+I257)</f>
        <v>2226410.6963577736</v>
      </c>
      <c r="J258" s="49">
        <f>IF(J$2="",NA(),E258*$B258+J257)</f>
        <v>1048745.5288210257</v>
      </c>
      <c r="K258" s="49" t="e">
        <f>IF(K$2="",NA(),F258*$B258+K257)</f>
        <v>#N/A</v>
      </c>
    </row>
    <row r="259" spans="1:11" x14ac:dyDescent="0.4">
      <c r="A259" s="49">
        <v>256</v>
      </c>
      <c r="B259" s="49">
        <f>A259/$B$1</f>
        <v>10.666666666666666</v>
      </c>
      <c r="C259" s="49">
        <f>(('Input and Output'!B$23*'Input and Output'!$B$10)+('Input and Output'!B$24*Calculations!$C$5)+('Input and Output'!B$25*Calculations!$C$6)+('Input and Output'!B$26*(IF('Input and Output'!D$7="Detritus",Calculations!$C$4,G259))-(SUM('Input and Output'!B$27:B$32))*H258))</f>
        <v>83.929434207810175</v>
      </c>
      <c r="D259" s="49">
        <f>(('Input and Output'!C$23*'Input and Output'!$B$10)+('Input and Output'!C$24*Calculations!$C$5)+('Input and Output'!C$25*Calculations!$C$6)+('Input and Output'!C$26*(IF('Input and Output'!E$7="Detritus",Calculations!$C$4,H259))-(SUM('Input and Output'!C$27:C$32))*I258))</f>
        <v>727.53572633237764</v>
      </c>
      <c r="E259" s="49">
        <f>(('Input and Output'!D$23*'Input and Output'!$B$10)+('Input and Output'!D$24*Calculations!$C$5)+('Input and Output'!D$25*Calculations!$C$6)+('Input and Output'!D$26*(IF('Input and Output'!F$7="Detritus",Calculations!$C$4,I259))-(SUM('Input and Output'!D$27:D$32))*J258))</f>
        <v>325.88456224682523</v>
      </c>
      <c r="F259" s="49" t="e">
        <f>(('Input and Output'!E$23*'Input and Output'!$B$10)+('Input and Output'!E$24*Calculations!$C$5)+('Input and Output'!E$25*Calculations!$C$6)+('Input and Output'!E$26*(IF('Input and Output'!G$7="Detritus",Calculations!$C$4,J259))-(SUM('Input and Output'!E$27:E$32))*K258))</f>
        <v>#N/A</v>
      </c>
      <c r="H259" s="49">
        <f>IF(H$2="",NA(),C259*$B259+H258)</f>
        <v>238322.59988755584</v>
      </c>
      <c r="I259" s="49">
        <f>IF(I$2="",NA(),D259*$B259+I258)</f>
        <v>2234171.0774386525</v>
      </c>
      <c r="J259" s="49">
        <f>IF(J$2="",NA(),E259*$B259+J258)</f>
        <v>1052221.6308183251</v>
      </c>
      <c r="K259" s="49" t="e">
        <f>IF(K$2="",NA(),F259*$B259+K258)</f>
        <v>#N/A</v>
      </c>
    </row>
    <row r="260" spans="1:11" x14ac:dyDescent="0.4">
      <c r="A260" s="49">
        <v>257</v>
      </c>
      <c r="B260" s="49">
        <f>A260/$B$1</f>
        <v>10.708333333333334</v>
      </c>
      <c r="C260" s="49">
        <f>(('Input and Output'!B$23*'Input and Output'!$B$10)+('Input and Output'!B$24*Calculations!$C$5)+('Input and Output'!B$25*Calculations!$C$6)+('Input and Output'!B$26*(IF('Input and Output'!D$7="Detritus",Calculations!$C$4,G260))-(SUM('Input and Output'!B$27:B$32))*H259))</f>
        <v>83.066313662165356</v>
      </c>
      <c r="D260" s="49">
        <f>(('Input and Output'!C$23*'Input and Output'!$B$10)+('Input and Output'!C$24*Calculations!$C$5)+('Input and Output'!C$25*Calculations!$C$6)+('Input and Output'!C$26*(IF('Input and Output'!E$7="Detritus",Calculations!$C$4,H260))-(SUM('Input and Output'!C$27:C$32))*I259))</f>
        <v>719.85401700849707</v>
      </c>
      <c r="E260" s="49">
        <f>(('Input and Output'!D$23*'Input and Output'!$B$10)+('Input and Output'!D$24*Calculations!$C$5)+('Input and Output'!D$25*Calculations!$C$6)+('Input and Output'!D$26*(IF('Input and Output'!F$7="Detritus",Calculations!$C$4,I260))-(SUM('Input and Output'!D$27:D$32))*J259))</f>
        <v>322.42387017007786</v>
      </c>
      <c r="F260" s="49" t="e">
        <f>(('Input and Output'!E$23*'Input and Output'!$B$10)+('Input and Output'!E$24*Calculations!$C$5)+('Input and Output'!E$25*Calculations!$C$6)+('Input and Output'!E$26*(IF('Input and Output'!G$7="Detritus",Calculations!$C$4,J260))-(SUM('Input and Output'!E$27:E$32))*K259))</f>
        <v>#N/A</v>
      </c>
      <c r="H260" s="49">
        <f>IF(H$2="",NA(),C260*$B260+H259)</f>
        <v>239212.10166302155</v>
      </c>
      <c r="I260" s="49">
        <f>IF(I$2="",NA(),D260*$B260+I259)</f>
        <v>2241879.5142041184</v>
      </c>
      <c r="J260" s="49">
        <f>IF(J$2="",NA(),E260*$B260+J259)</f>
        <v>1055674.2530947297</v>
      </c>
      <c r="K260" s="49" t="e">
        <f>IF(K$2="",NA(),F260*$B260+K259)</f>
        <v>#N/A</v>
      </c>
    </row>
    <row r="261" spans="1:11" x14ac:dyDescent="0.4">
      <c r="A261" s="49">
        <v>258</v>
      </c>
      <c r="B261" s="49">
        <f>A261/$B$1</f>
        <v>10.75</v>
      </c>
      <c r="C261" s="49">
        <f>(('Input and Output'!B$23*'Input and Output'!$B$10)+('Input and Output'!B$24*Calculations!$C$5)+('Input and Output'!B$25*Calculations!$C$6)+('Input and Output'!B$26*(IF('Input and Output'!D$7="Detritus",Calculations!$C$4,G261))-(SUM('Input and Output'!B$27:B$32))*H260))</f>
        <v>82.208732456032322</v>
      </c>
      <c r="D261" s="49">
        <f>(('Input and Output'!C$23*'Input and Output'!$B$10)+('Input and Output'!C$24*Calculations!$C$5)+('Input and Output'!C$25*Calculations!$C$6)+('Input and Output'!C$26*(IF('Input and Output'!E$7="Detritus",Calculations!$C$4,H261))-(SUM('Input and Output'!C$27:C$32))*I260))</f>
        <v>712.22776658906241</v>
      </c>
      <c r="E261" s="49">
        <f>(('Input and Output'!D$23*'Input and Output'!$B$10)+('Input and Output'!D$24*Calculations!$C$5)+('Input and Output'!D$25*Calculations!$C$6)+('Input and Output'!D$26*(IF('Input and Output'!F$7="Detritus",Calculations!$C$4,I261))-(SUM('Input and Output'!D$27:D$32))*J260))</f>
        <v>318.98852068751512</v>
      </c>
      <c r="F261" s="49" t="e">
        <f>(('Input and Output'!E$23*'Input and Output'!$B$10)+('Input and Output'!E$24*Calculations!$C$5)+('Input and Output'!E$25*Calculations!$C$6)+('Input and Output'!E$26*(IF('Input and Output'!G$7="Detritus",Calculations!$C$4,J261))-(SUM('Input and Output'!E$27:E$32))*K260))</f>
        <v>#N/A</v>
      </c>
      <c r="H261" s="49">
        <f>IF(H$2="",NA(),C261*$B261+H260)</f>
        <v>240095.84553692388</v>
      </c>
      <c r="I261" s="49">
        <f>IF(I$2="",NA(),D261*$B261+I260)</f>
        <v>2249535.9626949509</v>
      </c>
      <c r="J261" s="49">
        <f>IF(J$2="",NA(),E261*$B261+J260)</f>
        <v>1059103.3796921205</v>
      </c>
      <c r="K261" s="49" t="e">
        <f>IF(K$2="",NA(),F261*$B261+K260)</f>
        <v>#N/A</v>
      </c>
    </row>
    <row r="262" spans="1:11" x14ac:dyDescent="0.4">
      <c r="A262" s="49">
        <v>259</v>
      </c>
      <c r="B262" s="49">
        <f>A262/$B$1</f>
        <v>10.791666666666666</v>
      </c>
      <c r="C262" s="49">
        <f>(('Input and Output'!B$23*'Input and Output'!$B$10)+('Input and Output'!B$24*Calculations!$C$5)+('Input and Output'!B$25*Calculations!$C$6)+('Input and Output'!B$26*(IF('Input and Output'!D$7="Detritus",Calculations!$C$4,G262))-(SUM('Input and Output'!B$27:B$32))*H261))</f>
        <v>81.356702523998678</v>
      </c>
      <c r="D262" s="49">
        <f>(('Input and Output'!C$23*'Input and Output'!$B$10)+('Input and Output'!C$24*Calculations!$C$5)+('Input and Output'!C$25*Calculations!$C$6)+('Input and Output'!C$26*(IF('Input and Output'!E$7="Detritus",Calculations!$C$4,H262))-(SUM('Input and Output'!C$27:C$32))*I261))</f>
        <v>704.6568841794633</v>
      </c>
      <c r="E262" s="49">
        <f>(('Input and Output'!D$23*'Input and Output'!$B$10)+('Input and Output'!D$24*Calculations!$C$5)+('Input and Output'!D$25*Calculations!$C$6)+('Input and Output'!D$26*(IF('Input and Output'!F$7="Detritus",Calculations!$C$4,I262))-(SUM('Input and Output'!D$27:D$32))*J261))</f>
        <v>315.57846464422983</v>
      </c>
      <c r="F262" s="49" t="e">
        <f>(('Input and Output'!E$23*'Input and Output'!$B$10)+('Input and Output'!E$24*Calculations!$C$5)+('Input and Output'!E$25*Calculations!$C$6)+('Input and Output'!E$26*(IF('Input and Output'!G$7="Detritus",Calculations!$C$4,J262))-(SUM('Input and Output'!E$27:E$32))*K261))</f>
        <v>#N/A</v>
      </c>
      <c r="H262" s="49">
        <f>IF(H$2="",NA(),C262*$B262+H261)</f>
        <v>240973.81995166204</v>
      </c>
      <c r="I262" s="49">
        <f>IF(I$2="",NA(),D262*$B262+I261)</f>
        <v>2257140.3849033876</v>
      </c>
      <c r="J262" s="49">
        <f>IF(J$2="",NA(),E262*$B262+J261)</f>
        <v>1062508.9972897395</v>
      </c>
      <c r="K262" s="49" t="e">
        <f>IF(K$2="",NA(),F262*$B262+K261)</f>
        <v>#N/A</v>
      </c>
    </row>
    <row r="263" spans="1:11" x14ac:dyDescent="0.4">
      <c r="A263" s="49">
        <v>260</v>
      </c>
      <c r="B263" s="49">
        <f>A263/$B$1</f>
        <v>10.833333333333334</v>
      </c>
      <c r="C263" s="49">
        <f>(('Input and Output'!B$23*'Input and Output'!$B$10)+('Input and Output'!B$24*Calculations!$C$5)+('Input and Output'!B$25*Calculations!$C$6)+('Input and Output'!B$26*(IF('Input and Output'!D$7="Detritus",Calculations!$C$4,G263))-(SUM('Input and Output'!B$27:B$32))*H262))</f>
        <v>80.510235008910342</v>
      </c>
      <c r="D263" s="49">
        <f>(('Input and Output'!C$23*'Input and Output'!$B$10)+('Input and Output'!C$24*Calculations!$C$5)+('Input and Output'!C$25*Calculations!$C$6)+('Input and Output'!C$26*(IF('Input and Output'!E$7="Detritus",Calculations!$C$4,H263))-(SUM('Input and Output'!C$27:C$32))*I262))</f>
        <v>697.14127572507186</v>
      </c>
      <c r="E263" s="49">
        <f>(('Input and Output'!D$23*'Input and Output'!$B$10)+('Input and Output'!D$24*Calculations!$C$5)+('Input and Output'!D$25*Calculations!$C$6)+('Input and Output'!D$26*(IF('Input and Output'!F$7="Detritus",Calculations!$C$4,I263))-(SUM('Input and Output'!D$27:D$32))*J262))</f>
        <v>312.19365159019435</v>
      </c>
      <c r="F263" s="49" t="e">
        <f>(('Input and Output'!E$23*'Input and Output'!$B$10)+('Input and Output'!E$24*Calculations!$C$5)+('Input and Output'!E$25*Calculations!$C$6)+('Input and Output'!E$26*(IF('Input and Output'!G$7="Detritus",Calculations!$C$4,J263))-(SUM('Input and Output'!E$27:E$32))*K262))</f>
        <v>#N/A</v>
      </c>
      <c r="H263" s="49">
        <f>IF(H$2="",NA(),C263*$B263+H262)</f>
        <v>241846.01416425855</v>
      </c>
      <c r="I263" s="49">
        <f>IF(I$2="",NA(),D263*$B263+I262)</f>
        <v>2264692.7487237426</v>
      </c>
      <c r="J263" s="49">
        <f>IF(J$2="",NA(),E263*$B263+J262)</f>
        <v>1065891.0951819667</v>
      </c>
      <c r="K263" s="49" t="e">
        <f>IF(K$2="",NA(),F263*$B263+K262)</f>
        <v>#N/A</v>
      </c>
    </row>
    <row r="264" spans="1:11" x14ac:dyDescent="0.4">
      <c r="A264" s="49">
        <v>261</v>
      </c>
      <c r="B264" s="49">
        <f>A264/$B$1</f>
        <v>10.875</v>
      </c>
      <c r="C264" s="49">
        <f>(('Input and Output'!B$23*'Input and Output'!$B$10)+('Input and Output'!B$24*Calculations!$C$5)+('Input and Output'!B$25*Calculations!$C$6)+('Input and Output'!B$26*(IF('Input and Output'!D$7="Detritus",Calculations!$C$4,G264))-(SUM('Input and Output'!B$27:B$32))*H263))</f>
        <v>79.669340268223436</v>
      </c>
      <c r="D264" s="49">
        <f>(('Input and Output'!C$23*'Input and Output'!$B$10)+('Input and Output'!C$24*Calculations!$C$5)+('Input and Output'!C$25*Calculations!$C$6)+('Input and Output'!C$26*(IF('Input and Output'!E$7="Detritus",Calculations!$C$4,H264))-(SUM('Input and Output'!C$27:C$32))*I263))</f>
        <v>689.68084403901867</v>
      </c>
      <c r="E264" s="49">
        <f>(('Input and Output'!D$23*'Input and Output'!$B$10)+('Input and Output'!D$24*Calculations!$C$5)+('Input and Output'!D$25*Calculations!$C$6)+('Input and Output'!D$26*(IF('Input and Output'!F$7="Detritus",Calculations!$C$4,I264))-(SUM('Input and Output'!D$27:D$32))*J263))</f>
        <v>308.83402979097809</v>
      </c>
      <c r="F264" s="49" t="e">
        <f>(('Input and Output'!E$23*'Input and Output'!$B$10)+('Input and Output'!E$24*Calculations!$C$5)+('Input and Output'!E$25*Calculations!$C$6)+('Input and Output'!E$26*(IF('Input and Output'!G$7="Detritus",Calculations!$C$4,J264))-(SUM('Input and Output'!E$27:E$32))*K263))</f>
        <v>#N/A</v>
      </c>
      <c r="H264" s="49">
        <f>IF(H$2="",NA(),C264*$B264+H263)</f>
        <v>242712.41823967549</v>
      </c>
      <c r="I264" s="49">
        <f>IF(I$2="",NA(),D264*$B264+I263)</f>
        <v>2272193.0279026669</v>
      </c>
      <c r="J264" s="49">
        <f>IF(J$2="",NA(),E264*$B264+J263)</f>
        <v>1069249.6652559435</v>
      </c>
      <c r="K264" s="49" t="e">
        <f>IF(K$2="",NA(),F264*$B264+K263)</f>
        <v>#N/A</v>
      </c>
    </row>
    <row r="265" spans="1:11" x14ac:dyDescent="0.4">
      <c r="A265" s="49">
        <v>262</v>
      </c>
      <c r="B265" s="49">
        <f>A265/$B$1</f>
        <v>10.916666666666666</v>
      </c>
      <c r="C265" s="49">
        <f>(('Input and Output'!B$23*'Input and Output'!$B$10)+('Input and Output'!B$24*Calculations!$C$5)+('Input and Output'!B$25*Calculations!$C$6)+('Input and Output'!B$26*(IF('Input and Output'!D$7="Detritus",Calculations!$C$4,G265))-(SUM('Input and Output'!B$27:B$32))*H264))</f>
        <v>78.834027880448133</v>
      </c>
      <c r="D265" s="49">
        <f>(('Input and Output'!C$23*'Input and Output'!$B$10)+('Input and Output'!C$24*Calculations!$C$5)+('Input and Output'!C$25*Calculations!$C$6)+('Input and Output'!C$26*(IF('Input and Output'!E$7="Detritus",Calculations!$C$4,H265))-(SUM('Input and Output'!C$27:C$32))*I264))</f>
        <v>682.2754888292402</v>
      </c>
      <c r="E265" s="49">
        <f>(('Input and Output'!D$23*'Input and Output'!$B$10)+('Input and Output'!D$24*Calculations!$C$5)+('Input and Output'!D$25*Calculations!$C$6)+('Input and Output'!D$26*(IF('Input and Output'!F$7="Detritus",Calculations!$C$4,I265))-(SUM('Input and Output'!D$27:D$32))*J264))</f>
        <v>305.49954623817393</v>
      </c>
      <c r="F265" s="49" t="e">
        <f>(('Input and Output'!E$23*'Input and Output'!$B$10)+('Input and Output'!E$24*Calculations!$C$5)+('Input and Output'!E$25*Calculations!$C$6)+('Input and Output'!E$26*(IF('Input and Output'!G$7="Detritus",Calculations!$C$4,J265))-(SUM('Input and Output'!E$27:E$32))*K264))</f>
        <v>#N/A</v>
      </c>
      <c r="H265" s="49">
        <f>IF(H$2="",NA(),C265*$B265+H264)</f>
        <v>243573.02304403705</v>
      </c>
      <c r="I265" s="49">
        <f>IF(I$2="",NA(),D265*$B265+I264)</f>
        <v>2279641.2019890528</v>
      </c>
      <c r="J265" s="49">
        <f>IF(J$2="",NA(),E265*$B265+J264)</f>
        <v>1072584.7019690436</v>
      </c>
      <c r="K265" s="49" t="e">
        <f>IF(K$2="",NA(),F265*$B265+K264)</f>
        <v>#N/A</v>
      </c>
    </row>
    <row r="266" spans="1:11" x14ac:dyDescent="0.4">
      <c r="A266" s="49">
        <v>263</v>
      </c>
      <c r="B266" s="49">
        <f>A266/$B$1</f>
        <v>10.958333333333334</v>
      </c>
      <c r="C266" s="49">
        <f>(('Input and Output'!B$23*'Input and Output'!$B$10)+('Input and Output'!B$24*Calculations!$C$5)+('Input and Output'!B$25*Calculations!$C$6)+('Input and Output'!B$26*(IF('Input and Output'!D$7="Detritus",Calculations!$C$4,G266))-(SUM('Input and Output'!B$27:B$32))*H265))</f>
        <v>78.004306651682867</v>
      </c>
      <c r="D266" s="49">
        <f>(('Input and Output'!C$23*'Input and Output'!$B$10)+('Input and Output'!C$24*Calculations!$C$5)+('Input and Output'!C$25*Calculations!$C$6)+('Input and Output'!C$26*(IF('Input and Output'!E$7="Detritus",Calculations!$C$4,H266))-(SUM('Input and Output'!C$27:C$32))*I265))</f>
        <v>674.9251067248515</v>
      </c>
      <c r="E266" s="49">
        <f>(('Input and Output'!D$23*'Input and Output'!$B$10)+('Input and Output'!D$24*Calculations!$C$5)+('Input and Output'!D$25*Calculations!$C$6)+('Input and Output'!D$26*(IF('Input and Output'!F$7="Detritus",Calculations!$C$4,I266))-(SUM('Input and Output'!D$27:D$32))*J265))</f>
        <v>302.19014665968643</v>
      </c>
      <c r="F266" s="49" t="e">
        <f>(('Input and Output'!E$23*'Input and Output'!$B$10)+('Input and Output'!E$24*Calculations!$C$5)+('Input and Output'!E$25*Calculations!$C$6)+('Input and Output'!E$26*(IF('Input and Output'!G$7="Detritus",Calculations!$C$4,J266))-(SUM('Input and Output'!E$27:E$32))*K265))</f>
        <v>#N/A</v>
      </c>
      <c r="H266" s="49">
        <f>IF(H$2="",NA(),C266*$B266+H265)</f>
        <v>244427.82023776174</v>
      </c>
      <c r="I266" s="49">
        <f>IF(I$2="",NA(),D266*$B266+I265)</f>
        <v>2287037.2562835794</v>
      </c>
      <c r="J266" s="49">
        <f>IF(J$2="",NA(),E266*$B266+J265)</f>
        <v>1075896.2023261893</v>
      </c>
      <c r="K266" s="49" t="e">
        <f>IF(K$2="",NA(),F266*$B266+K265)</f>
        <v>#N/A</v>
      </c>
    </row>
    <row r="267" spans="1:11" x14ac:dyDescent="0.4">
      <c r="A267" s="49">
        <v>264</v>
      </c>
      <c r="B267" s="49">
        <f>A267/$B$1</f>
        <v>11</v>
      </c>
      <c r="C267" s="49">
        <f>(('Input and Output'!B$23*'Input and Output'!$B$10)+('Input and Output'!B$24*Calculations!$C$5)+('Input and Output'!B$25*Calculations!$C$6)+('Input and Output'!B$26*(IF('Input and Output'!D$7="Detritus",Calculations!$C$4,G267))-(SUM('Input and Output'!B$27:B$32))*H266))</f>
        <v>77.180184622235799</v>
      </c>
      <c r="D267" s="49">
        <f>(('Input and Output'!C$23*'Input and Output'!$B$10)+('Input and Output'!C$24*Calculations!$C$5)+('Input and Output'!C$25*Calculations!$C$6)+('Input and Output'!C$26*(IF('Input and Output'!E$7="Detritus",Calculations!$C$4,H267))-(SUM('Input and Output'!C$27:C$32))*I266))</f>
        <v>667.62959130190575</v>
      </c>
      <c r="E267" s="49">
        <f>(('Input and Output'!D$23*'Input and Output'!$B$10)+('Input and Output'!D$24*Calculations!$C$5)+('Input and Output'!D$25*Calculations!$C$6)+('Input and Output'!D$26*(IF('Input and Output'!F$7="Detritus",Calculations!$C$4,I267))-(SUM('Input and Output'!D$27:D$32))*J266))</f>
        <v>298.90577552948889</v>
      </c>
      <c r="F267" s="49" t="e">
        <f>(('Input and Output'!E$23*'Input and Output'!$B$10)+('Input and Output'!E$24*Calculations!$C$5)+('Input and Output'!E$25*Calculations!$C$6)+('Input and Output'!E$26*(IF('Input and Output'!G$7="Detritus",Calculations!$C$4,J267))-(SUM('Input and Output'!E$27:E$32))*K266))</f>
        <v>#N/A</v>
      </c>
      <c r="H267" s="49">
        <f>IF(H$2="",NA(),C267*$B267+H266)</f>
        <v>245276.80226860635</v>
      </c>
      <c r="I267" s="49">
        <f>IF(I$2="",NA(),D267*$B267+I266)</f>
        <v>2294381.1817879002</v>
      </c>
      <c r="J267" s="49">
        <f>IF(J$2="",NA(),E267*$B267+J266)</f>
        <v>1079184.1658570135</v>
      </c>
      <c r="K267" s="49" t="e">
        <f>IF(K$2="",NA(),F267*$B267+K266)</f>
        <v>#N/A</v>
      </c>
    </row>
    <row r="268" spans="1:11" x14ac:dyDescent="0.4">
      <c r="A268" s="49">
        <v>265</v>
      </c>
      <c r="B268" s="49">
        <f>A268/$B$1</f>
        <v>11.041666666666666</v>
      </c>
      <c r="C268" s="49">
        <f>(('Input and Output'!B$23*'Input and Output'!$B$10)+('Input and Output'!B$24*Calculations!$C$5)+('Input and Output'!B$25*Calculations!$C$6)+('Input and Output'!B$26*(IF('Input and Output'!D$7="Detritus",Calculations!$C$4,G268))-(SUM('Input and Output'!B$27:B$32))*H267))</f>
        <v>76.361669073331115</v>
      </c>
      <c r="D268" s="49">
        <f>(('Input and Output'!C$23*'Input and Output'!$B$10)+('Input and Output'!C$24*Calculations!$C$5)+('Input and Output'!C$25*Calculations!$C$6)+('Input and Output'!C$26*(IF('Input and Output'!E$7="Detritus",Calculations!$C$4,H268))-(SUM('Input and Output'!C$27:C$32))*I267))</f>
        <v>660.38883310859637</v>
      </c>
      <c r="E268" s="49">
        <f>(('Input and Output'!D$23*'Input and Output'!$B$10)+('Input and Output'!D$24*Calculations!$C$5)+('Input and Output'!D$25*Calculations!$C$6)+('Input and Output'!D$26*(IF('Input and Output'!F$7="Detritus",Calculations!$C$4,I268))-(SUM('Input and Output'!D$27:D$32))*J267))</f>
        <v>295.64637607744589</v>
      </c>
      <c r="F268" s="49" t="e">
        <f>(('Input and Output'!E$23*'Input and Output'!$B$10)+('Input and Output'!E$24*Calculations!$C$5)+('Input and Output'!E$25*Calculations!$C$6)+('Input and Output'!E$26*(IF('Input and Output'!G$7="Detritus",Calculations!$C$4,J268))-(SUM('Input and Output'!E$27:E$32))*K267))</f>
        <v>#N/A</v>
      </c>
      <c r="H268" s="49">
        <f>IF(H$2="",NA(),C268*$B268+H267)</f>
        <v>246119.96236462437</v>
      </c>
      <c r="I268" s="49">
        <f>IF(I$2="",NA(),D268*$B268+I267)</f>
        <v>2301672.9751534741</v>
      </c>
      <c r="J268" s="49">
        <f>IF(J$2="",NA(),E268*$B268+J267)</f>
        <v>1082448.5945928686</v>
      </c>
      <c r="K268" s="49" t="e">
        <f>IF(K$2="",NA(),F268*$B268+K267)</f>
        <v>#N/A</v>
      </c>
    </row>
    <row r="269" spans="1:11" x14ac:dyDescent="0.4">
      <c r="A269" s="49">
        <v>266</v>
      </c>
      <c r="B269" s="49">
        <f>A269/$B$1</f>
        <v>11.083333333333334</v>
      </c>
      <c r="C269" s="49">
        <f>(('Input and Output'!B$23*'Input and Output'!$B$10)+('Input and Output'!B$24*Calculations!$C$5)+('Input and Output'!B$25*Calculations!$C$6)+('Input and Output'!B$26*(IF('Input and Output'!D$7="Detritus",Calculations!$C$4,G269))-(SUM('Input and Output'!B$27:B$32))*H268))</f>
        <v>75.548766533897947</v>
      </c>
      <c r="D269" s="49">
        <f>(('Input and Output'!C$23*'Input and Output'!$B$10)+('Input and Output'!C$24*Calculations!$C$5)+('Input and Output'!C$25*Calculations!$C$6)+('Input and Output'!C$26*(IF('Input and Output'!E$7="Detritus",Calculations!$C$4,H269))-(SUM('Input and Output'!C$27:C$32))*I268))</f>
        <v>653.20271968993984</v>
      </c>
      <c r="E269" s="49">
        <f>(('Input and Output'!D$23*'Input and Output'!$B$10)+('Input and Output'!D$24*Calculations!$C$5)+('Input and Output'!D$25*Calculations!$C$6)+('Input and Output'!D$26*(IF('Input and Output'!F$7="Detritus",Calculations!$C$4,I269))-(SUM('Input and Output'!D$27:D$32))*J268))</f>
        <v>292.41189029866291</v>
      </c>
      <c r="F269" s="49" t="e">
        <f>(('Input and Output'!E$23*'Input and Output'!$B$10)+('Input and Output'!E$24*Calculations!$C$5)+('Input and Output'!E$25*Calculations!$C$6)+('Input and Output'!E$26*(IF('Input and Output'!G$7="Detritus",Calculations!$C$4,J269))-(SUM('Input and Output'!E$27:E$32))*K268))</f>
        <v>#N/A</v>
      </c>
      <c r="H269" s="49">
        <f>IF(H$2="",NA(),C269*$B269+H268)</f>
        <v>246957.29452704173</v>
      </c>
      <c r="I269" s="49">
        <f>IF(I$2="",NA(),D269*$B269+I268)</f>
        <v>2308912.6386300377</v>
      </c>
      <c r="J269" s="49">
        <f>IF(J$2="",NA(),E269*$B269+J268)</f>
        <v>1085689.4930436788</v>
      </c>
      <c r="K269" s="49" t="e">
        <f>IF(K$2="",NA(),F269*$B269+K268)</f>
        <v>#N/A</v>
      </c>
    </row>
    <row r="270" spans="1:11" x14ac:dyDescent="0.4">
      <c r="A270" s="49">
        <v>267</v>
      </c>
      <c r="B270" s="49">
        <f>A270/$B$1</f>
        <v>11.125</v>
      </c>
      <c r="C270" s="49">
        <f>(('Input and Output'!B$23*'Input and Output'!$B$10)+('Input and Output'!B$24*Calculations!$C$5)+('Input and Output'!B$25*Calculations!$C$6)+('Input and Output'!B$26*(IF('Input and Output'!D$7="Detritus",Calculations!$C$4,G270))-(SUM('Input and Output'!B$27:B$32))*H269))</f>
        <v>74.741482787438969</v>
      </c>
      <c r="D270" s="49">
        <f>(('Input and Output'!C$23*'Input and Output'!$B$10)+('Input and Output'!C$24*Calculations!$C$5)+('Input and Output'!C$25*Calculations!$C$6)+('Input and Output'!C$26*(IF('Input and Output'!E$7="Detritus",Calculations!$C$4,H270))-(SUM('Input and Output'!C$27:C$32))*I269))</f>
        <v>646.07113561200367</v>
      </c>
      <c r="E270" s="49">
        <f>(('Input and Output'!D$23*'Input and Output'!$B$10)+('Input and Output'!D$24*Calculations!$C$5)+('Input and Output'!D$25*Calculations!$C$6)+('Input and Output'!D$26*(IF('Input and Output'!F$7="Detritus",Calculations!$C$4,I270))-(SUM('Input and Output'!D$27:D$32))*J269))</f>
        <v>289.20225896280681</v>
      </c>
      <c r="F270" s="49" t="e">
        <f>(('Input and Output'!E$23*'Input and Output'!$B$10)+('Input and Output'!E$24*Calculations!$C$5)+('Input and Output'!E$25*Calculations!$C$6)+('Input and Output'!E$26*(IF('Input and Output'!G$7="Detritus",Calculations!$C$4,J270))-(SUM('Input and Output'!E$27:E$32))*K269))</f>
        <v>#N/A</v>
      </c>
      <c r="H270" s="49">
        <f>IF(H$2="",NA(),C270*$B270+H269)</f>
        <v>247788.79352305198</v>
      </c>
      <c r="I270" s="49">
        <f>IF(I$2="",NA(),D270*$B270+I269)</f>
        <v>2316100.1800137213</v>
      </c>
      <c r="J270" s="49">
        <f>IF(J$2="",NA(),E270*$B270+J269)</f>
        <v>1088906.86817464</v>
      </c>
      <c r="K270" s="49" t="e">
        <f>IF(K$2="",NA(),F270*$B270+K269)</f>
        <v>#N/A</v>
      </c>
    </row>
    <row r="271" spans="1:11" x14ac:dyDescent="0.4">
      <c r="A271" s="49">
        <v>268</v>
      </c>
      <c r="B271" s="49">
        <f>A271/$B$1</f>
        <v>11.166666666666666</v>
      </c>
      <c r="C271" s="49">
        <f>(('Input and Output'!B$23*'Input and Output'!$B$10)+('Input and Output'!B$24*Calculations!$C$5)+('Input and Output'!B$25*Calculations!$C$6)+('Input and Output'!B$26*(IF('Input and Output'!D$7="Detritus",Calculations!$C$4,G271))-(SUM('Input and Output'!B$27:B$32))*H270))</f>
        <v>73.939822878976656</v>
      </c>
      <c r="D271" s="49">
        <f>(('Input and Output'!C$23*'Input and Output'!$B$10)+('Input and Output'!C$24*Calculations!$C$5)+('Input and Output'!C$25*Calculations!$C$6)+('Input and Output'!C$26*(IF('Input and Output'!E$7="Detritus",Calculations!$C$4,H271))-(SUM('Input and Output'!C$27:C$32))*I270))</f>
        <v>638.99396248573612</v>
      </c>
      <c r="E271" s="49">
        <f>(('Input and Output'!D$23*'Input and Output'!$B$10)+('Input and Output'!D$24*Calculations!$C$5)+('Input and Output'!D$25*Calculations!$C$6)+('Input and Output'!D$26*(IF('Input and Output'!F$7="Detritus",Calculations!$C$4,I271))-(SUM('Input and Output'!D$27:D$32))*J270))</f>
        <v>286.01742162321534</v>
      </c>
      <c r="F271" s="49" t="e">
        <f>(('Input and Output'!E$23*'Input and Output'!$B$10)+('Input and Output'!E$24*Calculations!$C$5)+('Input and Output'!E$25*Calculations!$C$6)+('Input and Output'!E$26*(IF('Input and Output'!G$7="Detritus",Calculations!$C$4,J271))-(SUM('Input and Output'!E$27:E$32))*K270))</f>
        <v>#N/A</v>
      </c>
      <c r="H271" s="49">
        <f>IF(H$2="",NA(),C271*$B271+H270)</f>
        <v>248614.4548785339</v>
      </c>
      <c r="I271" s="49">
        <f>IF(I$2="",NA(),D271*$B271+I270)</f>
        <v>2323235.6125948122</v>
      </c>
      <c r="J271" s="49">
        <f>IF(J$2="",NA(),E271*$B271+J270)</f>
        <v>1092100.7293827659</v>
      </c>
      <c r="K271" s="49" t="e">
        <f>IF(K$2="",NA(),F271*$B271+K270)</f>
        <v>#N/A</v>
      </c>
    </row>
    <row r="272" spans="1:11" x14ac:dyDescent="0.4">
      <c r="A272" s="49">
        <v>269</v>
      </c>
      <c r="B272" s="49">
        <f>A272/$B$1</f>
        <v>11.208333333333334</v>
      </c>
      <c r="C272" s="49">
        <f>(('Input and Output'!B$23*'Input and Output'!$B$10)+('Input and Output'!B$24*Calculations!$C$5)+('Input and Output'!B$25*Calculations!$C$6)+('Input and Output'!B$26*(IF('Input and Output'!D$7="Detritus",Calculations!$C$4,G272))-(SUM('Input and Output'!B$27:B$32))*H271))</f>
        <v>73.143791122074418</v>
      </c>
      <c r="D272" s="49">
        <f>(('Input and Output'!C$23*'Input and Output'!$B$10)+('Input and Output'!C$24*Calculations!$C$5)+('Input and Output'!C$25*Calculations!$C$6)+('Input and Output'!C$26*(IF('Input and Output'!E$7="Detritus",Calculations!$C$4,H272))-(SUM('Input and Output'!C$27:C$32))*I271))</f>
        <v>631.97107899041839</v>
      </c>
      <c r="E272" s="49">
        <f>(('Input and Output'!D$23*'Input and Output'!$B$10)+('Input and Output'!D$24*Calculations!$C$5)+('Input and Output'!D$25*Calculations!$C$6)+('Input and Output'!D$26*(IF('Input and Output'!F$7="Detritus",Calculations!$C$4,I272))-(SUM('Input and Output'!D$27:D$32))*J271))</f>
        <v>282.85731662583203</v>
      </c>
      <c r="F272" s="49" t="e">
        <f>(('Input and Output'!E$23*'Input and Output'!$B$10)+('Input and Output'!E$24*Calculations!$C$5)+('Input and Output'!E$25*Calculations!$C$6)+('Input and Output'!E$26*(IF('Input and Output'!G$7="Detritus",Calculations!$C$4,J272))-(SUM('Input and Output'!E$27:E$32))*K271))</f>
        <v>#N/A</v>
      </c>
      <c r="H272" s="49">
        <f>IF(H$2="",NA(),C272*$B272+H271)</f>
        <v>249434.27487069383</v>
      </c>
      <c r="I272" s="49">
        <f>IF(I$2="",NA(),D272*$B272+I271)</f>
        <v>2330318.9551051632</v>
      </c>
      <c r="J272" s="49">
        <f>IF(J$2="",NA(),E272*$B272+J271)</f>
        <v>1095271.0884732804</v>
      </c>
      <c r="K272" s="49" t="e">
        <f>IF(K$2="",NA(),F272*$B272+K271)</f>
        <v>#N/A</v>
      </c>
    </row>
    <row r="273" spans="1:11" x14ac:dyDescent="0.4">
      <c r="A273" s="49">
        <v>270</v>
      </c>
      <c r="B273" s="49">
        <f>A273/$B$1</f>
        <v>11.25</v>
      </c>
      <c r="C273" s="49">
        <f>(('Input and Output'!B$23*'Input and Output'!$B$10)+('Input and Output'!B$24*Calculations!$C$5)+('Input and Output'!B$25*Calculations!$C$6)+('Input and Output'!B$26*(IF('Input and Output'!D$7="Detritus",Calculations!$C$4,G273))-(SUM('Input and Output'!B$27:B$32))*H272))</f>
        <v>72.353391105930086</v>
      </c>
      <c r="D273" s="49">
        <f>(('Input and Output'!C$23*'Input and Output'!$B$10)+('Input and Output'!C$24*Calculations!$C$5)+('Input and Output'!C$25*Calculations!$C$6)+('Input and Output'!C$26*(IF('Input and Output'!E$7="Detritus",Calculations!$C$4,H273))-(SUM('Input and Output'!C$27:C$32))*I272))</f>
        <v>625.00236089681312</v>
      </c>
      <c r="E273" s="49">
        <f>(('Input and Output'!D$23*'Input and Output'!$B$10)+('Input and Output'!D$24*Calculations!$C$5)+('Input and Output'!D$25*Calculations!$C$6)+('Input and Output'!D$26*(IF('Input and Output'!F$7="Detritus",Calculations!$C$4,I273))-(SUM('Input and Output'!D$27:D$32))*J272))</f>
        <v>279.72188111807554</v>
      </c>
      <c r="F273" s="49" t="e">
        <f>(('Input and Output'!E$23*'Input and Output'!$B$10)+('Input and Output'!E$24*Calculations!$C$5)+('Input and Output'!E$25*Calculations!$C$6)+('Input and Output'!E$26*(IF('Input and Output'!G$7="Detritus",Calculations!$C$4,J273))-(SUM('Input and Output'!E$27:E$32))*K272))</f>
        <v>#N/A</v>
      </c>
      <c r="H273" s="49">
        <f>IF(H$2="",NA(),C273*$B273+H272)</f>
        <v>250248.25052063554</v>
      </c>
      <c r="I273" s="49">
        <f>IF(I$2="",NA(),D273*$B273+I272)</f>
        <v>2337350.2316652522</v>
      </c>
      <c r="J273" s="49">
        <f>IF(J$2="",NA(),E273*$B273+J272)</f>
        <v>1098417.9596358589</v>
      </c>
      <c r="K273" s="49" t="e">
        <f>IF(K$2="",NA(),F273*$B273+K272)</f>
        <v>#N/A</v>
      </c>
    </row>
    <row r="274" spans="1:11" x14ac:dyDescent="0.4">
      <c r="A274" s="49">
        <v>271</v>
      </c>
      <c r="B274" s="49">
        <f>A274/$B$1</f>
        <v>11.291666666666666</v>
      </c>
      <c r="C274" s="49">
        <f>(('Input and Output'!B$23*'Input and Output'!$B$10)+('Input and Output'!B$24*Calculations!$C$5)+('Input and Output'!B$25*Calculations!$C$6)+('Input and Output'!B$26*(IF('Input and Output'!D$7="Detritus",Calculations!$C$4,G274))-(SUM('Input and Output'!B$27:B$32))*H273))</f>
        <v>71.568625702539549</v>
      </c>
      <c r="D274" s="49">
        <f>(('Input and Output'!C$23*'Input and Output'!$B$10)+('Input and Output'!C$24*Calculations!$C$5)+('Input and Output'!C$25*Calculations!$C$6)+('Input and Output'!C$26*(IF('Input and Output'!E$7="Detritus",Calculations!$C$4,H274))-(SUM('Input and Output'!C$27:C$32))*I273))</f>
        <v>618.08768109004723</v>
      </c>
      <c r="E274" s="49">
        <f>(('Input and Output'!D$23*'Input and Output'!$B$10)+('Input and Output'!D$24*Calculations!$C$5)+('Input and Output'!D$25*Calculations!$C$6)+('Input and Output'!D$26*(IF('Input and Output'!F$7="Detritus",Calculations!$C$4,I274))-(SUM('Input and Output'!D$27:D$32))*J273))</f>
        <v>276.61105105748356</v>
      </c>
      <c r="F274" s="49" t="e">
        <f>(('Input and Output'!E$23*'Input and Output'!$B$10)+('Input and Output'!E$24*Calculations!$C$5)+('Input and Output'!E$25*Calculations!$C$6)+('Input and Output'!E$26*(IF('Input and Output'!G$7="Detritus",Calculations!$C$4,J274))-(SUM('Input and Output'!E$27:E$32))*K273))</f>
        <v>#N/A</v>
      </c>
      <c r="H274" s="49">
        <f>IF(H$2="",NA(),C274*$B274+H273)</f>
        <v>251056.37958586006</v>
      </c>
      <c r="I274" s="49">
        <f>IF(I$2="",NA(),D274*$B274+I273)</f>
        <v>2344329.4717308939</v>
      </c>
      <c r="J274" s="49">
        <f>IF(J$2="",NA(),E274*$B274+J273)</f>
        <v>1101541.3594207163</v>
      </c>
      <c r="K274" s="49" t="e">
        <f>IF(K$2="",NA(),F274*$B274+K273)</f>
        <v>#N/A</v>
      </c>
    </row>
    <row r="275" spans="1:11" x14ac:dyDescent="0.4">
      <c r="A275" s="49">
        <v>272</v>
      </c>
      <c r="B275" s="49">
        <f>A275/$B$1</f>
        <v>11.333333333333334</v>
      </c>
      <c r="C275" s="49">
        <f>(('Input and Output'!B$23*'Input and Output'!$B$10)+('Input and Output'!B$24*Calculations!$C$5)+('Input and Output'!B$25*Calculations!$C$6)+('Input and Output'!B$26*(IF('Input and Output'!D$7="Detritus",Calculations!$C$4,G275))-(SUM('Input and Output'!B$27:B$32))*H274))</f>
        <v>70.789497073927691</v>
      </c>
      <c r="D275" s="49">
        <f>(('Input and Output'!C$23*'Input and Output'!$B$10)+('Input and Output'!C$24*Calculations!$C$5)+('Input and Output'!C$25*Calculations!$C$6)+('Input and Output'!C$26*(IF('Input and Output'!E$7="Detritus",Calculations!$C$4,H275))-(SUM('Input and Output'!C$27:C$32))*I274))</f>
        <v>611.22690959225747</v>
      </c>
      <c r="E275" s="49">
        <f>(('Input and Output'!D$23*'Input and Output'!$B$10)+('Input and Output'!D$24*Calculations!$C$5)+('Input and Output'!D$25*Calculations!$C$6)+('Input and Output'!D$26*(IF('Input and Output'!F$7="Detritus",Calculations!$C$4,I275))-(SUM('Input and Output'!D$27:D$32))*J274))</f>
        <v>273.52476122053122</v>
      </c>
      <c r="F275" s="49" t="e">
        <f>(('Input and Output'!E$23*'Input and Output'!$B$10)+('Input and Output'!E$24*Calculations!$C$5)+('Input and Output'!E$25*Calculations!$C$6)+('Input and Output'!E$26*(IF('Input and Output'!G$7="Detritus",Calculations!$C$4,J275))-(SUM('Input and Output'!E$27:E$32))*K274))</f>
        <v>#N/A</v>
      </c>
      <c r="H275" s="49">
        <f>IF(H$2="",NA(),C275*$B275+H274)</f>
        <v>251858.66055269793</v>
      </c>
      <c r="I275" s="49">
        <f>IF(I$2="",NA(),D275*$B275+I274)</f>
        <v>2351256.7100396063</v>
      </c>
      <c r="J275" s="49">
        <f>IF(J$2="",NA(),E275*$B275+J274)</f>
        <v>1104641.306714549</v>
      </c>
      <c r="K275" s="49" t="e">
        <f>IF(K$2="",NA(),F275*$B275+K274)</f>
        <v>#N/A</v>
      </c>
    </row>
    <row r="276" spans="1:11" x14ac:dyDescent="0.4">
      <c r="A276" s="49">
        <v>273</v>
      </c>
      <c r="B276" s="49">
        <f>A276/$B$1</f>
        <v>11.375</v>
      </c>
      <c r="C276" s="49">
        <f>(('Input and Output'!B$23*'Input and Output'!$B$10)+('Input and Output'!B$24*Calculations!$C$5)+('Input and Output'!B$25*Calculations!$C$6)+('Input and Output'!B$26*(IF('Input and Output'!D$7="Detritus",Calculations!$C$4,G276))-(SUM('Input and Output'!B$27:B$32))*H275))</f>
        <v>70.016006679444587</v>
      </c>
      <c r="D276" s="49">
        <f>(('Input and Output'!C$23*'Input and Output'!$B$10)+('Input and Output'!C$24*Calculations!$C$5)+('Input and Output'!C$25*Calculations!$C$6)+('Input and Output'!C$26*(IF('Input and Output'!E$7="Detritus",Calculations!$C$4,H276))-(SUM('Input and Output'!C$27:C$32))*I275))</f>
        <v>604.41991358506129</v>
      </c>
      <c r="E276" s="49">
        <f>(('Input and Output'!D$23*'Input and Output'!$B$10)+('Input and Output'!D$24*Calculations!$C$5)+('Input and Output'!D$25*Calculations!$C$6)+('Input and Output'!D$26*(IF('Input and Output'!F$7="Detritus",Calculations!$C$4,I276))-(SUM('Input and Output'!D$27:D$32))*J275))</f>
        <v>270.46294521103482</v>
      </c>
      <c r="F276" s="49" t="e">
        <f>(('Input and Output'!E$23*'Input and Output'!$B$10)+('Input and Output'!E$24*Calculations!$C$5)+('Input and Output'!E$25*Calculations!$C$6)+('Input and Output'!E$26*(IF('Input and Output'!G$7="Detritus",Calculations!$C$4,J276))-(SUM('Input and Output'!E$27:E$32))*K275))</f>
        <v>#N/A</v>
      </c>
      <c r="H276" s="49">
        <f>IF(H$2="",NA(),C276*$B276+H275)</f>
        <v>252655.09262867662</v>
      </c>
      <c r="I276" s="49">
        <f>IF(I$2="",NA(),D276*$B276+I275)</f>
        <v>2358131.9865566362</v>
      </c>
      <c r="J276" s="49">
        <f>IF(J$2="",NA(),E276*$B276+J275)</f>
        <v>1107717.8227163246</v>
      </c>
      <c r="K276" s="49" t="e">
        <f>IF(K$2="",NA(),F276*$B276+K275)</f>
        <v>#N/A</v>
      </c>
    </row>
    <row r="277" spans="1:11" x14ac:dyDescent="0.4">
      <c r="A277" s="49">
        <v>274</v>
      </c>
      <c r="B277" s="49">
        <f>A277/$B$1</f>
        <v>11.416666666666666</v>
      </c>
      <c r="C277" s="49">
        <f>(('Input and Output'!B$23*'Input and Output'!$B$10)+('Input and Output'!B$24*Calculations!$C$5)+('Input and Output'!B$25*Calculations!$C$6)+('Input and Output'!B$26*(IF('Input and Output'!D$7="Detritus",Calculations!$C$4,G277))-(SUM('Input and Output'!B$27:B$32))*H276))</f>
        <v>69.248155283124134</v>
      </c>
      <c r="D277" s="49">
        <f>(('Input and Output'!C$23*'Input and Output'!$B$10)+('Input and Output'!C$24*Calculations!$C$5)+('Input and Output'!C$25*Calculations!$C$6)+('Input and Output'!C$26*(IF('Input and Output'!E$7="Detritus",Calculations!$C$4,H277))-(SUM('Input and Output'!C$27:C$32))*I276))</f>
        <v>597.66655743188676</v>
      </c>
      <c r="E277" s="49">
        <f>(('Input and Output'!D$23*'Input and Output'!$B$10)+('Input and Output'!D$24*Calculations!$C$5)+('Input and Output'!D$25*Calculations!$C$6)+('Input and Output'!D$26*(IF('Input and Output'!F$7="Detritus",Calculations!$C$4,I277))-(SUM('Input and Output'!D$27:D$32))*J276))</f>
        <v>267.42553546878116</v>
      </c>
      <c r="F277" s="49" t="e">
        <f>(('Input and Output'!E$23*'Input and Output'!$B$10)+('Input and Output'!E$24*Calculations!$C$5)+('Input and Output'!E$25*Calculations!$C$6)+('Input and Output'!E$26*(IF('Input and Output'!G$7="Detritus",Calculations!$C$4,J277))-(SUM('Input and Output'!E$27:E$32))*K276))</f>
        <v>#N/A</v>
      </c>
      <c r="H277" s="49">
        <f>IF(H$2="",NA(),C277*$B277+H276)</f>
        <v>253445.67573482561</v>
      </c>
      <c r="I277" s="49">
        <f>IF(I$2="",NA(),D277*$B277+I276)</f>
        <v>2364955.3464206504</v>
      </c>
      <c r="J277" s="49">
        <f>IF(J$2="",NA(),E277*$B277+J276)</f>
        <v>1110770.9309129266</v>
      </c>
      <c r="K277" s="49" t="e">
        <f>IF(K$2="",NA(),F277*$B277+K276)</f>
        <v>#N/A</v>
      </c>
    </row>
    <row r="278" spans="1:11" x14ac:dyDescent="0.4">
      <c r="A278" s="49">
        <v>275</v>
      </c>
      <c r="B278" s="49">
        <f>A278/$B$1</f>
        <v>11.458333333333334</v>
      </c>
      <c r="C278" s="49">
        <f>(('Input and Output'!B$23*'Input and Output'!$B$10)+('Input and Output'!B$24*Calculations!$C$5)+('Input and Output'!B$25*Calculations!$C$6)+('Input and Output'!B$26*(IF('Input and Output'!D$7="Detritus",Calculations!$C$4,G278))-(SUM('Input and Output'!B$27:B$32))*H277))</f>
        <v>68.485942961102978</v>
      </c>
      <c r="D278" s="49">
        <f>(('Input and Output'!C$23*'Input and Output'!$B$10)+('Input and Output'!C$24*Calculations!$C$5)+('Input and Output'!C$25*Calculations!$C$6)+('Input and Output'!C$26*(IF('Input and Output'!E$7="Detritus",Calculations!$C$4,H278))-(SUM('Input and Output'!C$27:C$32))*I277))</f>
        <v>590.96670270018694</v>
      </c>
      <c r="E278" s="49">
        <f>(('Input and Output'!D$23*'Input and Output'!$B$10)+('Input and Output'!D$24*Calculations!$C$5)+('Input and Output'!D$25*Calculations!$C$6)+('Input and Output'!D$26*(IF('Input and Output'!F$7="Detritus",Calculations!$C$4,I278))-(SUM('Input and Output'!D$27:D$32))*J277))</f>
        <v>264.41246327809131</v>
      </c>
      <c r="F278" s="49" t="e">
        <f>(('Input and Output'!E$23*'Input and Output'!$B$10)+('Input and Output'!E$24*Calculations!$C$5)+('Input and Output'!E$25*Calculations!$C$6)+('Input and Output'!E$26*(IF('Input and Output'!G$7="Detritus",Calculations!$C$4,J278))-(SUM('Input and Output'!E$27:E$32))*K277))</f>
        <v>#N/A</v>
      </c>
      <c r="H278" s="49">
        <f>IF(H$2="",NA(),C278*$B278+H277)</f>
        <v>254230.41049792158</v>
      </c>
      <c r="I278" s="49">
        <f>IF(I$2="",NA(),D278*$B278+I277)</f>
        <v>2371726.83988909</v>
      </c>
      <c r="J278" s="49">
        <f>IF(J$2="",NA(),E278*$B278+J277)</f>
        <v>1113800.6570546548</v>
      </c>
      <c r="K278" s="49" t="e">
        <f>IF(K$2="",NA(),F278*$B278+K277)</f>
        <v>#N/A</v>
      </c>
    </row>
    <row r="279" spans="1:11" x14ac:dyDescent="0.4">
      <c r="A279" s="49">
        <v>276</v>
      </c>
      <c r="B279" s="49">
        <f>A279/$B$1</f>
        <v>11.5</v>
      </c>
      <c r="C279" s="49">
        <f>(('Input and Output'!B$23*'Input and Output'!$B$10)+('Input and Output'!B$24*Calculations!$C$5)+('Input and Output'!B$25*Calculations!$C$6)+('Input and Output'!B$26*(IF('Input and Output'!D$7="Detritus",Calculations!$C$4,G279))-(SUM('Input and Output'!B$27:B$32))*H278))</f>
        <v>67.729369109096865</v>
      </c>
      <c r="D279" s="49">
        <f>(('Input and Output'!C$23*'Input and Output'!$B$10)+('Input and Output'!C$24*Calculations!$C$5)+('Input and Output'!C$25*Calculations!$C$6)+('Input and Output'!C$26*(IF('Input and Output'!E$7="Detritus",Calculations!$C$4,H279))-(SUM('Input and Output'!C$27:C$32))*I278))</f>
        <v>584.32020818360161</v>
      </c>
      <c r="E279" s="49">
        <f>(('Input and Output'!D$23*'Input and Output'!$B$10)+('Input and Output'!D$24*Calculations!$C$5)+('Input and Output'!D$25*Calculations!$C$6)+('Input and Output'!D$26*(IF('Input and Output'!F$7="Detritus",Calculations!$C$4,I279))-(SUM('Input and Output'!D$27:D$32))*J278))</f>
        <v>261.42365877618795</v>
      </c>
      <c r="F279" s="49" t="e">
        <f>(('Input and Output'!E$23*'Input and Output'!$B$10)+('Input and Output'!E$24*Calculations!$C$5)+('Input and Output'!E$25*Calculations!$C$6)+('Input and Output'!E$26*(IF('Input and Output'!G$7="Detritus",Calculations!$C$4,J279))-(SUM('Input and Output'!E$27:E$32))*K278))</f>
        <v>#N/A</v>
      </c>
      <c r="H279" s="49">
        <f>IF(H$2="",NA(),C279*$B279+H278)</f>
        <v>255009.29824267619</v>
      </c>
      <c r="I279" s="49">
        <f>IF(I$2="",NA(),D279*$B279+I278)</f>
        <v>2378446.5222832016</v>
      </c>
      <c r="J279" s="49">
        <f>IF(J$2="",NA(),E279*$B279+J278)</f>
        <v>1116807.0291305808</v>
      </c>
      <c r="K279" s="49" t="e">
        <f>IF(K$2="",NA(),F279*$B279+K278)</f>
        <v>#N/A</v>
      </c>
    </row>
    <row r="280" spans="1:11" x14ac:dyDescent="0.4">
      <c r="A280" s="49">
        <v>277</v>
      </c>
      <c r="B280" s="49">
        <f>A280/$B$1</f>
        <v>11.541666666666666</v>
      </c>
      <c r="C280" s="49">
        <f>(('Input and Output'!B$23*'Input and Output'!$B$10)+('Input and Output'!B$24*Calculations!$C$5)+('Input and Output'!B$25*Calculations!$C$6)+('Input and Output'!B$26*(IF('Input and Output'!D$7="Detritus",Calculations!$C$4,G280))-(SUM('Input and Output'!B$27:B$32))*H279))</f>
        <v>66.978432449932569</v>
      </c>
      <c r="D280" s="49">
        <f>(('Input and Output'!C$23*'Input and Output'!$B$10)+('Input and Output'!C$24*Calculations!$C$5)+('Input and Output'!C$25*Calculations!$C$6)+('Input and Output'!C$26*(IF('Input and Output'!E$7="Detritus",Calculations!$C$4,H280))-(SUM('Input and Output'!C$27:C$32))*I279))</f>
        <v>577.72692992407337</v>
      </c>
      <c r="E280" s="49">
        <f>(('Input and Output'!D$23*'Input and Output'!$B$10)+('Input and Output'!D$24*Calculations!$C$5)+('Input and Output'!D$25*Calculations!$C$6)+('Input and Output'!D$26*(IF('Input and Output'!F$7="Detritus",Calculations!$C$4,I280))-(SUM('Input and Output'!D$27:D$32))*J279))</f>
        <v>258.45905096183196</v>
      </c>
      <c r="F280" s="49" t="e">
        <f>(('Input and Output'!E$23*'Input and Output'!$B$10)+('Input and Output'!E$24*Calculations!$C$5)+('Input and Output'!E$25*Calculations!$C$6)+('Input and Output'!E$26*(IF('Input and Output'!G$7="Detritus",Calculations!$C$4,J280))-(SUM('Input and Output'!E$27:E$32))*K279))</f>
        <v>#N/A</v>
      </c>
      <c r="H280" s="49">
        <f>IF(H$2="",NA(),C280*$B280+H279)</f>
        <v>255782.34098386916</v>
      </c>
      <c r="I280" s="49">
        <f>IF(I$2="",NA(),D280*$B280+I279)</f>
        <v>2385114.4539327421</v>
      </c>
      <c r="J280" s="49">
        <f>IF(J$2="",NA(),E280*$B280+J279)</f>
        <v>1119790.0773437654</v>
      </c>
      <c r="K280" s="49" t="e">
        <f>IF(K$2="",NA(),F280*$B280+K279)</f>
        <v>#N/A</v>
      </c>
    </row>
    <row r="281" spans="1:11" x14ac:dyDescent="0.4">
      <c r="A281" s="49">
        <v>278</v>
      </c>
      <c r="B281" s="49">
        <f>A281/$B$1</f>
        <v>11.583333333333334</v>
      </c>
      <c r="C281" s="49">
        <f>(('Input and Output'!B$23*'Input and Output'!$B$10)+('Input and Output'!B$24*Calculations!$C$5)+('Input and Output'!B$25*Calculations!$C$6)+('Input and Output'!B$26*(IF('Input and Output'!D$7="Detritus",Calculations!$C$4,G281))-(SUM('Input and Output'!B$27:B$32))*H280))</f>
        <v>66.233131041132623</v>
      </c>
      <c r="D281" s="49">
        <f>(('Input and Output'!C$23*'Input and Output'!$B$10)+('Input and Output'!C$24*Calculations!$C$5)+('Input and Output'!C$25*Calculations!$C$6)+('Input and Output'!C$26*(IF('Input and Output'!E$7="Detritus",Calculations!$C$4,H281))-(SUM('Input and Output'!C$27:C$32))*I280))</f>
        <v>571.18672123397664</v>
      </c>
      <c r="E281" s="49">
        <f>(('Input and Output'!D$23*'Input and Output'!$B$10)+('Input and Output'!D$24*Calculations!$C$5)+('Input and Output'!D$25*Calculations!$C$6)+('Input and Output'!D$26*(IF('Input and Output'!F$7="Detritus",Calculations!$C$4,I281))-(SUM('Input and Output'!D$27:D$32))*J280))</f>
        <v>255.5185677037407</v>
      </c>
      <c r="F281" s="49" t="e">
        <f>(('Input and Output'!E$23*'Input and Output'!$B$10)+('Input and Output'!E$24*Calculations!$C$5)+('Input and Output'!E$25*Calculations!$C$6)+('Input and Output'!E$26*(IF('Input and Output'!G$7="Detritus",Calculations!$C$4,J281))-(SUM('Input and Output'!E$27:E$32))*K280))</f>
        <v>#N/A</v>
      </c>
      <c r="H281" s="49">
        <f>IF(H$2="",NA(),C281*$B281+H280)</f>
        <v>256549.54141842894</v>
      </c>
      <c r="I281" s="49">
        <f>IF(I$2="",NA(),D281*$B281+I280)</f>
        <v>2391730.700120369</v>
      </c>
      <c r="J281" s="49">
        <f>IF(J$2="",NA(),E281*$B281+J280)</f>
        <v>1122749.8340863336</v>
      </c>
      <c r="K281" s="49" t="e">
        <f>IF(K$2="",NA(),F281*$B281+K280)</f>
        <v>#N/A</v>
      </c>
    </row>
    <row r="282" spans="1:11" x14ac:dyDescent="0.4">
      <c r="A282" s="49">
        <v>279</v>
      </c>
      <c r="B282" s="49">
        <f>A282/$B$1</f>
        <v>11.625</v>
      </c>
      <c r="C282" s="49">
        <f>(('Input and Output'!B$23*'Input and Output'!$B$10)+('Input and Output'!B$24*Calculations!$C$5)+('Input and Output'!B$25*Calculations!$C$6)+('Input and Output'!B$26*(IF('Input and Output'!D$7="Detritus",Calculations!$C$4,G282))-(SUM('Input and Output'!B$27:B$32))*H281))</f>
        <v>65.493462282550183</v>
      </c>
      <c r="D282" s="49">
        <f>(('Input and Output'!C$23*'Input and Output'!$B$10)+('Input and Output'!C$24*Calculations!$C$5)+('Input and Output'!C$25*Calculations!$C$6)+('Input and Output'!C$26*(IF('Input and Output'!E$7="Detritus",Calculations!$C$4,H282))-(SUM('Input and Output'!C$27:C$32))*I281))</f>
        <v>564.69943271827924</v>
      </c>
      <c r="E282" s="49">
        <f>(('Input and Output'!D$23*'Input and Output'!$B$10)+('Input and Output'!D$24*Calculations!$C$5)+('Input and Output'!D$25*Calculations!$C$6)+('Input and Output'!D$26*(IF('Input and Output'!F$7="Detritus",Calculations!$C$4,I282))-(SUM('Input and Output'!D$27:D$32))*J281))</f>
        <v>252.60213574929003</v>
      </c>
      <c r="F282" s="49" t="e">
        <f>(('Input and Output'!E$23*'Input and Output'!$B$10)+('Input and Output'!E$24*Calculations!$C$5)+('Input and Output'!E$25*Calculations!$C$6)+('Input and Output'!E$26*(IF('Input and Output'!G$7="Detritus",Calculations!$C$4,J282))-(SUM('Input and Output'!E$27:E$32))*K281))</f>
        <v>#N/A</v>
      </c>
      <c r="H282" s="49">
        <f>IF(H$2="",NA(),C282*$B282+H281)</f>
        <v>257310.90291746359</v>
      </c>
      <c r="I282" s="49">
        <f>IF(I$2="",NA(),D282*$B282+I281)</f>
        <v>2398295.3310257192</v>
      </c>
      <c r="J282" s="49">
        <f>IF(J$2="",NA(),E282*$B282+J281)</f>
        <v>1125686.3339144192</v>
      </c>
      <c r="K282" s="49" t="e">
        <f>IF(K$2="",NA(),F282*$B282+K281)</f>
        <v>#N/A</v>
      </c>
    </row>
    <row r="283" spans="1:11" x14ac:dyDescent="0.4">
      <c r="A283" s="49">
        <v>280</v>
      </c>
      <c r="B283" s="49">
        <f>A283/$B$1</f>
        <v>11.666666666666666</v>
      </c>
      <c r="C283" s="49">
        <f>(('Input and Output'!B$23*'Input and Output'!$B$10)+('Input and Output'!B$24*Calculations!$C$5)+('Input and Output'!B$25*Calculations!$C$6)+('Input and Output'!B$26*(IF('Input and Output'!D$7="Detritus",Calculations!$C$4,G283))-(SUM('Input and Output'!B$27:B$32))*H282))</f>
        <v>64.759422924052501</v>
      </c>
      <c r="D283" s="49">
        <f>(('Input and Output'!C$23*'Input and Output'!$B$10)+('Input and Output'!C$24*Calculations!$C$5)+('Input and Output'!C$25*Calculations!$C$6)+('Input and Output'!C$26*(IF('Input and Output'!E$7="Detritus",Calculations!$C$4,H283))-(SUM('Input and Output'!C$27:C$32))*I282))</f>
        <v>558.26491229676412</v>
      </c>
      <c r="E283" s="49">
        <f>(('Input and Output'!D$23*'Input and Output'!$B$10)+('Input and Output'!D$24*Calculations!$C$5)+('Input and Output'!D$25*Calculations!$C$6)+('Input and Output'!D$26*(IF('Input and Output'!F$7="Detritus",Calculations!$C$4,I283))-(SUM('Input and Output'!D$27:D$32))*J282))</f>
        <v>249.70968073295444</v>
      </c>
      <c r="F283" s="49" t="e">
        <f>(('Input and Output'!E$23*'Input and Output'!$B$10)+('Input and Output'!E$24*Calculations!$C$5)+('Input and Output'!E$25*Calculations!$C$6)+('Input and Output'!E$26*(IF('Input and Output'!G$7="Detritus",Calculations!$C$4,J283))-(SUM('Input and Output'!E$27:E$32))*K282))</f>
        <v>#N/A</v>
      </c>
      <c r="H283" s="49">
        <f>IF(H$2="",NA(),C283*$B283+H282)</f>
        <v>258066.4295182442</v>
      </c>
      <c r="I283" s="49">
        <f>IF(I$2="",NA(),D283*$B283+I282)</f>
        <v>2404808.4216691814</v>
      </c>
      <c r="J283" s="49">
        <f>IF(J$2="",NA(),E283*$B283+J282)</f>
        <v>1128599.6135229704</v>
      </c>
      <c r="K283" s="49" t="e">
        <f>IF(K$2="",NA(),F283*$B283+K282)</f>
        <v>#N/A</v>
      </c>
    </row>
    <row r="284" spans="1:11" x14ac:dyDescent="0.4">
      <c r="A284" s="49">
        <v>281</v>
      </c>
      <c r="B284" s="49">
        <f>A284/$B$1</f>
        <v>11.708333333333334</v>
      </c>
      <c r="C284" s="49">
        <f>(('Input and Output'!B$23*'Input and Output'!$B$10)+('Input and Output'!B$24*Calculations!$C$5)+('Input and Output'!B$25*Calculations!$C$6)+('Input and Output'!B$26*(IF('Input and Output'!D$7="Detritus",Calculations!$C$4,G284))-(SUM('Input and Output'!B$27:B$32))*H283))</f>
        <v>64.03100907324955</v>
      </c>
      <c r="D284" s="49">
        <f>(('Input and Output'!C$23*'Input and Output'!$B$10)+('Input and Output'!C$24*Calculations!$C$5)+('Input and Output'!C$25*Calculations!$C$6)+('Input and Output'!C$26*(IF('Input and Output'!E$7="Detritus",Calculations!$C$4,H284))-(SUM('Input and Output'!C$27:C$32))*I283))</f>
        <v>551.88300522635473</v>
      </c>
      <c r="E284" s="49">
        <f>(('Input and Output'!D$23*'Input and Output'!$B$10)+('Input and Output'!D$24*Calculations!$C$5)+('Input and Output'!D$25*Calculations!$C$6)+('Input and Output'!D$26*(IF('Input and Output'!F$7="Detritus",Calculations!$C$4,I284))-(SUM('Input and Output'!D$27:D$32))*J283))</f>
        <v>246.84112718512552</v>
      </c>
      <c r="F284" s="49" t="e">
        <f>(('Input and Output'!E$23*'Input and Output'!$B$10)+('Input and Output'!E$24*Calculations!$C$5)+('Input and Output'!E$25*Calculations!$C$6)+('Input and Output'!E$26*(IF('Input and Output'!G$7="Detritus",Calculations!$C$4,J284))-(SUM('Input and Output'!E$27:E$32))*K283))</f>
        <v>#N/A</v>
      </c>
      <c r="H284" s="49">
        <f>IF(H$2="",NA(),C284*$B284+H283)</f>
        <v>258816.1259161435</v>
      </c>
      <c r="I284" s="49">
        <f>IF(I$2="",NA(),D284*$B284+I283)</f>
        <v>2411270.0518553732</v>
      </c>
      <c r="J284" s="49">
        <f>IF(J$2="",NA(),E284*$B284+J283)</f>
        <v>1131489.7117204296</v>
      </c>
      <c r="K284" s="49" t="e">
        <f>IF(K$2="",NA(),F284*$B284+K283)</f>
        <v>#N/A</v>
      </c>
    </row>
    <row r="285" spans="1:11" x14ac:dyDescent="0.4">
      <c r="A285" s="49">
        <v>282</v>
      </c>
      <c r="B285" s="49">
        <f>A285/$B$1</f>
        <v>11.75</v>
      </c>
      <c r="C285" s="49">
        <f>(('Input and Output'!B$23*'Input and Output'!$B$10)+('Input and Output'!B$24*Calculations!$C$5)+('Input and Output'!B$25*Calculations!$C$6)+('Input and Output'!B$26*(IF('Input and Output'!D$7="Detritus",Calculations!$C$4,G285))-(SUM('Input and Output'!B$27:B$32))*H284))</f>
        <v>63.308216203266284</v>
      </c>
      <c r="D285" s="49">
        <f>(('Input and Output'!C$23*'Input and Output'!$B$10)+('Input and Output'!C$24*Calculations!$C$5)+('Input and Output'!C$25*Calculations!$C$6)+('Input and Output'!C$26*(IF('Input and Output'!E$7="Detritus",Calculations!$C$4,H285))-(SUM('Input and Output'!C$27:C$32))*I284))</f>
        <v>545.55355412356403</v>
      </c>
      <c r="E285" s="49">
        <f>(('Input and Output'!D$23*'Input and Output'!$B$10)+('Input and Output'!D$24*Calculations!$C$5)+('Input and Output'!D$25*Calculations!$C$6)+('Input and Output'!D$26*(IF('Input and Output'!F$7="Detritus",Calculations!$C$4,I285))-(SUM('Input and Output'!D$27:D$32))*J284))</f>
        <v>243.99639854082125</v>
      </c>
      <c r="F285" s="49" t="e">
        <f>(('Input and Output'!E$23*'Input and Output'!$B$10)+('Input and Output'!E$24*Calculations!$C$5)+('Input and Output'!E$25*Calculations!$C$6)+('Input and Output'!E$26*(IF('Input and Output'!G$7="Detritus",Calculations!$C$4,J285))-(SUM('Input and Output'!E$27:E$32))*K284))</f>
        <v>#N/A</v>
      </c>
      <c r="H285" s="49">
        <f>IF(H$2="",NA(),C285*$B285+H284)</f>
        <v>259559.99745653188</v>
      </c>
      <c r="I285" s="49">
        <f>IF(I$2="",NA(),D285*$B285+I284)</f>
        <v>2417680.3061163248</v>
      </c>
      <c r="J285" s="49">
        <f>IF(J$2="",NA(),E285*$B285+J284)</f>
        <v>1134356.6694032843</v>
      </c>
      <c r="K285" s="49" t="e">
        <f>IF(K$2="",NA(),F285*$B285+K284)</f>
        <v>#N/A</v>
      </c>
    </row>
    <row r="286" spans="1:11" x14ac:dyDescent="0.4">
      <c r="A286" s="49">
        <v>283</v>
      </c>
      <c r="B286" s="49">
        <f>A286/$B$1</f>
        <v>11.791666666666666</v>
      </c>
      <c r="C286" s="49">
        <f>(('Input and Output'!B$23*'Input and Output'!$B$10)+('Input and Output'!B$24*Calculations!$C$5)+('Input and Output'!B$25*Calculations!$C$6)+('Input and Output'!B$26*(IF('Input and Output'!D$7="Detritus",Calculations!$C$4,G286))-(SUM('Input and Output'!B$27:B$32))*H285))</f>
        <v>62.591039160555681</v>
      </c>
      <c r="D286" s="49">
        <f>(('Input and Output'!C$23*'Input and Output'!$B$10)+('Input and Output'!C$24*Calculations!$C$5)+('Input and Output'!C$25*Calculations!$C$6)+('Input and Output'!C$26*(IF('Input and Output'!E$7="Detritus",Calculations!$C$4,H286))-(SUM('Input and Output'!C$27:C$32))*I285))</f>
        <v>539.27639898708185</v>
      </c>
      <c r="E286" s="49">
        <f>(('Input and Output'!D$23*'Input and Output'!$B$10)+('Input and Output'!D$24*Calculations!$C$5)+('Input and Output'!D$25*Calculations!$C$6)+('Input and Output'!D$26*(IF('Input and Output'!F$7="Detritus",Calculations!$C$4,I286))-(SUM('Input and Output'!D$27:D$32))*J285))</f>
        <v>241.17541714847539</v>
      </c>
      <c r="F286" s="49" t="e">
        <f>(('Input and Output'!E$23*'Input and Output'!$B$10)+('Input and Output'!E$24*Calculations!$C$5)+('Input and Output'!E$25*Calculations!$C$6)+('Input and Output'!E$26*(IF('Input and Output'!G$7="Detritus",Calculations!$C$4,J286))-(SUM('Input and Output'!E$27:E$32))*K285))</f>
        <v>#N/A</v>
      </c>
      <c r="H286" s="49">
        <f>IF(H$2="",NA(),C286*$B286+H285)</f>
        <v>260298.05012663343</v>
      </c>
      <c r="I286" s="49">
        <f>IF(I$2="",NA(),D286*$B286+I285)</f>
        <v>2424039.2736543808</v>
      </c>
      <c r="J286" s="49">
        <f>IF(J$2="",NA(),E286*$B286+J285)</f>
        <v>1137200.5295304935</v>
      </c>
      <c r="K286" s="49" t="e">
        <f>IF(K$2="",NA(),F286*$B286+K285)</f>
        <v>#N/A</v>
      </c>
    </row>
    <row r="287" spans="1:11" x14ac:dyDescent="0.4">
      <c r="A287" s="49">
        <v>284</v>
      </c>
      <c r="B287" s="49">
        <f>A287/$B$1</f>
        <v>11.833333333333334</v>
      </c>
      <c r="C287" s="49">
        <f>(('Input and Output'!B$23*'Input and Output'!$B$10)+('Input and Output'!B$24*Calculations!$C$5)+('Input and Output'!B$25*Calculations!$C$6)+('Input and Output'!B$26*(IF('Input and Output'!D$7="Detritus",Calculations!$C$4,G287))-(SUM('Input and Output'!B$27:B$32))*H286))</f>
        <v>61.87947217275061</v>
      </c>
      <c r="D287" s="49">
        <f>(('Input and Output'!C$23*'Input and Output'!$B$10)+('Input and Output'!C$24*Calculations!$C$5)+('Input and Output'!C$25*Calculations!$C$6)+('Input and Output'!C$26*(IF('Input and Output'!E$7="Detritus",Calculations!$C$4,H287))-(SUM('Input and Output'!C$27:C$32))*I286))</f>
        <v>533.05137722055133</v>
      </c>
      <c r="E287" s="49">
        <f>(('Input and Output'!D$23*'Input and Output'!$B$10)+('Input and Output'!D$24*Calculations!$C$5)+('Input and Output'!D$25*Calculations!$C$6)+('Input and Output'!D$26*(IF('Input and Output'!F$7="Detritus",Calculations!$C$4,I287))-(SUM('Input and Output'!D$27:D$32))*J286))</f>
        <v>238.37810427893783</v>
      </c>
      <c r="F287" s="49" t="e">
        <f>(('Input and Output'!E$23*'Input and Output'!$B$10)+('Input and Output'!E$24*Calculations!$C$5)+('Input and Output'!E$25*Calculations!$C$6)+('Input and Output'!E$26*(IF('Input and Output'!G$7="Detritus",Calculations!$C$4,J287))-(SUM('Input and Output'!E$27:E$32))*K286))</f>
        <v>#N/A</v>
      </c>
      <c r="H287" s="49">
        <f>IF(H$2="",NA(),C287*$B287+H286)</f>
        <v>261030.29054734431</v>
      </c>
      <c r="I287" s="49">
        <f>IF(I$2="",NA(),D287*$B287+I286)</f>
        <v>2430347.048284824</v>
      </c>
      <c r="J287" s="49">
        <f>IF(J$2="",NA(),E287*$B287+J286)</f>
        <v>1140021.3370977943</v>
      </c>
      <c r="K287" s="49" t="e">
        <f>IF(K$2="",NA(),F287*$B287+K286)</f>
        <v>#N/A</v>
      </c>
    </row>
    <row r="288" spans="1:11" x14ac:dyDescent="0.4">
      <c r="A288" s="49">
        <v>285</v>
      </c>
      <c r="B288" s="49">
        <f>A288/$B$1</f>
        <v>11.875</v>
      </c>
      <c r="C288" s="49">
        <f>(('Input and Output'!B$23*'Input and Output'!$B$10)+('Input and Output'!B$24*Calculations!$C$5)+('Input and Output'!B$25*Calculations!$C$6)+('Input and Output'!B$26*(IF('Input and Output'!D$7="Detritus",Calculations!$C$4,G288))-(SUM('Input and Output'!B$27:B$32))*H287))</f>
        <v>61.173508856551678</v>
      </c>
      <c r="D288" s="49">
        <f>(('Input and Output'!C$23*'Input and Output'!$B$10)+('Input and Output'!C$24*Calculations!$C$5)+('Input and Output'!C$25*Calculations!$C$6)+('Input and Output'!C$26*(IF('Input and Output'!E$7="Detritus",Calculations!$C$4,H288))-(SUM('Input and Output'!C$27:C$32))*I287))</f>
        <v>526.87832365554186</v>
      </c>
      <c r="E288" s="49">
        <f>(('Input and Output'!D$23*'Input and Output'!$B$10)+('Input and Output'!D$24*Calculations!$C$5)+('Input and Output'!D$25*Calculations!$C$6)+('Input and Output'!D$26*(IF('Input and Output'!F$7="Detritus",Calculations!$C$4,I288))-(SUM('Input and Output'!D$27:D$32))*J287))</f>
        <v>235.60438013449675</v>
      </c>
      <c r="F288" s="49" t="e">
        <f>(('Input and Output'!E$23*'Input and Output'!$B$10)+('Input and Output'!E$24*Calculations!$C$5)+('Input and Output'!E$25*Calculations!$C$6)+('Input and Output'!E$26*(IF('Input and Output'!G$7="Detritus",Calculations!$C$4,J288))-(SUM('Input and Output'!E$27:E$32))*K287))</f>
        <v>#N/A</v>
      </c>
      <c r="H288" s="49">
        <f>IF(H$2="",NA(),C288*$B288+H287)</f>
        <v>261756.72596501585</v>
      </c>
      <c r="I288" s="49">
        <f>IF(I$2="",NA(),D288*$B288+I287)</f>
        <v>2436603.7283782335</v>
      </c>
      <c r="J288" s="49">
        <f>IF(J$2="",NA(),E288*$B288+J287)</f>
        <v>1142819.1391118914</v>
      </c>
      <c r="K288" s="49" t="e">
        <f>IF(K$2="",NA(),F288*$B288+K287)</f>
        <v>#N/A</v>
      </c>
    </row>
    <row r="289" spans="1:11" x14ac:dyDescent="0.4">
      <c r="A289" s="49">
        <v>286</v>
      </c>
      <c r="B289" s="49">
        <f>A289/$B$1</f>
        <v>11.916666666666666</v>
      </c>
      <c r="C289" s="49">
        <f>(('Input and Output'!B$23*'Input and Output'!$B$10)+('Input and Output'!B$24*Calculations!$C$5)+('Input and Output'!B$25*Calculations!$C$6)+('Input and Output'!B$26*(IF('Input and Output'!D$7="Detritus",Calculations!$C$4,G289))-(SUM('Input and Output'!B$27:B$32))*H288))</f>
        <v>60.473142225649383</v>
      </c>
      <c r="D289" s="49">
        <f>(('Input and Output'!C$23*'Input and Output'!$B$10)+('Input and Output'!C$24*Calculations!$C$5)+('Input and Output'!C$25*Calculations!$C$6)+('Input and Output'!C$26*(IF('Input and Output'!E$7="Detritus",Calculations!$C$4,H289))-(SUM('Input and Output'!C$27:C$32))*I288))</f>
        <v>520.75707057472937</v>
      </c>
      <c r="E289" s="49">
        <f>(('Input and Output'!D$23*'Input and Output'!$B$10)+('Input and Output'!D$24*Calculations!$C$5)+('Input and Output'!D$25*Calculations!$C$6)+('Input and Output'!D$26*(IF('Input and Output'!F$7="Detritus",Calculations!$C$4,I289))-(SUM('Input and Output'!D$27:D$32))*J288))</f>
        <v>232.85416385804638</v>
      </c>
      <c r="F289" s="49" t="e">
        <f>(('Input and Output'!E$23*'Input and Output'!$B$10)+('Input and Output'!E$24*Calculations!$C$5)+('Input and Output'!E$25*Calculations!$C$6)+('Input and Output'!E$26*(IF('Input and Output'!G$7="Detritus",Calculations!$C$4,J289))-(SUM('Input and Output'!E$27:E$32))*K288))</f>
        <v>#N/A</v>
      </c>
      <c r="H289" s="49">
        <f>IF(H$2="",NA(),C289*$B289+H288)</f>
        <v>262477.36424320482</v>
      </c>
      <c r="I289" s="49">
        <f>IF(I$2="",NA(),D289*$B289+I288)</f>
        <v>2442809.4168025823</v>
      </c>
      <c r="J289" s="49">
        <f>IF(J$2="",NA(),E289*$B289+J288)</f>
        <v>1145593.984564533</v>
      </c>
      <c r="K289" s="49" t="e">
        <f>IF(K$2="",NA(),F289*$B289+K288)</f>
        <v>#N/A</v>
      </c>
    </row>
    <row r="290" spans="1:11" x14ac:dyDescent="0.4">
      <c r="A290" s="49">
        <v>287</v>
      </c>
      <c r="B290" s="49">
        <f>A290/$B$1</f>
        <v>11.958333333333334</v>
      </c>
      <c r="C290" s="49">
        <f>(('Input and Output'!B$23*'Input and Output'!$B$10)+('Input and Output'!B$24*Calculations!$C$5)+('Input and Output'!B$25*Calculations!$C$6)+('Input and Output'!B$26*(IF('Input and Output'!D$7="Detritus",Calculations!$C$4,G290))-(SUM('Input and Output'!B$27:B$32))*H289))</f>
        <v>59.778364698677734</v>
      </c>
      <c r="D290" s="49">
        <f>(('Input and Output'!C$23*'Input and Output'!$B$10)+('Input and Output'!C$24*Calculations!$C$5)+('Input and Output'!C$25*Calculations!$C$6)+('Input and Output'!C$26*(IF('Input and Output'!E$7="Detritus",Calculations!$C$4,H290))-(SUM('Input and Output'!C$27:C$32))*I289))</f>
        <v>514.68744773533217</v>
      </c>
      <c r="E290" s="49">
        <f>(('Input and Output'!D$23*'Input and Output'!$B$10)+('Input and Output'!D$24*Calculations!$C$5)+('Input and Output'!D$25*Calculations!$C$6)+('Input and Output'!D$26*(IF('Input and Output'!F$7="Detritus",Calculations!$C$4,I290))-(SUM('Input and Output'!D$27:D$32))*J289))</f>
        <v>230.12737354237106</v>
      </c>
      <c r="F290" s="49" t="e">
        <f>(('Input and Output'!E$23*'Input and Output'!$B$10)+('Input and Output'!E$24*Calculations!$C$5)+('Input and Output'!E$25*Calculations!$C$6)+('Input and Output'!E$26*(IF('Input and Output'!G$7="Detritus",Calculations!$C$4,J290))-(SUM('Input and Output'!E$27:E$32))*K289))</f>
        <v>#N/A</v>
      </c>
      <c r="H290" s="49">
        <f>IF(H$2="",NA(),C290*$B290+H289)</f>
        <v>263192.21385439317</v>
      </c>
      <c r="I290" s="49">
        <f>IF(I$2="",NA(),D290*$B290+I289)</f>
        <v>2448964.2208650839</v>
      </c>
      <c r="J290" s="49">
        <f>IF(J$2="",NA(),E290*$B290+J289)</f>
        <v>1148345.9244064773</v>
      </c>
      <c r="K290" s="49" t="e">
        <f>IF(K$2="",NA(),F290*$B290+K289)</f>
        <v>#N/A</v>
      </c>
    </row>
    <row r="291" spans="1:11" x14ac:dyDescent="0.4">
      <c r="A291" s="49">
        <v>288</v>
      </c>
      <c r="B291" s="49">
        <f>A291/$B$1</f>
        <v>12</v>
      </c>
      <c r="C291" s="49">
        <f>(('Input and Output'!B$23*'Input and Output'!$B$10)+('Input and Output'!B$24*Calculations!$C$5)+('Input and Output'!B$25*Calculations!$C$6)+('Input and Output'!B$26*(IF('Input and Output'!D$7="Detritus",Calculations!$C$4,G291))-(SUM('Input and Output'!B$27:B$32))*H290))</f>
        <v>59.089168107197452</v>
      </c>
      <c r="D291" s="49">
        <f>(('Input and Output'!C$23*'Input and Output'!$B$10)+('Input and Output'!C$24*Calculations!$C$5)+('Input and Output'!C$25*Calculations!$C$6)+('Input and Output'!C$26*(IF('Input and Output'!E$7="Detritus",Calculations!$C$4,H291))-(SUM('Input and Output'!C$27:C$32))*I290))</f>
        <v>508.66928239280332</v>
      </c>
      <c r="E291" s="49">
        <f>(('Input and Output'!D$23*'Input and Output'!$B$10)+('Input and Output'!D$24*Calculations!$C$5)+('Input and Output'!D$25*Calculations!$C$6)+('Input and Output'!D$26*(IF('Input and Output'!F$7="Detritus",Calculations!$C$4,I291))-(SUM('Input and Output'!D$27:D$32))*J290))</f>
        <v>227.42392623958949</v>
      </c>
      <c r="F291" s="49" t="e">
        <f>(('Input and Output'!E$23*'Input and Output'!$B$10)+('Input and Output'!E$24*Calculations!$C$5)+('Input and Output'!E$25*Calculations!$C$6)+('Input and Output'!E$26*(IF('Input and Output'!G$7="Detritus",Calculations!$C$4,J291))-(SUM('Input and Output'!E$27:E$32))*K290))</f>
        <v>#N/A</v>
      </c>
      <c r="H291" s="49">
        <f>IF(H$2="",NA(),C291*$B291+H290)</f>
        <v>263901.28387167951</v>
      </c>
      <c r="I291" s="49">
        <f>IF(I$2="",NA(),D291*$B291+I290)</f>
        <v>2455068.2522537974</v>
      </c>
      <c r="J291" s="49">
        <f>IF(J$2="",NA(),E291*$B291+J290)</f>
        <v>1151075.0115213522</v>
      </c>
      <c r="K291" s="49" t="e">
        <f>IF(K$2="",NA(),F291*$B291+K290)</f>
        <v>#N/A</v>
      </c>
    </row>
    <row r="292" spans="1:11" x14ac:dyDescent="0.4">
      <c r="A292" s="49">
        <v>289</v>
      </c>
      <c r="B292" s="49">
        <f>A292/$B$1</f>
        <v>12.041666666666666</v>
      </c>
      <c r="C292" s="49">
        <f>(('Input and Output'!B$23*'Input and Output'!$B$10)+('Input and Output'!B$24*Calculations!$C$5)+('Input and Output'!B$25*Calculations!$C$6)+('Input and Output'!B$26*(IF('Input and Output'!D$7="Detritus",Calculations!$C$4,G292))-(SUM('Input and Output'!B$27:B$32))*H291))</f>
        <v>58.405543703706144</v>
      </c>
      <c r="D292" s="49">
        <f>(('Input and Output'!C$23*'Input and Output'!$B$10)+('Input and Output'!C$24*Calculations!$C$5)+('Input and Output'!C$25*Calculations!$C$6)+('Input and Output'!C$26*(IF('Input and Output'!E$7="Detritus",Calculations!$C$4,H292))-(SUM('Input and Output'!C$27:C$32))*I291))</f>
        <v>502.7023993247949</v>
      </c>
      <c r="E292" s="49">
        <f>(('Input and Output'!D$23*'Input and Output'!$B$10)+('Input and Output'!D$24*Calculations!$C$5)+('Input and Output'!D$25*Calculations!$C$6)+('Input and Output'!D$26*(IF('Input and Output'!F$7="Detritus",Calculations!$C$4,I292))-(SUM('Input and Output'!D$27:D$32))*J291))</f>
        <v>224.74373797074441</v>
      </c>
      <c r="F292" s="49" t="e">
        <f>(('Input and Output'!E$23*'Input and Output'!$B$10)+('Input and Output'!E$24*Calculations!$C$5)+('Input and Output'!E$25*Calculations!$C$6)+('Input and Output'!E$26*(IF('Input and Output'!G$7="Detritus",Calculations!$C$4,J292))-(SUM('Input and Output'!E$27:E$32))*K291))</f>
        <v>#N/A</v>
      </c>
      <c r="H292" s="49">
        <f>IF(H$2="",NA(),C292*$B292+H291)</f>
        <v>264604.58396044496</v>
      </c>
      <c r="I292" s="49">
        <f>IF(I$2="",NA(),D292*$B292+I291)</f>
        <v>2461121.6269789999</v>
      </c>
      <c r="J292" s="49">
        <f>IF(J$2="",NA(),E292*$B292+J291)</f>
        <v>1153781.3006994165</v>
      </c>
      <c r="K292" s="49" t="e">
        <f>IF(K$2="",NA(),F292*$B292+K291)</f>
        <v>#N/A</v>
      </c>
    </row>
    <row r="293" spans="1:11" x14ac:dyDescent="0.4">
      <c r="A293" s="49">
        <v>290</v>
      </c>
      <c r="B293" s="49">
        <f>A293/$B$1</f>
        <v>12.083333333333334</v>
      </c>
      <c r="C293" s="49">
        <f>(('Input and Output'!B$23*'Input and Output'!$B$10)+('Input and Output'!B$24*Calculations!$C$5)+('Input and Output'!B$25*Calculations!$C$6)+('Input and Output'!B$26*(IF('Input and Output'!D$7="Detritus",Calculations!$C$4,G293))-(SUM('Input and Output'!B$27:B$32))*H292))</f>
        <v>57.727482169673578</v>
      </c>
      <c r="D293" s="49">
        <f>(('Input and Output'!C$23*'Input and Output'!$B$10)+('Input and Output'!C$24*Calculations!$C$5)+('Input and Output'!C$25*Calculations!$C$6)+('Input and Output'!C$26*(IF('Input and Output'!E$7="Detritus",Calculations!$C$4,H293))-(SUM('Input and Output'!C$27:C$32))*I292))</f>
        <v>496.78662085542419</v>
      </c>
      <c r="E293" s="49">
        <f>(('Input and Output'!D$23*'Input and Output'!$B$10)+('Input and Output'!D$24*Calculations!$C$5)+('Input and Output'!D$25*Calculations!$C$6)+('Input and Output'!D$26*(IF('Input and Output'!F$7="Detritus",Calculations!$C$4,I293))-(SUM('Input and Output'!D$27:D$32))*J292))</f>
        <v>222.08672373548688</v>
      </c>
      <c r="F293" s="49" t="e">
        <f>(('Input and Output'!E$23*'Input and Output'!$B$10)+('Input and Output'!E$24*Calculations!$C$5)+('Input and Output'!E$25*Calculations!$C$6)+('Input and Output'!E$26*(IF('Input and Output'!G$7="Detritus",Calculations!$C$4,J293))-(SUM('Input and Output'!E$27:E$32))*K292))</f>
        <v>#N/A</v>
      </c>
      <c r="H293" s="49">
        <f>IF(H$2="",NA(),C293*$B293+H292)</f>
        <v>265302.1243699952</v>
      </c>
      <c r="I293" s="49">
        <f>IF(I$2="",NA(),D293*$B293+I292)</f>
        <v>2467124.4653143361</v>
      </c>
      <c r="J293" s="49">
        <f>IF(J$2="",NA(),E293*$B293+J292)</f>
        <v>1156464.8486112203</v>
      </c>
      <c r="K293" s="49" t="e">
        <f>IF(K$2="",NA(),F293*$B293+K292)</f>
        <v>#N/A</v>
      </c>
    </row>
    <row r="294" spans="1:11" x14ac:dyDescent="0.4">
      <c r="A294" s="49">
        <v>291</v>
      </c>
      <c r="B294" s="49">
        <f>A294/$B$1</f>
        <v>12.125</v>
      </c>
      <c r="C294" s="49">
        <f>(('Input and Output'!B$23*'Input and Output'!$B$10)+('Input and Output'!B$24*Calculations!$C$5)+('Input and Output'!B$25*Calculations!$C$6)+('Input and Output'!B$26*(IF('Input and Output'!D$7="Detritus",Calculations!$C$4,G294))-(SUM('Input and Output'!B$27:B$32))*H293))</f>
        <v>57.054973623599636</v>
      </c>
      <c r="D294" s="49">
        <f>(('Input and Output'!C$23*'Input and Output'!$B$10)+('Input and Output'!C$24*Calculations!$C$5)+('Input and Output'!C$25*Calculations!$C$6)+('Input and Output'!C$26*(IF('Input and Output'!E$7="Detritus",Calculations!$C$4,H294))-(SUM('Input and Output'!C$27:C$32))*I293))</f>
        <v>490.92176687984374</v>
      </c>
      <c r="E294" s="49">
        <f>(('Input and Output'!D$23*'Input and Output'!$B$10)+('Input and Output'!D$24*Calculations!$C$5)+('Input and Output'!D$25*Calculations!$C$6)+('Input and Output'!D$26*(IF('Input and Output'!F$7="Detritus",Calculations!$C$4,I294))-(SUM('Input and Output'!D$27:D$32))*J293))</f>
        <v>219.45279752203714</v>
      </c>
      <c r="F294" s="49" t="e">
        <f>(('Input and Output'!E$23*'Input and Output'!$B$10)+('Input and Output'!E$24*Calculations!$C$5)+('Input and Output'!E$25*Calculations!$C$6)+('Input and Output'!E$26*(IF('Input and Output'!G$7="Detritus",Calculations!$C$4,J294))-(SUM('Input and Output'!E$27:E$32))*K293))</f>
        <v>#N/A</v>
      </c>
      <c r="H294" s="49">
        <f>IF(H$2="",NA(),C294*$B294+H293)</f>
        <v>265993.91592518135</v>
      </c>
      <c r="I294" s="49">
        <f>IF(I$2="",NA(),D294*$B294+I293)</f>
        <v>2473076.8917377545</v>
      </c>
      <c r="J294" s="49">
        <f>IF(J$2="",NA(),E294*$B294+J293)</f>
        <v>1159125.713781175</v>
      </c>
      <c r="K294" s="49" t="e">
        <f>IF(K$2="",NA(),F294*$B294+K293)</f>
        <v>#N/A</v>
      </c>
    </row>
    <row r="295" spans="1:11" x14ac:dyDescent="0.4">
      <c r="A295" s="49">
        <v>292</v>
      </c>
      <c r="B295" s="49">
        <f>A295/$B$1</f>
        <v>12.166666666666666</v>
      </c>
      <c r="C295" s="49">
        <f>(('Input and Output'!B$23*'Input and Output'!$B$10)+('Input and Output'!B$24*Calculations!$C$5)+('Input and Output'!B$25*Calculations!$C$6)+('Input and Output'!B$26*(IF('Input and Output'!D$7="Detritus",Calculations!$C$4,G295))-(SUM('Input and Output'!B$27:B$32))*H294))</f>
        <v>56.38800762909267</v>
      </c>
      <c r="D295" s="49">
        <f>(('Input and Output'!C$23*'Input and Output'!$B$10)+('Input and Output'!C$24*Calculations!$C$5)+('Input and Output'!C$25*Calculations!$C$6)+('Input and Output'!C$26*(IF('Input and Output'!E$7="Detritus",Calculations!$C$4,H295))-(SUM('Input and Output'!C$27:C$32))*I294))</f>
        <v>485.10765488913876</v>
      </c>
      <c r="E295" s="49">
        <f>(('Input and Output'!D$23*'Input and Output'!$B$10)+('Input and Output'!D$24*Calculations!$C$5)+('Input and Output'!D$25*Calculations!$C$6)+('Input and Output'!D$26*(IF('Input and Output'!F$7="Detritus",Calculations!$C$4,I295))-(SUM('Input and Output'!D$27:D$32))*J294))</f>
        <v>216.84187231708711</v>
      </c>
      <c r="F295" s="49" t="e">
        <f>(('Input and Output'!E$23*'Input and Output'!$B$10)+('Input and Output'!E$24*Calculations!$C$5)+('Input and Output'!E$25*Calculations!$C$6)+('Input and Output'!E$26*(IF('Input and Output'!G$7="Detritus",Calculations!$C$4,J295))-(SUM('Input and Output'!E$27:E$32))*K294))</f>
        <v>#N/A</v>
      </c>
      <c r="H295" s="49">
        <f>IF(H$2="",NA(),C295*$B295+H294)</f>
        <v>266679.97001800197</v>
      </c>
      <c r="I295" s="49">
        <f>IF(I$2="",NA(),D295*$B295+I294)</f>
        <v>2478979.034872239</v>
      </c>
      <c r="J295" s="49">
        <f>IF(J$2="",NA(),E295*$B295+J294)</f>
        <v>1161763.9565610329</v>
      </c>
      <c r="K295" s="49" t="e">
        <f>IF(K$2="",NA(),F295*$B295+K294)</f>
        <v>#N/A</v>
      </c>
    </row>
    <row r="296" spans="1:11" x14ac:dyDescent="0.4">
      <c r="A296" s="49">
        <v>293</v>
      </c>
      <c r="B296" s="49">
        <f>A296/$B$1</f>
        <v>12.208333333333334</v>
      </c>
      <c r="C296" s="49">
        <f>(('Input and Output'!B$23*'Input and Output'!$B$10)+('Input and Output'!B$24*Calculations!$C$5)+('Input and Output'!B$25*Calculations!$C$6)+('Input and Output'!B$26*(IF('Input and Output'!D$7="Detritus",Calculations!$C$4,G296))-(SUM('Input and Output'!B$27:B$32))*H295))</f>
        <v>55.726573202966222</v>
      </c>
      <c r="D296" s="49">
        <f>(('Input and Output'!C$23*'Input and Output'!$B$10)+('Input and Output'!C$24*Calculations!$C$5)+('Input and Output'!C$25*Calculations!$C$6)+('Input and Output'!C$26*(IF('Input and Output'!E$7="Detritus",Calculations!$C$4,H296))-(SUM('Input and Output'!C$27:C$32))*I295))</f>
        <v>479.34409999556283</v>
      </c>
      <c r="E296" s="49">
        <f>(('Input and Output'!D$23*'Input and Output'!$B$10)+('Input and Output'!D$24*Calculations!$C$5)+('Input and Output'!D$25*Calculations!$C$6)+('Input and Output'!D$26*(IF('Input and Output'!F$7="Detritus",Calculations!$C$4,I296))-(SUM('Input and Output'!D$27:D$32))*J295))</f>
        <v>214.25386011621958</v>
      </c>
      <c r="F296" s="49" t="e">
        <f>(('Input and Output'!E$23*'Input and Output'!$B$10)+('Input and Output'!E$24*Calculations!$C$5)+('Input and Output'!E$25*Calculations!$C$6)+('Input and Output'!E$26*(IF('Input and Output'!G$7="Detritus",Calculations!$C$4,J296))-(SUM('Input and Output'!E$27:E$32))*K295))</f>
        <v>#N/A</v>
      </c>
      <c r="H296" s="49">
        <f>IF(H$2="",NA(),C296*$B296+H295)</f>
        <v>267360.29859918816</v>
      </c>
      <c r="I296" s="49">
        <f>IF(I$2="",NA(),D296*$B296+I295)</f>
        <v>2484831.0274263513</v>
      </c>
      <c r="J296" s="49">
        <f>IF(J$2="",NA(),E296*$B296+J295)</f>
        <v>1164379.639103285</v>
      </c>
      <c r="K296" s="49" t="e">
        <f>IF(K$2="",NA(),F296*$B296+K295)</f>
        <v>#N/A</v>
      </c>
    </row>
    <row r="297" spans="1:11" x14ac:dyDescent="0.4">
      <c r="A297" s="49">
        <v>294</v>
      </c>
      <c r="B297" s="49">
        <f>A297/$B$1</f>
        <v>12.25</v>
      </c>
      <c r="C297" s="49">
        <f>(('Input and Output'!B$23*'Input and Output'!$B$10)+('Input and Output'!B$24*Calculations!$C$5)+('Input and Output'!B$25*Calculations!$C$6)+('Input and Output'!B$26*(IF('Input and Output'!D$7="Detritus",Calculations!$C$4,G297))-(SUM('Input and Output'!B$27:B$32))*H296))</f>
        <v>55.070658823351891</v>
      </c>
      <c r="D297" s="49">
        <f>(('Input and Output'!C$23*'Input and Output'!$B$10)+('Input and Output'!C$24*Calculations!$C$5)+('Input and Output'!C$25*Calculations!$C$6)+('Input and Output'!C$26*(IF('Input and Output'!E$7="Detritus",Calculations!$C$4,H297))-(SUM('Input and Output'!C$27:C$32))*I296))</f>
        <v>473.6309149581075</v>
      </c>
      <c r="E297" s="49">
        <f>(('Input and Output'!D$23*'Input and Output'!$B$10)+('Input and Output'!D$24*Calculations!$C$5)+('Input and Output'!D$25*Calculations!$C$6)+('Input and Output'!D$26*(IF('Input and Output'!F$7="Detritus",Calculations!$C$4,I297))-(SUM('Input and Output'!D$27:D$32))*J296))</f>
        <v>211.68867193419646</v>
      </c>
      <c r="F297" s="49" t="e">
        <f>(('Input and Output'!E$23*'Input and Output'!$B$10)+('Input and Output'!E$24*Calculations!$C$5)+('Input and Output'!E$25*Calculations!$C$6)+('Input and Output'!E$26*(IF('Input and Output'!G$7="Detritus",Calculations!$C$4,J297))-(SUM('Input and Output'!E$27:E$32))*K296))</f>
        <v>#N/A</v>
      </c>
      <c r="H297" s="49">
        <f>IF(H$2="",NA(),C297*$B297+H296)</f>
        <v>268034.91416977422</v>
      </c>
      <c r="I297" s="49">
        <f>IF(I$2="",NA(),D297*$B297+I296)</f>
        <v>2490633.0061345883</v>
      </c>
      <c r="J297" s="49">
        <f>IF(J$2="",NA(),E297*$B297+J296)</f>
        <v>1166972.8253344789</v>
      </c>
      <c r="K297" s="49" t="e">
        <f>IF(K$2="",NA(),F297*$B297+K296)</f>
        <v>#N/A</v>
      </c>
    </row>
    <row r="298" spans="1:11" x14ac:dyDescent="0.4">
      <c r="A298" s="49">
        <v>295</v>
      </c>
      <c r="B298" s="49">
        <f>A298/$B$1</f>
        <v>12.291666666666666</v>
      </c>
      <c r="C298" s="49">
        <f>(('Input and Output'!B$23*'Input and Output'!$B$10)+('Input and Output'!B$24*Calculations!$C$5)+('Input and Output'!B$25*Calculations!$C$6)+('Input and Output'!B$26*(IF('Input and Output'!D$7="Detritus",Calculations!$C$4,G298))-(SUM('Input and Output'!B$27:B$32))*H297))</f>
        <v>54.420252437826207</v>
      </c>
      <c r="D298" s="49">
        <f>(('Input and Output'!C$23*'Input and Output'!$B$10)+('Input and Output'!C$24*Calculations!$C$5)+('Input and Output'!C$25*Calculations!$C$6)+('Input and Output'!C$26*(IF('Input and Output'!E$7="Detritus",Calculations!$C$4,H298))-(SUM('Input and Output'!C$27:C$32))*I297))</f>
        <v>467.96791020844375</v>
      </c>
      <c r="E298" s="49">
        <f>(('Input and Output'!D$23*'Input and Output'!$B$10)+('Input and Output'!D$24*Calculations!$C$5)+('Input and Output'!D$25*Calculations!$C$6)+('Input and Output'!D$26*(IF('Input and Output'!F$7="Detritus",Calculations!$C$4,I298))-(SUM('Input and Output'!D$27:D$32))*J297))</f>
        <v>209.14621781548703</v>
      </c>
      <c r="F298" s="49" t="e">
        <f>(('Input and Output'!E$23*'Input and Output'!$B$10)+('Input and Output'!E$24*Calculations!$C$5)+('Input and Output'!E$25*Calculations!$C$6)+('Input and Output'!E$26*(IF('Input and Output'!G$7="Detritus",Calculations!$C$4,J298))-(SUM('Input and Output'!E$27:E$32))*K297))</f>
        <v>#N/A</v>
      </c>
      <c r="H298" s="49">
        <f>IF(H$2="",NA(),C298*$B298+H297)</f>
        <v>268703.82977265585</v>
      </c>
      <c r="I298" s="49">
        <f>IF(I$2="",NA(),D298*$B298+I297)</f>
        <v>2496385.1116975672</v>
      </c>
      <c r="J298" s="49">
        <f>IF(J$2="",NA(),E298*$B298+J297)</f>
        <v>1169543.5809284609</v>
      </c>
      <c r="K298" s="49" t="e">
        <f>IF(K$2="",NA(),F298*$B298+K297)</f>
        <v>#N/A</v>
      </c>
    </row>
    <row r="299" spans="1:11" x14ac:dyDescent="0.4">
      <c r="A299" s="49">
        <v>296</v>
      </c>
      <c r="B299" s="49">
        <f>A299/$B$1</f>
        <v>12.333333333333334</v>
      </c>
      <c r="C299" s="49">
        <f>(('Input and Output'!B$23*'Input and Output'!$B$10)+('Input and Output'!B$24*Calculations!$C$5)+('Input and Output'!B$25*Calculations!$C$6)+('Input and Output'!B$26*(IF('Input and Output'!D$7="Detritus",Calculations!$C$4,G299))-(SUM('Input and Output'!B$27:B$32))*H298))</f>
        <v>53.775341471549496</v>
      </c>
      <c r="D299" s="49">
        <f>(('Input and Output'!C$23*'Input and Output'!$B$10)+('Input and Output'!C$24*Calculations!$C$5)+('Input and Output'!C$25*Calculations!$C$6)+('Input and Output'!C$26*(IF('Input and Output'!E$7="Detritus",Calculations!$C$4,H299))-(SUM('Input and Output'!C$27:C$32))*I298))</f>
        <v>462.35489387722009</v>
      </c>
      <c r="E299" s="49">
        <f>(('Input and Output'!D$23*'Input and Output'!$B$10)+('Input and Output'!D$24*Calculations!$C$5)+('Input and Output'!D$25*Calculations!$C$6)+('Input and Output'!D$26*(IF('Input and Output'!F$7="Detritus",Calculations!$C$4,I299))-(SUM('Input and Output'!D$27:D$32))*J298))</f>
        <v>206.62640684510916</v>
      </c>
      <c r="F299" s="49" t="e">
        <f>(('Input and Output'!E$23*'Input and Output'!$B$10)+('Input and Output'!E$24*Calculations!$C$5)+('Input and Output'!E$25*Calculations!$C$6)+('Input and Output'!E$26*(IF('Input and Output'!G$7="Detritus",Calculations!$C$4,J299))-(SUM('Input and Output'!E$27:E$32))*K298))</f>
        <v>#N/A</v>
      </c>
      <c r="H299" s="49">
        <f>IF(H$2="",NA(),C299*$B299+H298)</f>
        <v>269367.0589841383</v>
      </c>
      <c r="I299" s="49">
        <f>IF(I$2="",NA(),D299*$B299+I298)</f>
        <v>2502087.4887220529</v>
      </c>
      <c r="J299" s="49">
        <f>IF(J$2="",NA(),E299*$B299+J298)</f>
        <v>1172091.9732795507</v>
      </c>
      <c r="K299" s="49" t="e">
        <f>IF(K$2="",NA(),F299*$B299+K298)</f>
        <v>#N/A</v>
      </c>
    </row>
    <row r="300" spans="1:11" x14ac:dyDescent="0.4">
      <c r="A300" s="49">
        <v>297</v>
      </c>
      <c r="B300" s="49">
        <f>A300/$B$1</f>
        <v>12.375</v>
      </c>
      <c r="C300" s="49">
        <f>(('Input and Output'!B$23*'Input and Output'!$B$10)+('Input and Output'!B$24*Calculations!$C$5)+('Input and Output'!B$25*Calculations!$C$6)+('Input and Output'!B$26*(IF('Input and Output'!D$7="Detritus",Calculations!$C$4,G300))-(SUM('Input and Output'!B$27:B$32))*H299))</f>
        <v>53.135912835414388</v>
      </c>
      <c r="D300" s="49">
        <f>(('Input and Output'!C$23*'Input and Output'!$B$10)+('Input and Output'!C$24*Calculations!$C$5)+('Input and Output'!C$25*Calculations!$C$6)+('Input and Output'!C$26*(IF('Input and Output'!E$7="Detritus",Calculations!$C$4,H300))-(SUM('Input and Output'!C$27:C$32))*I299))</f>
        <v>456.79167182074161</v>
      </c>
      <c r="E300" s="49">
        <f>(('Input and Output'!D$23*'Input and Output'!$B$10)+('Input and Output'!D$24*Calculations!$C$5)+('Input and Output'!D$25*Calculations!$C$6)+('Input and Output'!D$26*(IF('Input and Output'!F$7="Detritus",Calculations!$C$4,I300))-(SUM('Input and Output'!D$27:D$32))*J299))</f>
        <v>204.12914715957231</v>
      </c>
      <c r="F300" s="49" t="e">
        <f>(('Input and Output'!E$23*'Input and Output'!$B$10)+('Input and Output'!E$24*Calculations!$C$5)+('Input and Output'!E$25*Calculations!$C$6)+('Input and Output'!E$26*(IF('Input and Output'!G$7="Detritus",Calculations!$C$4,J300))-(SUM('Input and Output'!E$27:E$32))*K299))</f>
        <v>#N/A</v>
      </c>
      <c r="H300" s="49">
        <f>IF(H$2="",NA(),C300*$B300+H299)</f>
        <v>270024.61590547656</v>
      </c>
      <c r="I300" s="49">
        <f>IF(I$2="",NA(),D300*$B300+I299)</f>
        <v>2507740.2856608345</v>
      </c>
      <c r="J300" s="49">
        <f>IF(J$2="",NA(),E300*$B300+J299)</f>
        <v>1174618.0714756504</v>
      </c>
      <c r="K300" s="49" t="e">
        <f>IF(K$2="",NA(),F300*$B300+K299)</f>
        <v>#N/A</v>
      </c>
    </row>
    <row r="301" spans="1:11" x14ac:dyDescent="0.4">
      <c r="A301" s="49">
        <v>298</v>
      </c>
      <c r="B301" s="49">
        <f>A301/$B$1</f>
        <v>12.416666666666666</v>
      </c>
      <c r="C301" s="49">
        <f>(('Input and Output'!B$23*'Input and Output'!$B$10)+('Input and Output'!B$24*Calculations!$C$5)+('Input and Output'!B$25*Calculations!$C$6)+('Input and Output'!B$26*(IF('Input and Output'!D$7="Detritus",Calculations!$C$4,G301))-(SUM('Input and Output'!B$27:B$32))*H300))</f>
        <v>52.501952934202109</v>
      </c>
      <c r="D301" s="49">
        <f>(('Input and Output'!C$23*'Input and Output'!$B$10)+('Input and Output'!C$24*Calculations!$C$5)+('Input and Output'!C$25*Calculations!$C$6)+('Input and Output'!C$26*(IF('Input and Output'!E$7="Detritus",Calculations!$C$4,H301))-(SUM('Input and Output'!C$27:C$32))*I300))</f>
        <v>451.27804764801385</v>
      </c>
      <c r="E301" s="49">
        <f>(('Input and Output'!D$23*'Input and Output'!$B$10)+('Input and Output'!D$24*Calculations!$C$5)+('Input and Output'!D$25*Calculations!$C$6)+('Input and Output'!D$26*(IF('Input and Output'!F$7="Detritus",Calculations!$C$4,I301))-(SUM('Input and Output'!D$27:D$32))*J300))</f>
        <v>201.65434595794432</v>
      </c>
      <c r="F301" s="49" t="e">
        <f>(('Input and Output'!E$23*'Input and Output'!$B$10)+('Input and Output'!E$24*Calculations!$C$5)+('Input and Output'!E$25*Calculations!$C$6)+('Input and Output'!E$26*(IF('Input and Output'!G$7="Detritus",Calculations!$C$4,J301))-(SUM('Input and Output'!E$27:E$32))*K300))</f>
        <v>#N/A</v>
      </c>
      <c r="H301" s="49">
        <f>IF(H$2="",NA(),C301*$B301+H300)</f>
        <v>270676.51515440957</v>
      </c>
      <c r="I301" s="49">
        <f>IF(I$2="",NA(),D301*$B301+I300)</f>
        <v>2513343.654752464</v>
      </c>
      <c r="J301" s="49">
        <f>IF(J$2="",NA(),E301*$B301+J300)</f>
        <v>1177121.946271295</v>
      </c>
      <c r="K301" s="49" t="e">
        <f>IF(K$2="",NA(),F301*$B301+K300)</f>
        <v>#N/A</v>
      </c>
    </row>
    <row r="302" spans="1:11" x14ac:dyDescent="0.4">
      <c r="A302" s="49">
        <v>299</v>
      </c>
      <c r="B302" s="49">
        <f>A302/$B$1</f>
        <v>12.458333333333334</v>
      </c>
      <c r="C302" s="49">
        <f>(('Input and Output'!B$23*'Input and Output'!$B$10)+('Input and Output'!B$24*Calculations!$C$5)+('Input and Output'!B$25*Calculations!$C$6)+('Input and Output'!B$26*(IF('Input and Output'!D$7="Detritus",Calculations!$C$4,G302))-(SUM('Input and Output'!B$27:B$32))*H301))</f>
        <v>51.873447674744341</v>
      </c>
      <c r="D302" s="49">
        <f>(('Input and Output'!C$23*'Input and Output'!$B$10)+('Input and Output'!C$24*Calculations!$C$5)+('Input and Output'!C$25*Calculations!$C$6)+('Input and Output'!C$26*(IF('Input and Output'!E$7="Detritus",Calculations!$C$4,H302))-(SUM('Input and Output'!C$27:C$32))*I301))</f>
        <v>445.81382274819134</v>
      </c>
      <c r="E302" s="49">
        <f>(('Input and Output'!D$23*'Input and Output'!$B$10)+('Input and Output'!D$24*Calculations!$C$5)+('Input and Output'!D$25*Calculations!$C$6)+('Input and Output'!D$26*(IF('Input and Output'!F$7="Detritus",Calculations!$C$4,I302))-(SUM('Input and Output'!D$27:D$32))*J301))</f>
        <v>199.20190951326003</v>
      </c>
      <c r="F302" s="49" t="e">
        <f>(('Input and Output'!E$23*'Input and Output'!$B$10)+('Input and Output'!E$24*Calculations!$C$5)+('Input and Output'!E$25*Calculations!$C$6)+('Input and Output'!E$26*(IF('Input and Output'!G$7="Detritus",Calculations!$C$4,J302))-(SUM('Input and Output'!E$27:E$32))*K301))</f>
        <v>#N/A</v>
      </c>
      <c r="H302" s="49">
        <f>IF(H$2="",NA(),C302*$B302+H301)</f>
        <v>271322.77185669076</v>
      </c>
      <c r="I302" s="49">
        <f>IF(I$2="",NA(),D302*$B302+I301)</f>
        <v>2518897.7519608685</v>
      </c>
      <c r="J302" s="49">
        <f>IF(J$2="",NA(),E302*$B302+J301)</f>
        <v>1179603.6700606477</v>
      </c>
      <c r="K302" s="49" t="e">
        <f>IF(K$2="",NA(),F302*$B302+K301)</f>
        <v>#N/A</v>
      </c>
    </row>
    <row r="303" spans="1:11" x14ac:dyDescent="0.4">
      <c r="A303" s="49">
        <v>300</v>
      </c>
      <c r="B303" s="49">
        <f>A303/$B$1</f>
        <v>12.5</v>
      </c>
      <c r="C303" s="49">
        <f>(('Input and Output'!B$23*'Input and Output'!$B$10)+('Input and Output'!B$24*Calculations!$C$5)+('Input and Output'!B$25*Calculations!$C$6)+('Input and Output'!B$26*(IF('Input and Output'!D$7="Detritus",Calculations!$C$4,G303))-(SUM('Input and Output'!B$27:B$32))*H302))</f>
        <v>51.250382474088951</v>
      </c>
      <c r="D303" s="49">
        <f>(('Input and Output'!C$23*'Input and Output'!$B$10)+('Input and Output'!C$24*Calculations!$C$5)+('Input and Output'!C$25*Calculations!$C$6)+('Input and Output'!C$26*(IF('Input and Output'!E$7="Detritus",Calculations!$C$4,H303))-(SUM('Input and Output'!C$27:C$32))*I302))</f>
        <v>440.39879631840085</v>
      </c>
      <c r="E303" s="49">
        <f>(('Input and Output'!D$23*'Input and Output'!$B$10)+('Input and Output'!D$24*Calculations!$C$5)+('Input and Output'!D$25*Calculations!$C$6)+('Input and Output'!D$26*(IF('Input and Output'!F$7="Detritus",Calculations!$C$4,I303))-(SUM('Input and Output'!D$27:D$32))*J302))</f>
        <v>196.77174318395919</v>
      </c>
      <c r="F303" s="49" t="e">
        <f>(('Input and Output'!E$23*'Input and Output'!$B$10)+('Input and Output'!E$24*Calculations!$C$5)+('Input and Output'!E$25*Calculations!$C$6)+('Input and Output'!E$26*(IF('Input and Output'!G$7="Detritus",Calculations!$C$4,J303))-(SUM('Input and Output'!E$27:E$32))*K302))</f>
        <v>#N/A</v>
      </c>
      <c r="H303" s="49">
        <f>IF(H$2="",NA(),C303*$B303+H302)</f>
        <v>271963.40163761686</v>
      </c>
      <c r="I303" s="49">
        <f>IF(I$2="",NA(),D303*$B303+I302)</f>
        <v>2524402.7369148484</v>
      </c>
      <c r="J303" s="49">
        <f>IF(J$2="",NA(),E303*$B303+J302)</f>
        <v>1182063.3168504471</v>
      </c>
      <c r="K303" s="49" t="e">
        <f>IF(K$2="",NA(),F303*$B303+K302)</f>
        <v>#N/A</v>
      </c>
    </row>
    <row r="304" spans="1:11" x14ac:dyDescent="0.4">
      <c r="A304" s="49">
        <v>301</v>
      </c>
      <c r="B304" s="49">
        <f>A304/$B$1</f>
        <v>12.541666666666666</v>
      </c>
      <c r="C304" s="49">
        <f>(('Input and Output'!B$23*'Input and Output'!$B$10)+('Input and Output'!B$24*Calculations!$C$5)+('Input and Output'!B$25*Calculations!$C$6)+('Input and Output'!B$26*(IF('Input and Output'!D$7="Detritus",Calculations!$C$4,G304))-(SUM('Input and Output'!B$27:B$32))*H303))</f>
        <v>50.63274226766697</v>
      </c>
      <c r="D304" s="49">
        <f>(('Input and Output'!C$23*'Input and Output'!$B$10)+('Input and Output'!C$24*Calculations!$C$5)+('Input and Output'!C$25*Calculations!$C$6)+('Input and Output'!C$26*(IF('Input and Output'!E$7="Detritus",Calculations!$C$4,H304))-(SUM('Input and Output'!C$27:C$32))*I303))</f>
        <v>435.03276539196031</v>
      </c>
      <c r="E304" s="49">
        <f>(('Input and Output'!D$23*'Input and Output'!$B$10)+('Input and Output'!D$24*Calculations!$C$5)+('Input and Output'!D$25*Calculations!$C$6)+('Input and Output'!D$26*(IF('Input and Output'!F$7="Detritus",Calculations!$C$4,I304))-(SUM('Input and Output'!D$27:D$32))*J303))</f>
        <v>194.36375142566612</v>
      </c>
      <c r="F304" s="49" t="e">
        <f>(('Input and Output'!E$23*'Input and Output'!$B$10)+('Input and Output'!E$24*Calculations!$C$5)+('Input and Output'!E$25*Calculations!$C$6)+('Input and Output'!E$26*(IF('Input and Output'!G$7="Detritus",Calculations!$C$4,J304))-(SUM('Input and Output'!E$27:E$32))*K303))</f>
        <v>#N/A</v>
      </c>
      <c r="H304" s="49">
        <f>IF(H$2="",NA(),C304*$B304+H303)</f>
        <v>272598.42061355716</v>
      </c>
      <c r="I304" s="49">
        <f>IF(I$2="",NA(),D304*$B304+I303)</f>
        <v>2529858.7728474727</v>
      </c>
      <c r="J304" s="49">
        <f>IF(J$2="",NA(),E304*$B304+J303)</f>
        <v>1184500.9622329106</v>
      </c>
      <c r="K304" s="49" t="e">
        <f>IF(K$2="",NA(),F304*$B304+K303)</f>
        <v>#N/A</v>
      </c>
    </row>
    <row r="305" spans="1:11" x14ac:dyDescent="0.4">
      <c r="A305" s="49">
        <v>302</v>
      </c>
      <c r="B305" s="49">
        <f>A305/$B$1</f>
        <v>12.583333333333334</v>
      </c>
      <c r="C305" s="49">
        <f>(('Input and Output'!B$23*'Input and Output'!$B$10)+('Input and Output'!B$24*Calculations!$C$5)+('Input and Output'!B$25*Calculations!$C$6)+('Input and Output'!B$26*(IF('Input and Output'!D$7="Detritus",Calculations!$C$4,G305))-(SUM('Input and Output'!B$27:B$32))*H304))</f>
        <v>50.020511517459511</v>
      </c>
      <c r="D305" s="49">
        <f>(('Input and Output'!C$23*'Input and Output'!$B$10)+('Input and Output'!C$24*Calculations!$C$5)+('Input and Output'!C$25*Calculations!$C$6)+('Input and Output'!C$26*(IF('Input and Output'!E$7="Detritus",Calculations!$C$4,H305))-(SUM('Input and Output'!C$27:C$32))*I304))</f>
        <v>429.71552486699693</v>
      </c>
      <c r="E305" s="49">
        <f>(('Input and Output'!D$23*'Input and Output'!$B$10)+('Input and Output'!D$24*Calculations!$C$5)+('Input and Output'!D$25*Calculations!$C$6)+('Input and Output'!D$26*(IF('Input and Output'!F$7="Detritus",Calculations!$C$4,I305))-(SUM('Input and Output'!D$27:D$32))*J304))</f>
        <v>191.97783780304235</v>
      </c>
      <c r="F305" s="49" t="e">
        <f>(('Input and Output'!E$23*'Input and Output'!$B$10)+('Input and Output'!E$24*Calculations!$C$5)+('Input and Output'!E$25*Calculations!$C$6)+('Input and Output'!E$26*(IF('Input and Output'!G$7="Detritus",Calculations!$C$4,J305))-(SUM('Input and Output'!E$27:E$32))*K304))</f>
        <v>#N/A</v>
      </c>
      <c r="H305" s="49">
        <f>IF(H$2="",NA(),C305*$B305+H304)</f>
        <v>273227.8453834852</v>
      </c>
      <c r="I305" s="49">
        <f>IF(I$2="",NA(),D305*$B305+I304)</f>
        <v>2535266.0265353825</v>
      </c>
      <c r="J305" s="49">
        <f>IF(J$2="",NA(),E305*$B305+J304)</f>
        <v>1186916.6833585987</v>
      </c>
      <c r="K305" s="49" t="e">
        <f>IF(K$2="",NA(),F305*$B305+K304)</f>
        <v>#N/A</v>
      </c>
    </row>
    <row r="306" spans="1:11" x14ac:dyDescent="0.4">
      <c r="A306" s="49">
        <v>303</v>
      </c>
      <c r="B306" s="49">
        <f>A306/$B$1</f>
        <v>12.625</v>
      </c>
      <c r="C306" s="49">
        <f>(('Input and Output'!B$23*'Input and Output'!$B$10)+('Input and Output'!B$24*Calculations!$C$5)+('Input and Output'!B$25*Calculations!$C$6)+('Input and Output'!B$26*(IF('Input and Output'!D$7="Detritus",Calculations!$C$4,G306))-(SUM('Input and Output'!B$27:B$32))*H305))</f>
        <v>49.413674220162022</v>
      </c>
      <c r="D306" s="49">
        <f>(('Input and Output'!C$23*'Input and Output'!$B$10)+('Input and Output'!C$24*Calculations!$C$5)+('Input and Output'!C$25*Calculations!$C$6)+('Input and Output'!C$26*(IF('Input and Output'!E$7="Detritus",Calculations!$C$4,H306))-(SUM('Input and Output'!C$27:C$32))*I305))</f>
        <v>424.44686753546011</v>
      </c>
      <c r="E306" s="49">
        <f>(('Input and Output'!D$23*'Input and Output'!$B$10)+('Input and Output'!D$24*Calculations!$C$5)+('Input and Output'!D$25*Calculations!$C$6)+('Input and Output'!D$26*(IF('Input and Output'!F$7="Detritus",Calculations!$C$4,I306))-(SUM('Input and Output'!D$27:D$32))*J305))</f>
        <v>189.61390500186462</v>
      </c>
      <c r="F306" s="49" t="e">
        <f>(('Input and Output'!E$23*'Input and Output'!$B$10)+('Input and Output'!E$24*Calculations!$C$5)+('Input and Output'!E$25*Calculations!$C$6)+('Input and Output'!E$26*(IF('Input and Output'!G$7="Detritus",Calculations!$C$4,J306))-(SUM('Input and Output'!E$27:E$32))*K305))</f>
        <v>#N/A</v>
      </c>
      <c r="H306" s="49">
        <f>IF(H$2="",NA(),C306*$B306+H305)</f>
        <v>273851.69302051474</v>
      </c>
      <c r="I306" s="49">
        <f>IF(I$2="",NA(),D306*$B306+I305)</f>
        <v>2540624.6682380177</v>
      </c>
      <c r="J306" s="49">
        <f>IF(J$2="",NA(),E306*$B306+J305)</f>
        <v>1189310.5589092472</v>
      </c>
      <c r="K306" s="49" t="e">
        <f>IF(K$2="",NA(),F306*$B306+K305)</f>
        <v>#N/A</v>
      </c>
    </row>
    <row r="307" spans="1:11" x14ac:dyDescent="0.4">
      <c r="A307" s="49">
        <v>304</v>
      </c>
      <c r="B307" s="49">
        <f>A307/$B$1</f>
        <v>12.666666666666666</v>
      </c>
      <c r="C307" s="49">
        <f>(('Input and Output'!B$23*'Input and Output'!$B$10)+('Input and Output'!B$24*Calculations!$C$5)+('Input and Output'!B$25*Calculations!$C$6)+('Input and Output'!B$26*(IF('Input and Output'!D$7="Detritus",Calculations!$C$4,G307))-(SUM('Input and Output'!B$27:B$32))*H306))</f>
        <v>48.812213915344842</v>
      </c>
      <c r="D307" s="49">
        <f>(('Input and Output'!C$23*'Input and Output'!$B$10)+('Input and Output'!C$24*Calculations!$C$5)+('Input and Output'!C$25*Calculations!$C$6)+('Input and Output'!C$26*(IF('Input and Output'!E$7="Detritus",Calculations!$C$4,H307))-(SUM('Input and Output'!C$27:C$32))*I306))</f>
        <v>419.22658411252087</v>
      </c>
      <c r="E307" s="49">
        <f>(('Input and Output'!D$23*'Input and Output'!$B$10)+('Input and Output'!D$24*Calculations!$C$5)+('Input and Output'!D$25*Calculations!$C$6)+('Input and Output'!D$26*(IF('Input and Output'!F$7="Detritus",Calculations!$C$4,I307))-(SUM('Input and Output'!D$27:D$32))*J306))</f>
        <v>187.27185484146685</v>
      </c>
      <c r="F307" s="49" t="e">
        <f>(('Input and Output'!E$23*'Input and Output'!$B$10)+('Input and Output'!E$24*Calculations!$C$5)+('Input and Output'!E$25*Calculations!$C$6)+('Input and Output'!E$26*(IF('Input and Output'!G$7="Detritus",Calculations!$C$4,J307))-(SUM('Input and Output'!E$27:E$32))*K306))</f>
        <v>#N/A</v>
      </c>
      <c r="H307" s="49">
        <f>IF(H$2="",NA(),C307*$B307+H306)</f>
        <v>274469.98106344242</v>
      </c>
      <c r="I307" s="49">
        <f>IF(I$2="",NA(),D307*$B307+I306)</f>
        <v>2545934.8716367763</v>
      </c>
      <c r="J307" s="49">
        <f>IF(J$2="",NA(),E307*$B307+J306)</f>
        <v>1191682.6690705724</v>
      </c>
      <c r="K307" s="49" t="e">
        <f>IF(K$2="",NA(),F307*$B307+K306)</f>
        <v>#N/A</v>
      </c>
    </row>
    <row r="308" spans="1:11" x14ac:dyDescent="0.4">
      <c r="A308" s="49">
        <v>305</v>
      </c>
      <c r="B308" s="49">
        <f>A308/$B$1</f>
        <v>12.708333333333334</v>
      </c>
      <c r="C308" s="49">
        <f>(('Input and Output'!B$23*'Input and Output'!$B$10)+('Input and Output'!B$24*Calculations!$C$5)+('Input and Output'!B$25*Calculations!$C$6)+('Input and Output'!B$26*(IF('Input and Output'!D$7="Detritus",Calculations!$C$4,G308))-(SUM('Input and Output'!B$27:B$32))*H307))</f>
        <v>48.216113693606701</v>
      </c>
      <c r="D308" s="49">
        <f>(('Input and Output'!C$23*'Input and Output'!$B$10)+('Input and Output'!C$24*Calculations!$C$5)+('Input and Output'!C$25*Calculations!$C$6)+('Input and Output'!C$26*(IF('Input and Output'!E$7="Detritus",Calculations!$C$4,H308))-(SUM('Input and Output'!C$27:C$32))*I307))</f>
        <v>414.05446326637684</v>
      </c>
      <c r="E308" s="49">
        <f>(('Input and Output'!D$23*'Input and Output'!$B$10)+('Input and Output'!D$24*Calculations!$C$5)+('Input and Output'!D$25*Calculations!$C$6)+('Input and Output'!D$26*(IF('Input and Output'!F$7="Detritus",Calculations!$C$4,I308))-(SUM('Input and Output'!D$27:D$32))*J307))</f>
        <v>184.95158828702188</v>
      </c>
      <c r="F308" s="49" t="e">
        <f>(('Input and Output'!E$23*'Input and Output'!$B$10)+('Input and Output'!E$24*Calculations!$C$5)+('Input and Output'!E$25*Calculations!$C$6)+('Input and Output'!E$26*(IF('Input and Output'!G$7="Detritus",Calculations!$C$4,J308))-(SUM('Input and Output'!E$27:E$32))*K307))</f>
        <v>#N/A</v>
      </c>
      <c r="H308" s="49">
        <f>IF(H$2="",NA(),C308*$B308+H307)</f>
        <v>275082.72750829865</v>
      </c>
      <c r="I308" s="49">
        <f>IF(I$2="",NA(),D308*$B308+I307)</f>
        <v>2551196.8137741196</v>
      </c>
      <c r="J308" s="49">
        <f>IF(J$2="",NA(),E308*$B308+J307)</f>
        <v>1194033.0955050532</v>
      </c>
      <c r="K308" s="49" t="e">
        <f>IF(K$2="",NA(),F308*$B308+K307)</f>
        <v>#N/A</v>
      </c>
    </row>
    <row r="309" spans="1:11" x14ac:dyDescent="0.4">
      <c r="A309" s="49">
        <v>306</v>
      </c>
      <c r="B309" s="49">
        <f>A309/$B$1</f>
        <v>12.75</v>
      </c>
      <c r="C309" s="49">
        <f>(('Input and Output'!B$23*'Input and Output'!$B$10)+('Input and Output'!B$24*Calculations!$C$5)+('Input and Output'!B$25*Calculations!$C$6)+('Input and Output'!B$26*(IF('Input and Output'!D$7="Detritus",Calculations!$C$4,G309))-(SUM('Input and Output'!B$27:B$32))*H308))</f>
        <v>47.625356204720958</v>
      </c>
      <c r="D309" s="49">
        <f>(('Input and Output'!C$23*'Input and Output'!$B$10)+('Input and Output'!C$24*Calculations!$C$5)+('Input and Output'!C$25*Calculations!$C$6)+('Input and Output'!C$26*(IF('Input and Output'!E$7="Detritus",Calculations!$C$4,H309))-(SUM('Input and Output'!C$27:C$32))*I308))</f>
        <v>408.93029164845211</v>
      </c>
      <c r="E309" s="49">
        <f>(('Input and Output'!D$23*'Input and Output'!$B$10)+('Input and Output'!D$24*Calculations!$C$5)+('Input and Output'!D$25*Calculations!$C$6)+('Input and Output'!D$26*(IF('Input and Output'!F$7="Detritus",Calculations!$C$4,I309))-(SUM('Input and Output'!D$27:D$32))*J308))</f>
        <v>182.65300546241997</v>
      </c>
      <c r="F309" s="49" t="e">
        <f>(('Input and Output'!E$23*'Input and Output'!$B$10)+('Input and Output'!E$24*Calculations!$C$5)+('Input and Output'!E$25*Calculations!$C$6)+('Input and Output'!E$26*(IF('Input and Output'!G$7="Detritus",Calculations!$C$4,J309))-(SUM('Input and Output'!E$27:E$32))*K308))</f>
        <v>#N/A</v>
      </c>
      <c r="H309" s="49">
        <f>IF(H$2="",NA(),C309*$B309+H308)</f>
        <v>275689.95079990884</v>
      </c>
      <c r="I309" s="49">
        <f>IF(I$2="",NA(),D309*$B309+I308)</f>
        <v>2556410.6749926372</v>
      </c>
      <c r="J309" s="49">
        <f>IF(J$2="",NA(),E309*$B309+J308)</f>
        <v>1196361.921324699</v>
      </c>
      <c r="K309" s="49" t="e">
        <f>IF(K$2="",NA(),F309*$B309+K308)</f>
        <v>#N/A</v>
      </c>
    </row>
    <row r="310" spans="1:11" x14ac:dyDescent="0.4">
      <c r="A310" s="49">
        <v>307</v>
      </c>
      <c r="B310" s="49">
        <f>A310/$B$1</f>
        <v>12.791666666666666</v>
      </c>
      <c r="C310" s="49">
        <f>(('Input and Output'!B$23*'Input and Output'!$B$10)+('Input and Output'!B$24*Calculations!$C$5)+('Input and Output'!B$25*Calculations!$C$6)+('Input and Output'!B$26*(IF('Input and Output'!D$7="Detritus",Calculations!$C$4,G310))-(SUM('Input and Output'!B$27:B$32))*H309))</f>
        <v>47.039923665771255</v>
      </c>
      <c r="D310" s="49">
        <f>(('Input and Output'!C$23*'Input and Output'!$B$10)+('Input and Output'!C$24*Calculations!$C$5)+('Input and Output'!C$25*Calculations!$C$6)+('Input and Output'!C$26*(IF('Input and Output'!E$7="Detritus",Calculations!$C$4,H310))-(SUM('Input and Output'!C$27:C$32))*I309))</f>
        <v>403.8538539239762</v>
      </c>
      <c r="E310" s="49">
        <f>(('Input and Output'!D$23*'Input and Output'!$B$10)+('Input and Output'!D$24*Calculations!$C$5)+('Input and Output'!D$25*Calculations!$C$6)+('Input and Output'!D$26*(IF('Input and Output'!F$7="Detritus",Calculations!$C$4,I310))-(SUM('Input and Output'!D$27:D$32))*J309))</f>
        <v>180.37600566299443</v>
      </c>
      <c r="F310" s="49" t="e">
        <f>(('Input and Output'!E$23*'Input and Output'!$B$10)+('Input and Output'!E$24*Calculations!$C$5)+('Input and Output'!E$25*Calculations!$C$6)+('Input and Output'!E$26*(IF('Input and Output'!G$7="Detritus",Calculations!$C$4,J310))-(SUM('Input and Output'!E$27:E$32))*K309))</f>
        <v>#N/A</v>
      </c>
      <c r="H310" s="49">
        <f>IF(H$2="",NA(),C310*$B310+H309)</f>
        <v>276291.6698234668</v>
      </c>
      <c r="I310" s="49">
        <f>IF(I$2="",NA(),D310*$B310+I309)</f>
        <v>2561576.6388740814</v>
      </c>
      <c r="J310" s="49">
        <f>IF(J$2="",NA(),E310*$B310+J309)</f>
        <v>1198669.2310638048</v>
      </c>
      <c r="K310" s="49" t="e">
        <f>IF(K$2="",NA(),F310*$B310+K309)</f>
        <v>#N/A</v>
      </c>
    </row>
    <row r="311" spans="1:11" x14ac:dyDescent="0.4">
      <c r="A311" s="49">
        <v>308</v>
      </c>
      <c r="B311" s="49">
        <f>A311/$B$1</f>
        <v>12.833333333333334</v>
      </c>
      <c r="C311" s="49">
        <f>(('Input and Output'!B$23*'Input and Output'!$B$10)+('Input and Output'!B$24*Calculations!$C$5)+('Input and Output'!B$25*Calculations!$C$6)+('Input and Output'!B$26*(IF('Input and Output'!D$7="Detritus",Calculations!$C$4,G311))-(SUM('Input and Output'!B$27:B$32))*H310))</f>
        <v>46.459797869275974</v>
      </c>
      <c r="D311" s="49">
        <f>(('Input and Output'!C$23*'Input and Output'!$B$10)+('Input and Output'!C$24*Calculations!$C$5)+('Input and Output'!C$25*Calculations!$C$6)+('Input and Output'!C$26*(IF('Input and Output'!E$7="Detritus",Calculations!$C$4,H311))-(SUM('Input and Output'!C$27:C$32))*I310))</f>
        <v>398.82493280296876</v>
      </c>
      <c r="E311" s="49">
        <f>(('Input and Output'!D$23*'Input and Output'!$B$10)+('Input and Output'!D$24*Calculations!$C$5)+('Input and Output'!D$25*Calculations!$C$6)+('Input and Output'!D$26*(IF('Input and Output'!F$7="Detritus",Calculations!$C$4,I311))-(SUM('Input and Output'!D$27:D$32))*J310))</f>
        <v>178.12048736863289</v>
      </c>
      <c r="F311" s="49" t="e">
        <f>(('Input and Output'!E$23*'Input and Output'!$B$10)+('Input and Output'!E$24*Calculations!$C$5)+('Input and Output'!E$25*Calculations!$C$6)+('Input and Output'!E$26*(IF('Input and Output'!G$7="Detritus",Calculations!$C$4,J311))-(SUM('Input and Output'!E$27:E$32))*K310))</f>
        <v>#N/A</v>
      </c>
      <c r="H311" s="49">
        <f>IF(H$2="",NA(),C311*$B311+H310)</f>
        <v>276887.90389612253</v>
      </c>
      <c r="I311" s="49">
        <f>IF(I$2="",NA(),D311*$B311+I310)</f>
        <v>2566694.892178386</v>
      </c>
      <c r="J311" s="49">
        <f>IF(J$2="",NA(),E311*$B311+J310)</f>
        <v>1200955.1106517024</v>
      </c>
      <c r="K311" s="49" t="e">
        <f>IF(K$2="",NA(),F311*$B311+K310)</f>
        <v>#N/A</v>
      </c>
    </row>
    <row r="312" spans="1:11" x14ac:dyDescent="0.4">
      <c r="A312" s="49">
        <v>309</v>
      </c>
      <c r="B312" s="49">
        <f>A312/$B$1</f>
        <v>12.875</v>
      </c>
      <c r="C312" s="49">
        <f>(('Input and Output'!B$23*'Input and Output'!$B$10)+('Input and Output'!B$24*Calculations!$C$5)+('Input and Output'!B$25*Calculations!$C$6)+('Input and Output'!B$26*(IF('Input and Output'!D$7="Detritus",Calculations!$C$4,G312))-(SUM('Input and Output'!B$27:B$32))*H311))</f>
        <v>45.884960191298262</v>
      </c>
      <c r="D312" s="49">
        <f>(('Input and Output'!C$23*'Input and Output'!$B$10)+('Input and Output'!C$24*Calculations!$C$5)+('Input and Output'!C$25*Calculations!$C$6)+('Input and Output'!C$26*(IF('Input and Output'!E$7="Detritus",Calculations!$C$4,H312))-(SUM('Input and Output'!C$27:C$32))*I311))</f>
        <v>393.8433090715871</v>
      </c>
      <c r="E312" s="49">
        <f>(('Input and Output'!D$23*'Input and Output'!$B$10)+('Input and Output'!D$24*Calculations!$C$5)+('Input and Output'!D$25*Calculations!$C$6)+('Input and Output'!D$26*(IF('Input and Output'!F$7="Detritus",Calculations!$C$4,I312))-(SUM('Input and Output'!D$27:D$32))*J311))</f>
        <v>175.8863482570996</v>
      </c>
      <c r="F312" s="49" t="e">
        <f>(('Input and Output'!E$23*'Input and Output'!$B$10)+('Input and Output'!E$24*Calculations!$C$5)+('Input and Output'!E$25*Calculations!$C$6)+('Input and Output'!E$26*(IF('Input and Output'!G$7="Detritus",Calculations!$C$4,J312))-(SUM('Input and Output'!E$27:E$32))*K311))</f>
        <v>#N/A</v>
      </c>
      <c r="H312" s="49">
        <f>IF(H$2="",NA(),C312*$B312+H311)</f>
        <v>277478.67275858548</v>
      </c>
      <c r="I312" s="49">
        <f>IF(I$2="",NA(),D312*$B312+I311)</f>
        <v>2571765.6247826829</v>
      </c>
      <c r="J312" s="49">
        <f>IF(J$2="",NA(),E312*$B312+J311)</f>
        <v>1203219.6473855125</v>
      </c>
      <c r="K312" s="49" t="e">
        <f>IF(K$2="",NA(),F312*$B312+K311)</f>
        <v>#N/A</v>
      </c>
    </row>
    <row r="313" spans="1:11" x14ac:dyDescent="0.4">
      <c r="A313" s="49">
        <v>310</v>
      </c>
      <c r="B313" s="49">
        <f>A313/$B$1</f>
        <v>12.916666666666666</v>
      </c>
      <c r="C313" s="49">
        <f>(('Input and Output'!B$23*'Input and Output'!$B$10)+('Input and Output'!B$24*Calculations!$C$5)+('Input and Output'!B$25*Calculations!$C$6)+('Input and Output'!B$26*(IF('Input and Output'!D$7="Detritus",Calculations!$C$4,G313))-(SUM('Input and Output'!B$27:B$32))*H312))</f>
        <v>45.315391599541897</v>
      </c>
      <c r="D313" s="49">
        <f>(('Input and Output'!C$23*'Input and Output'!$B$10)+('Input and Output'!C$24*Calculations!$C$5)+('Input and Output'!C$25*Calculations!$C$6)+('Input and Output'!C$26*(IF('Input and Output'!E$7="Detritus",Calculations!$C$4,H313))-(SUM('Input and Output'!C$27:C$32))*I312))</f>
        <v>388.90876162387212</v>
      </c>
      <c r="E313" s="49">
        <f>(('Input and Output'!D$23*'Input and Output'!$B$10)+('Input and Output'!D$24*Calculations!$C$5)+('Input and Output'!D$25*Calculations!$C$6)+('Input and Output'!D$26*(IF('Input and Output'!F$7="Detritus",Calculations!$C$4,I313))-(SUM('Input and Output'!D$27:D$32))*J312))</f>
        <v>173.67348521737222</v>
      </c>
      <c r="F313" s="49" t="e">
        <f>(('Input and Output'!E$23*'Input and Output'!$B$10)+('Input and Output'!E$24*Calculations!$C$5)+('Input and Output'!E$25*Calculations!$C$6)+('Input and Output'!E$26*(IF('Input and Output'!G$7="Detritus",Calculations!$C$4,J313))-(SUM('Input and Output'!E$27:E$32))*K312))</f>
        <v>#N/A</v>
      </c>
      <c r="H313" s="49">
        <f>IF(H$2="",NA(),C313*$B313+H312)</f>
        <v>278063.99656674621</v>
      </c>
      <c r="I313" s="49">
        <f>IF(I$2="",NA(),D313*$B313+I312)</f>
        <v>2576789.0296203247</v>
      </c>
      <c r="J313" s="49">
        <f>IF(J$2="",NA(),E313*$B313+J312)</f>
        <v>1205462.9299029035</v>
      </c>
      <c r="K313" s="49" t="e">
        <f>IF(K$2="",NA(),F313*$B313+K312)</f>
        <v>#N/A</v>
      </c>
    </row>
    <row r="314" spans="1:11" x14ac:dyDescent="0.4">
      <c r="A314" s="49">
        <v>311</v>
      </c>
      <c r="B314" s="49">
        <f>A314/$B$1</f>
        <v>12.958333333333334</v>
      </c>
      <c r="C314" s="49">
        <f>(('Input and Output'!B$23*'Input and Output'!$B$10)+('Input and Output'!B$24*Calculations!$C$5)+('Input and Output'!B$25*Calculations!$C$6)+('Input and Output'!B$26*(IF('Input and Output'!D$7="Detritus",Calculations!$C$4,G314))-(SUM('Input and Output'!B$27:B$32))*H313))</f>
        <v>44.751072661428395</v>
      </c>
      <c r="D314" s="49">
        <f>(('Input and Output'!C$23*'Input and Output'!$B$10)+('Input and Output'!C$24*Calculations!$C$5)+('Input and Output'!C$25*Calculations!$C$6)+('Input and Output'!C$26*(IF('Input and Output'!E$7="Detritus",Calculations!$C$4,H314))-(SUM('Input and Output'!C$27:C$32))*I313))</f>
        <v>384.02106749385985</v>
      </c>
      <c r="E314" s="49">
        <f>(('Input and Output'!D$23*'Input and Output'!$B$10)+('Input and Output'!D$24*Calculations!$C$5)+('Input and Output'!D$25*Calculations!$C$6)+('Input and Output'!D$26*(IF('Input and Output'!F$7="Detritus",Calculations!$C$4,I314))-(SUM('Input and Output'!D$27:D$32))*J313))</f>
        <v>171.48179436328428</v>
      </c>
      <c r="F314" s="49" t="e">
        <f>(('Input and Output'!E$23*'Input and Output'!$B$10)+('Input and Output'!E$24*Calculations!$C$5)+('Input and Output'!E$25*Calculations!$C$6)+('Input and Output'!E$26*(IF('Input and Output'!G$7="Detritus",Calculations!$C$4,J314))-(SUM('Input and Output'!E$27:E$32))*K313))</f>
        <v>#N/A</v>
      </c>
      <c r="H314" s="49">
        <f>IF(H$2="",NA(),C314*$B314+H313)</f>
        <v>278643.89588331722</v>
      </c>
      <c r="I314" s="49">
        <f>IF(I$2="",NA(),D314*$B314+I313)</f>
        <v>2581765.3026199327</v>
      </c>
      <c r="J314" s="49">
        <f>IF(J$2="",NA(),E314*$B314+J313)</f>
        <v>1207685.048154861</v>
      </c>
      <c r="K314" s="49" t="e">
        <f>IF(K$2="",NA(),F314*$B314+K313)</f>
        <v>#N/A</v>
      </c>
    </row>
    <row r="315" spans="1:11" x14ac:dyDescent="0.4">
      <c r="A315" s="49">
        <v>312</v>
      </c>
      <c r="B315" s="49">
        <f>A315/$B$1</f>
        <v>13</v>
      </c>
      <c r="C315" s="49">
        <f>(('Input and Output'!B$23*'Input and Output'!$B$10)+('Input and Output'!B$24*Calculations!$C$5)+('Input and Output'!B$25*Calculations!$C$6)+('Input and Output'!B$26*(IF('Input and Output'!D$7="Detritus",Calculations!$C$4,G315))-(SUM('Input and Output'!B$27:B$32))*H314))</f>
        <v>44.191983552156728</v>
      </c>
      <c r="D315" s="49">
        <f>(('Input and Output'!C$23*'Input and Output'!$B$10)+('Input and Output'!C$24*Calculations!$C$5)+('Input and Output'!C$25*Calculations!$C$6)+('Input and Output'!C$26*(IF('Input and Output'!E$7="Detritus",Calculations!$C$4,H315))-(SUM('Input and Output'!C$27:C$32))*I314))</f>
        <v>379.18000188805581</v>
      </c>
      <c r="E315" s="49">
        <f>(('Input and Output'!D$23*'Input and Output'!$B$10)+('Input and Output'!D$24*Calculations!$C$5)+('Input and Output'!D$25*Calculations!$C$6)+('Input and Output'!D$26*(IF('Input and Output'!F$7="Detritus",Calculations!$C$4,I315))-(SUM('Input and Output'!D$27:D$32))*J314))</f>
        <v>169.31117104740042</v>
      </c>
      <c r="F315" s="49" t="e">
        <f>(('Input and Output'!E$23*'Input and Output'!$B$10)+('Input and Output'!E$24*Calculations!$C$5)+('Input and Output'!E$25*Calculations!$C$6)+('Input and Output'!E$26*(IF('Input and Output'!G$7="Detritus",Calculations!$C$4,J315))-(SUM('Input and Output'!E$27:E$32))*K314))</f>
        <v>#N/A</v>
      </c>
      <c r="H315" s="49">
        <f>IF(H$2="",NA(),C315*$B315+H314)</f>
        <v>279218.39166949526</v>
      </c>
      <c r="I315" s="49">
        <f>IF(I$2="",NA(),D315*$B315+I314)</f>
        <v>2586694.6426444775</v>
      </c>
      <c r="J315" s="49">
        <f>IF(J$2="",NA(),E315*$B315+J314)</f>
        <v>1209886.0933784773</v>
      </c>
      <c r="K315" s="49" t="e">
        <f>IF(K$2="",NA(),F315*$B315+K314)</f>
        <v>#N/A</v>
      </c>
    </row>
    <row r="316" spans="1:11" x14ac:dyDescent="0.4">
      <c r="A316" s="49">
        <v>313</v>
      </c>
      <c r="B316" s="49">
        <f>A316/$B$1</f>
        <v>13.041666666666666</v>
      </c>
      <c r="C316" s="49">
        <f>(('Input and Output'!B$23*'Input and Output'!$B$10)+('Input and Output'!B$24*Calculations!$C$5)+('Input and Output'!B$25*Calculations!$C$6)+('Input and Output'!B$26*(IF('Input and Output'!D$7="Detritus",Calculations!$C$4,G316))-(SUM('Input and Output'!B$27:B$32))*H315))</f>
        <v>43.638104062741434</v>
      </c>
      <c r="D316" s="49">
        <f>(('Input and Output'!C$23*'Input and Output'!$B$10)+('Input and Output'!C$24*Calculations!$C$5)+('Input and Output'!C$25*Calculations!$C$6)+('Input and Output'!C$26*(IF('Input and Output'!E$7="Detritus",Calculations!$C$4,H316))-(SUM('Input and Output'!C$27:C$32))*I315))</f>
        <v>374.3853382182715</v>
      </c>
      <c r="E316" s="49">
        <f>(('Input and Output'!D$23*'Input and Output'!$B$10)+('Input and Output'!D$24*Calculations!$C$5)+('Input and Output'!D$25*Calculations!$C$6)+('Input and Output'!D$26*(IF('Input and Output'!F$7="Detritus",Calculations!$C$4,I316))-(SUM('Input and Output'!D$27:D$32))*J315))</f>
        <v>167.16150987488436</v>
      </c>
      <c r="F316" s="49" t="e">
        <f>(('Input and Output'!E$23*'Input and Output'!$B$10)+('Input and Output'!E$24*Calculations!$C$5)+('Input and Output'!E$25*Calculations!$C$6)+('Input and Output'!E$26*(IF('Input and Output'!G$7="Detritus",Calculations!$C$4,J316))-(SUM('Input and Output'!E$27:E$32))*K315))</f>
        <v>#N/A</v>
      </c>
      <c r="H316" s="49">
        <f>IF(H$2="",NA(),C316*$B316+H315)</f>
        <v>279787.50527664687</v>
      </c>
      <c r="I316" s="49">
        <f>IF(I$2="",NA(),D316*$B316+I315)</f>
        <v>2591577.2514304076</v>
      </c>
      <c r="J316" s="49">
        <f>IF(J$2="",NA(),E316*$B316+J315)</f>
        <v>1212066.1580697622</v>
      </c>
      <c r="K316" s="49" t="e">
        <f>IF(K$2="",NA(),F316*$B316+K315)</f>
        <v>#N/A</v>
      </c>
    </row>
    <row r="317" spans="1:11" x14ac:dyDescent="0.4">
      <c r="A317" s="49">
        <v>314</v>
      </c>
      <c r="B317" s="49">
        <f>A317/$B$1</f>
        <v>13.083333333333334</v>
      </c>
      <c r="C317" s="49">
        <f>(('Input and Output'!B$23*'Input and Output'!$B$10)+('Input and Output'!B$24*Calculations!$C$5)+('Input and Output'!B$25*Calculations!$C$6)+('Input and Output'!B$26*(IF('Input and Output'!D$7="Detritus",Calculations!$C$4,G317))-(SUM('Input and Output'!B$27:B$32))*H316))</f>
        <v>43.08941360802902</v>
      </c>
      <c r="D317" s="49">
        <f>(('Input and Output'!C$23*'Input and Output'!$B$10)+('Input and Output'!C$24*Calculations!$C$5)+('Input and Output'!C$25*Calculations!$C$6)+('Input and Output'!C$26*(IF('Input and Output'!E$7="Detritus",Calculations!$C$4,H317))-(SUM('Input and Output'!C$27:C$32))*I316))</f>
        <v>369.6368481348245</v>
      </c>
      <c r="E317" s="49">
        <f>(('Input and Output'!D$23*'Input and Output'!$B$10)+('Input and Output'!D$24*Calculations!$C$5)+('Input and Output'!D$25*Calculations!$C$6)+('Input and Output'!D$26*(IF('Input and Output'!F$7="Detritus",Calculations!$C$4,I317))-(SUM('Input and Output'!D$27:D$32))*J316))</f>
        <v>165.03270471773794</v>
      </c>
      <c r="F317" s="49" t="e">
        <f>(('Input and Output'!E$23*'Input and Output'!$B$10)+('Input and Output'!E$24*Calculations!$C$5)+('Input and Output'!E$25*Calculations!$C$6)+('Input and Output'!E$26*(IF('Input and Output'!G$7="Detritus",Calculations!$C$4,J317))-(SUM('Input and Output'!E$27:E$32))*K316))</f>
        <v>#N/A</v>
      </c>
      <c r="H317" s="49">
        <f>IF(H$2="",NA(),C317*$B317+H316)</f>
        <v>280351.25843801856</v>
      </c>
      <c r="I317" s="49">
        <f>IF(I$2="",NA(),D317*$B317+I316)</f>
        <v>2596413.3335268381</v>
      </c>
      <c r="J317" s="49">
        <f>IF(J$2="",NA(),E317*$B317+J316)</f>
        <v>1214225.3359564859</v>
      </c>
      <c r="K317" s="49" t="e">
        <f>IF(K$2="",NA(),F317*$B317+K316)</f>
        <v>#N/A</v>
      </c>
    </row>
    <row r="318" spans="1:11" x14ac:dyDescent="0.4">
      <c r="A318" s="49">
        <v>315</v>
      </c>
      <c r="B318" s="49">
        <f>A318/$B$1</f>
        <v>13.125</v>
      </c>
      <c r="C318" s="49">
        <f>(('Input and Output'!B$23*'Input and Output'!$B$10)+('Input and Output'!B$24*Calculations!$C$5)+('Input and Output'!B$25*Calculations!$C$6)+('Input and Output'!B$26*(IF('Input and Output'!D$7="Detritus",Calculations!$C$4,G318))-(SUM('Input and Output'!B$27:B$32))*H317))</f>
        <v>42.545891234689918</v>
      </c>
      <c r="D318" s="49">
        <f>(('Input and Output'!C$23*'Input and Output'!$B$10)+('Input and Output'!C$24*Calculations!$C$5)+('Input and Output'!C$25*Calculations!$C$6)+('Input and Output'!C$26*(IF('Input and Output'!E$7="Detritus",Calculations!$C$4,H318))-(SUM('Input and Output'!C$27:C$32))*I317))</f>
        <v>364.93430156006707</v>
      </c>
      <c r="E318" s="49">
        <f>(('Input and Output'!D$23*'Input and Output'!$B$10)+('Input and Output'!D$24*Calculations!$C$5)+('Input and Output'!D$25*Calculations!$C$6)+('Input and Output'!D$26*(IF('Input and Output'!F$7="Detritus",Calculations!$C$4,I318))-(SUM('Input and Output'!D$27:D$32))*J317))</f>
        <v>162.92464872906203</v>
      </c>
      <c r="F318" s="49" t="e">
        <f>(('Input and Output'!E$23*'Input and Output'!$B$10)+('Input and Output'!E$24*Calculations!$C$5)+('Input and Output'!E$25*Calculations!$C$6)+('Input and Output'!E$26*(IF('Input and Output'!G$7="Detritus",Calculations!$C$4,J318))-(SUM('Input and Output'!E$27:E$32))*K317))</f>
        <v>#N/A</v>
      </c>
      <c r="H318" s="49">
        <f>IF(H$2="",NA(),C318*$B318+H317)</f>
        <v>280909.67326047388</v>
      </c>
      <c r="I318" s="49">
        <f>IF(I$2="",NA(),D318*$B318+I317)</f>
        <v>2601203.0962348138</v>
      </c>
      <c r="J318" s="49">
        <f>IF(J$2="",NA(),E318*$B318+J317)</f>
        <v>1216363.7219710548</v>
      </c>
      <c r="K318" s="49" t="e">
        <f>IF(K$2="",NA(),F318*$B318+K317)</f>
        <v>#N/A</v>
      </c>
    </row>
    <row r="319" spans="1:11" x14ac:dyDescent="0.4">
      <c r="A319" s="49">
        <v>316</v>
      </c>
      <c r="B319" s="49">
        <f>A319/$B$1</f>
        <v>13.166666666666666</v>
      </c>
      <c r="C319" s="49">
        <f>(('Input and Output'!B$23*'Input and Output'!$B$10)+('Input and Output'!B$24*Calculations!$C$5)+('Input and Output'!B$25*Calculations!$C$6)+('Input and Output'!B$26*(IF('Input and Output'!D$7="Detritus",Calculations!$C$4,G319))-(SUM('Input and Output'!B$27:B$32))*H318))</f>
        <v>42.007515629185264</v>
      </c>
      <c r="D319" s="49">
        <f>(('Input and Output'!C$23*'Input and Output'!$B$10)+('Input and Output'!C$24*Calculations!$C$5)+('Input and Output'!C$25*Calculations!$C$6)+('Input and Output'!C$26*(IF('Input and Output'!E$7="Detritus",Calculations!$C$4,H319))-(SUM('Input and Output'!C$27:C$32))*I318))</f>
        <v>360.27746672226567</v>
      </c>
      <c r="E319" s="49">
        <f>(('Input and Output'!D$23*'Input and Output'!$B$10)+('Input and Output'!D$24*Calculations!$C$5)+('Input and Output'!D$25*Calculations!$C$6)+('Input and Output'!D$26*(IF('Input and Output'!F$7="Detritus",Calculations!$C$4,I319))-(SUM('Input and Output'!D$27:D$32))*J318))</f>
        <v>160.83723435756474</v>
      </c>
      <c r="F319" s="49" t="e">
        <f>(('Input and Output'!E$23*'Input and Output'!$B$10)+('Input and Output'!E$24*Calculations!$C$5)+('Input and Output'!E$25*Calculations!$C$6)+('Input and Output'!E$26*(IF('Input and Output'!G$7="Detritus",Calculations!$C$4,J319))-(SUM('Input and Output'!E$27:E$32))*K318))</f>
        <v>#N/A</v>
      </c>
      <c r="H319" s="49">
        <f>IF(H$2="",NA(),C319*$B319+H318)</f>
        <v>281462.77221625816</v>
      </c>
      <c r="I319" s="49">
        <f>IF(I$2="",NA(),D319*$B319+I318)</f>
        <v>2605946.7495466569</v>
      </c>
      <c r="J319" s="49">
        <f>IF(J$2="",NA(),E319*$B319+J318)</f>
        <v>1218481.4122234294</v>
      </c>
      <c r="K319" s="49" t="e">
        <f>IF(K$2="",NA(),F319*$B319+K318)</f>
        <v>#N/A</v>
      </c>
    </row>
    <row r="320" spans="1:11" x14ac:dyDescent="0.4">
      <c r="A320" s="49">
        <v>317</v>
      </c>
      <c r="B320" s="49">
        <f>A320/$B$1</f>
        <v>13.208333333333334</v>
      </c>
      <c r="C320" s="49">
        <f>(('Input and Output'!B$23*'Input and Output'!$B$10)+('Input and Output'!B$24*Calculations!$C$5)+('Input and Output'!B$25*Calculations!$C$6)+('Input and Output'!B$26*(IF('Input and Output'!D$7="Detritus",Calculations!$C$4,G320))-(SUM('Input and Output'!B$27:B$32))*H319))</f>
        <v>41.474265125706438</v>
      </c>
      <c r="D320" s="49">
        <f>(('Input and Output'!C$23*'Input and Output'!$B$10)+('Input and Output'!C$24*Calculations!$C$5)+('Input and Output'!C$25*Calculations!$C$6)+('Input and Output'!C$26*(IF('Input and Output'!E$7="Detritus",Calculations!$C$4,H320))-(SUM('Input and Output'!C$27:C$32))*I319))</f>
        <v>355.6661101897871</v>
      </c>
      <c r="E320" s="49">
        <f>(('Input and Output'!D$23*'Input and Output'!$B$10)+('Input and Output'!D$24*Calculations!$C$5)+('Input and Output'!D$25*Calculations!$C$6)+('Input and Output'!D$26*(IF('Input and Output'!F$7="Detritus",Calculations!$C$4,I320))-(SUM('Input and Output'!D$27:D$32))*J319))</f>
        <v>158.77035336215704</v>
      </c>
      <c r="F320" s="49" t="e">
        <f>(('Input and Output'!E$23*'Input and Output'!$B$10)+('Input and Output'!E$24*Calculations!$C$5)+('Input and Output'!E$25*Calculations!$C$6)+('Input and Output'!E$26*(IF('Input and Output'!G$7="Detritus",Calculations!$C$4,J320))-(SUM('Input and Output'!E$27:E$32))*K319))</f>
        <v>#N/A</v>
      </c>
      <c r="H320" s="49">
        <f>IF(H$2="",NA(),C320*$B320+H319)</f>
        <v>282010.57813479356</v>
      </c>
      <c r="I320" s="49">
        <f>IF(I$2="",NA(),D320*$B320+I319)</f>
        <v>2610644.5060854135</v>
      </c>
      <c r="J320" s="49">
        <f>IF(J$2="",NA(),E320*$B320+J319)</f>
        <v>1220578.503974088</v>
      </c>
      <c r="K320" s="49" t="e">
        <f>IF(K$2="",NA(),F320*$B320+K319)</f>
        <v>#N/A</v>
      </c>
    </row>
    <row r="321" spans="1:11" x14ac:dyDescent="0.4">
      <c r="A321" s="49">
        <v>318</v>
      </c>
      <c r="B321" s="49">
        <f>A321/$B$1</f>
        <v>13.25</v>
      </c>
      <c r="C321" s="49">
        <f>(('Input and Output'!B$23*'Input and Output'!$B$10)+('Input and Output'!B$24*Calculations!$C$5)+('Input and Output'!B$25*Calculations!$C$6)+('Input and Output'!B$26*(IF('Input and Output'!D$7="Detritus",Calculations!$C$4,G321))-(SUM('Input and Output'!B$27:B$32))*H320))</f>
        <v>40.946117714085517</v>
      </c>
      <c r="D321" s="49">
        <f>(('Input and Output'!C$23*'Input and Output'!$B$10)+('Input and Output'!C$24*Calculations!$C$5)+('Input and Output'!C$25*Calculations!$C$6)+('Input and Output'!C$26*(IF('Input and Output'!E$7="Detritus",Calculations!$C$4,H321))-(SUM('Input and Output'!C$27:C$32))*I320))</f>
        <v>351.09999690562745</v>
      </c>
      <c r="E321" s="49">
        <f>(('Input and Output'!D$23*'Input and Output'!$B$10)+('Input and Output'!D$24*Calculations!$C$5)+('Input and Output'!D$25*Calculations!$C$6)+('Input and Output'!D$26*(IF('Input and Output'!F$7="Detritus",Calculations!$C$4,I321))-(SUM('Input and Output'!D$27:D$32))*J320))</f>
        <v>156.72389682685389</v>
      </c>
      <c r="F321" s="49" t="e">
        <f>(('Input and Output'!E$23*'Input and Output'!$B$10)+('Input and Output'!E$24*Calculations!$C$5)+('Input and Output'!E$25*Calculations!$C$6)+('Input and Output'!E$26*(IF('Input and Output'!G$7="Detritus",Calculations!$C$4,J321))-(SUM('Input and Output'!E$27:E$32))*K320))</f>
        <v>#N/A</v>
      </c>
      <c r="H321" s="49">
        <f>IF(H$2="",NA(),C321*$B321+H320)</f>
        <v>282553.11419450521</v>
      </c>
      <c r="I321" s="49">
        <f>IF(I$2="",NA(),D321*$B321+I320)</f>
        <v>2615296.5810444131</v>
      </c>
      <c r="J321" s="49">
        <f>IF(J$2="",NA(),E321*$B321+J320)</f>
        <v>1222655.0956070437</v>
      </c>
      <c r="K321" s="49" t="e">
        <f>IF(K$2="",NA(),F321*$B321+K320)</f>
        <v>#N/A</v>
      </c>
    </row>
    <row r="322" spans="1:11" x14ac:dyDescent="0.4">
      <c r="A322" s="49">
        <v>319</v>
      </c>
      <c r="B322" s="49">
        <f>A322/$B$1</f>
        <v>13.291666666666666</v>
      </c>
      <c r="C322" s="49">
        <f>(('Input and Output'!B$23*'Input and Output'!$B$10)+('Input and Output'!B$24*Calculations!$C$5)+('Input and Output'!B$25*Calculations!$C$6)+('Input and Output'!B$26*(IF('Input and Output'!D$7="Detritus",Calculations!$C$4,G322))-(SUM('Input and Output'!B$27:B$32))*H321))</f>
        <v>40.42305104767604</v>
      </c>
      <c r="D322" s="49">
        <f>(('Input and Output'!C$23*'Input and Output'!$B$10)+('Input and Output'!C$24*Calculations!$C$5)+('Input and Output'!C$25*Calculations!$C$6)+('Input and Output'!C$26*(IF('Input and Output'!E$7="Detritus",Calculations!$C$4,H322))-(SUM('Input and Output'!C$27:C$32))*I321))</f>
        <v>346.57889022222662</v>
      </c>
      <c r="E322" s="49">
        <f>(('Input and Output'!D$23*'Input and Output'!$B$10)+('Input and Output'!D$24*Calculations!$C$5)+('Input and Output'!D$25*Calculations!$C$6)+('Input and Output'!D$26*(IF('Input and Output'!F$7="Detritus",Calculations!$C$4,I322))-(SUM('Input and Output'!D$27:D$32))*J321))</f>
        <v>154.6977551755881</v>
      </c>
      <c r="F322" s="49" t="e">
        <f>(('Input and Output'!E$23*'Input and Output'!$B$10)+('Input and Output'!E$24*Calculations!$C$5)+('Input and Output'!E$25*Calculations!$C$6)+('Input and Output'!E$26*(IF('Input and Output'!G$7="Detritus",Calculations!$C$4,J322))-(SUM('Input and Output'!E$27:E$32))*K321))</f>
        <v>#N/A</v>
      </c>
      <c r="H322" s="49">
        <f>IF(H$2="",NA(),C322*$B322+H321)</f>
        <v>283090.40391468059</v>
      </c>
      <c r="I322" s="49">
        <f>IF(I$2="",NA(),D322*$B322+I321)</f>
        <v>2619903.1921269502</v>
      </c>
      <c r="J322" s="49">
        <f>IF(J$2="",NA(),E322*$B322+J321)</f>
        <v>1224711.2866029192</v>
      </c>
      <c r="K322" s="49" t="e">
        <f>IF(K$2="",NA(),F322*$B322+K321)</f>
        <v>#N/A</v>
      </c>
    </row>
    <row r="323" spans="1:11" x14ac:dyDescent="0.4">
      <c r="A323" s="49">
        <v>320</v>
      </c>
      <c r="B323" s="49">
        <f>A323/$B$1</f>
        <v>13.333333333333334</v>
      </c>
      <c r="C323" s="49">
        <f>(('Input and Output'!B$23*'Input and Output'!$B$10)+('Input and Output'!B$24*Calculations!$C$5)+('Input and Output'!B$25*Calculations!$C$6)+('Input and Output'!B$26*(IF('Input and Output'!D$7="Detritus",Calculations!$C$4,G323))-(SUM('Input and Output'!B$27:B$32))*H322))</f>
        <v>39.905042451201155</v>
      </c>
      <c r="D323" s="49">
        <f>(('Input and Output'!C$23*'Input and Output'!$B$10)+('Input and Output'!C$24*Calculations!$C$5)+('Input and Output'!C$25*Calculations!$C$6)+('Input and Output'!C$26*(IF('Input and Output'!E$7="Detritus",Calculations!$C$4,H323))-(SUM('Input and Output'!C$27:C$32))*I322))</f>
        <v>342.10255193658759</v>
      </c>
      <c r="E323" s="49">
        <f>(('Input and Output'!D$23*'Input and Output'!$B$10)+('Input and Output'!D$24*Calculations!$C$5)+('Input and Output'!D$25*Calculations!$C$6)+('Input and Output'!D$26*(IF('Input and Output'!F$7="Detritus",Calculations!$C$4,I323))-(SUM('Input and Output'!D$27:D$32))*J322))</f>
        <v>152.69181818736615</v>
      </c>
      <c r="F323" s="49" t="e">
        <f>(('Input and Output'!E$23*'Input and Output'!$B$10)+('Input and Output'!E$24*Calculations!$C$5)+('Input and Output'!E$25*Calculations!$C$6)+('Input and Output'!E$26*(IF('Input and Output'!G$7="Detritus",Calculations!$C$4,J323))-(SUM('Input and Output'!E$27:E$32))*K322))</f>
        <v>#N/A</v>
      </c>
      <c r="H323" s="49">
        <f>IF(H$2="",NA(),C323*$B323+H322)</f>
        <v>283622.47114736325</v>
      </c>
      <c r="I323" s="49">
        <f>IF(I$2="",NA(),D323*$B323+I322)</f>
        <v>2624464.5594861046</v>
      </c>
      <c r="J323" s="49">
        <f>IF(J$2="",NA(),E323*$B323+J322)</f>
        <v>1226747.1775120841</v>
      </c>
      <c r="K323" s="49" t="e">
        <f>IF(K$2="",NA(),F323*$B323+K322)</f>
        <v>#N/A</v>
      </c>
    </row>
    <row r="324" spans="1:11" x14ac:dyDescent="0.4">
      <c r="A324" s="49">
        <v>321</v>
      </c>
      <c r="B324" s="49">
        <f>A324/$B$1</f>
        <v>13.375</v>
      </c>
      <c r="C324" s="49">
        <f>(('Input and Output'!B$23*'Input and Output'!$B$10)+('Input and Output'!B$24*Calculations!$C$5)+('Input and Output'!B$25*Calculations!$C$6)+('Input and Output'!B$26*(IF('Input and Output'!D$7="Detritus",Calculations!$C$4,G324))-(SUM('Input and Output'!B$27:B$32))*H323))</f>
        <v>39.392068928569358</v>
      </c>
      <c r="D324" s="49">
        <f>(('Input and Output'!C$23*'Input and Output'!$B$10)+('Input and Output'!C$24*Calculations!$C$5)+('Input and Output'!C$25*Calculations!$C$6)+('Input and Output'!C$26*(IF('Input and Output'!E$7="Detritus",Calculations!$C$4,H324))-(SUM('Input and Output'!C$27:C$32))*I323))</f>
        <v>337.67074232567848</v>
      </c>
      <c r="E324" s="49">
        <f>(('Input and Output'!D$23*'Input and Output'!$B$10)+('Input and Output'!D$24*Calculations!$C$5)+('Input and Output'!D$25*Calculations!$C$6)+('Input and Output'!D$26*(IF('Input and Output'!F$7="Detritus",Calculations!$C$4,I324))-(SUM('Input and Output'!D$27:D$32))*J323))</f>
        <v>150.70597501156226</v>
      </c>
      <c r="F324" s="49" t="e">
        <f>(('Input and Output'!E$23*'Input and Output'!$B$10)+('Input and Output'!E$24*Calculations!$C$5)+('Input and Output'!E$25*Calculations!$C$6)+('Input and Output'!E$26*(IF('Input and Output'!G$7="Detritus",Calculations!$C$4,J324))-(SUM('Input and Output'!E$27:E$32))*K323))</f>
        <v>#N/A</v>
      </c>
      <c r="H324" s="49">
        <f>IF(H$2="",NA(),C324*$B324+H323)</f>
        <v>284149.34006928286</v>
      </c>
      <c r="I324" s="49">
        <f>IF(I$2="",NA(),D324*$B324+I323)</f>
        <v>2628980.9056647108</v>
      </c>
      <c r="J324" s="49">
        <f>IF(J$2="",NA(),E324*$B324+J323)</f>
        <v>1228762.8699278638</v>
      </c>
      <c r="K324" s="49" t="e">
        <f>IF(K$2="",NA(),F324*$B324+K323)</f>
        <v>#N/A</v>
      </c>
    </row>
    <row r="325" spans="1:11" x14ac:dyDescent="0.4">
      <c r="A325" s="49">
        <v>322</v>
      </c>
      <c r="B325" s="49">
        <f>A325/$B$1</f>
        <v>13.416666666666666</v>
      </c>
      <c r="C325" s="49">
        <f>(('Input and Output'!B$23*'Input and Output'!$B$10)+('Input and Output'!B$24*Calculations!$C$5)+('Input and Output'!B$25*Calculations!$C$6)+('Input and Output'!B$26*(IF('Input and Output'!D$7="Detritus",Calculations!$C$4,G325))-(SUM('Input and Output'!B$27:B$32))*H324))</f>
        <v>38.884107170654659</v>
      </c>
      <c r="D325" s="49">
        <f>(('Input and Output'!C$23*'Input and Output'!$B$10)+('Input and Output'!C$24*Calculations!$C$5)+('Input and Output'!C$25*Calculations!$C$6)+('Input and Output'!C$26*(IF('Input and Output'!E$7="Detritus",Calculations!$C$4,H325))-(SUM('Input and Output'!C$27:C$32))*I324))</f>
        <v>333.2832201821102</v>
      </c>
      <c r="E325" s="49">
        <f>(('Input and Output'!D$23*'Input and Output'!$B$10)+('Input and Output'!D$24*Calculations!$C$5)+('Input and Output'!D$25*Calculations!$C$6)+('Input and Output'!D$26*(IF('Input and Output'!F$7="Detritus",Calculations!$C$4,I325))-(SUM('Input and Output'!D$27:D$32))*J324))</f>
        <v>148.74011418311056</v>
      </c>
      <c r="F325" s="49" t="e">
        <f>(('Input and Output'!E$23*'Input and Output'!$B$10)+('Input and Output'!E$24*Calculations!$C$5)+('Input and Output'!E$25*Calculations!$C$6)+('Input and Output'!E$26*(IF('Input and Output'!G$7="Detritus",Calculations!$C$4,J325))-(SUM('Input and Output'!E$27:E$32))*K324))</f>
        <v>#N/A</v>
      </c>
      <c r="H325" s="49">
        <f>IF(H$2="",NA(),C325*$B325+H324)</f>
        <v>284671.03517382249</v>
      </c>
      <c r="I325" s="49">
        <f>IF(I$2="",NA(),D325*$B325+I324)</f>
        <v>2633452.4555354873</v>
      </c>
      <c r="J325" s="49">
        <f>IF(J$2="",NA(),E325*$B325+J324)</f>
        <v>1230758.4664598205</v>
      </c>
      <c r="K325" s="49" t="e">
        <f>IF(K$2="",NA(),F325*$B325+K324)</f>
        <v>#N/A</v>
      </c>
    </row>
    <row r="326" spans="1:11" x14ac:dyDescent="0.4">
      <c r="A326" s="49">
        <v>323</v>
      </c>
      <c r="B326" s="49">
        <f>A326/$B$1</f>
        <v>13.458333333333334</v>
      </c>
      <c r="C326" s="49">
        <f>(('Input and Output'!B$23*'Input and Output'!$B$10)+('Input and Output'!B$24*Calculations!$C$5)+('Input and Output'!B$25*Calculations!$C$6)+('Input and Output'!B$26*(IF('Input and Output'!D$7="Detritus",Calculations!$C$4,G326))-(SUM('Input and Output'!B$27:B$32))*H325))</f>
        <v>38.381133563040919</v>
      </c>
      <c r="D326" s="49">
        <f>(('Input and Output'!C$23*'Input and Output'!$B$10)+('Input and Output'!C$24*Calculations!$C$5)+('Input and Output'!C$25*Calculations!$C$6)+('Input and Output'!C$26*(IF('Input and Output'!E$7="Detritus",Calculations!$C$4,H326))-(SUM('Input and Output'!C$27:C$32))*I325))</f>
        <v>328.93974285006607</v>
      </c>
      <c r="E326" s="49">
        <f>(('Input and Output'!D$23*'Input and Output'!$B$10)+('Input and Output'!D$24*Calculations!$C$5)+('Input and Output'!D$25*Calculations!$C$6)+('Input and Output'!D$26*(IF('Input and Output'!F$7="Detritus",Calculations!$C$4,I326))-(SUM('Input and Output'!D$27:D$32))*J325))</f>
        <v>146.79412363821393</v>
      </c>
      <c r="F326" s="49" t="e">
        <f>(('Input and Output'!E$23*'Input and Output'!$B$10)+('Input and Output'!E$24*Calculations!$C$5)+('Input and Output'!E$25*Calculations!$C$6)+('Input and Output'!E$26*(IF('Input and Output'!G$7="Detritus",Calculations!$C$4,J326))-(SUM('Input and Output'!E$27:E$32))*K325))</f>
        <v>#N/A</v>
      </c>
      <c r="H326" s="49">
        <f>IF(H$2="",NA(),C326*$B326+H325)</f>
        <v>285187.58126302506</v>
      </c>
      <c r="I326" s="49">
        <f>IF(I$2="",NA(),D326*$B326+I325)</f>
        <v>2637879.4362413445</v>
      </c>
      <c r="J326" s="49">
        <f>IF(J$2="",NA(),E326*$B326+J325)</f>
        <v>1232734.0707071181</v>
      </c>
      <c r="K326" s="49" t="e">
        <f>IF(K$2="",NA(),F326*$B326+K325)</f>
        <v>#N/A</v>
      </c>
    </row>
    <row r="327" spans="1:11" x14ac:dyDescent="0.4">
      <c r="A327" s="49">
        <v>324</v>
      </c>
      <c r="B327" s="49">
        <f>A327/$B$1</f>
        <v>13.5</v>
      </c>
      <c r="C327" s="49">
        <f>(('Input and Output'!B$23*'Input and Output'!$B$10)+('Input and Output'!B$24*Calculations!$C$5)+('Input and Output'!B$25*Calculations!$C$6)+('Input and Output'!B$26*(IF('Input and Output'!D$7="Detritus",Calculations!$C$4,G327))-(SUM('Input and Output'!B$27:B$32))*H326))</f>
        <v>37.883124193728861</v>
      </c>
      <c r="D327" s="49">
        <f>(('Input and Output'!C$23*'Input and Output'!$B$10)+('Input and Output'!C$24*Calculations!$C$5)+('Input and Output'!C$25*Calculations!$C$6)+('Input and Output'!C$26*(IF('Input and Output'!E$7="Detritus",Calculations!$C$4,H327))-(SUM('Input and Output'!C$27:C$32))*I326))</f>
        <v>324.6400662614933</v>
      </c>
      <c r="E327" s="49">
        <f>(('Input and Output'!D$23*'Input and Output'!$B$10)+('Input and Output'!D$24*Calculations!$C$5)+('Input and Output'!D$25*Calculations!$C$6)+('Input and Output'!D$26*(IF('Input and Output'!F$7="Detritus",Calculations!$C$4,I327))-(SUM('Input and Output'!D$27:D$32))*J326))</f>
        <v>144.86789072976171</v>
      </c>
      <c r="F327" s="49" t="e">
        <f>(('Input and Output'!E$23*'Input and Output'!$B$10)+('Input and Output'!E$24*Calculations!$C$5)+('Input and Output'!E$25*Calculations!$C$6)+('Input and Output'!E$26*(IF('Input and Output'!G$7="Detritus",Calculations!$C$4,J327))-(SUM('Input and Output'!E$27:E$32))*K326))</f>
        <v>#N/A</v>
      </c>
      <c r="H327" s="49">
        <f>IF(H$2="",NA(),C327*$B327+H326)</f>
        <v>285699.00343964039</v>
      </c>
      <c r="I327" s="49">
        <f>IF(I$2="",NA(),D327*$B327+I326)</f>
        <v>2642262.0771358749</v>
      </c>
      <c r="J327" s="49">
        <f>IF(J$2="",NA(),E327*$B327+J326)</f>
        <v>1234689.7872319699</v>
      </c>
      <c r="K327" s="49" t="e">
        <f>IF(K$2="",NA(),F327*$B327+K326)</f>
        <v>#N/A</v>
      </c>
    </row>
    <row r="328" spans="1:11" x14ac:dyDescent="0.4">
      <c r="A328" s="49">
        <v>325</v>
      </c>
      <c r="B328" s="49">
        <f>A328/$B$1</f>
        <v>13.541666666666666</v>
      </c>
      <c r="C328" s="49">
        <f>(('Input and Output'!B$23*'Input and Output'!$B$10)+('Input and Output'!B$24*Calculations!$C$5)+('Input and Output'!B$25*Calculations!$C$6)+('Input and Output'!B$26*(IF('Input and Output'!D$7="Detritus",Calculations!$C$4,G328))-(SUM('Input and Output'!B$27:B$32))*H327))</f>
        <v>37.390054860803275</v>
      </c>
      <c r="D328" s="49">
        <f>(('Input and Output'!C$23*'Input and Output'!$B$10)+('Input and Output'!C$24*Calculations!$C$5)+('Input and Output'!C$25*Calculations!$C$6)+('Input and Output'!C$26*(IF('Input and Output'!E$7="Detritus",Calculations!$C$4,H328))-(SUM('Input and Output'!C$27:C$32))*I327))</f>
        <v>320.38394497253284</v>
      </c>
      <c r="E328" s="49">
        <f>(('Input and Output'!D$23*'Input and Output'!$B$10)+('Input and Output'!D$24*Calculations!$C$5)+('Input and Output'!D$25*Calculations!$C$6)+('Input and Output'!D$26*(IF('Input and Output'!F$7="Detritus",Calculations!$C$4,I328))-(SUM('Input and Output'!D$27:D$32))*J327))</f>
        <v>142.96130224324952</v>
      </c>
      <c r="F328" s="49" t="e">
        <f>(('Input and Output'!E$23*'Input and Output'!$B$10)+('Input and Output'!E$24*Calculations!$C$5)+('Input and Output'!E$25*Calculations!$C$6)+('Input and Output'!E$26*(IF('Input and Output'!G$7="Detritus",Calculations!$C$4,J328))-(SUM('Input and Output'!E$27:E$32))*K327))</f>
        <v>#N/A</v>
      </c>
      <c r="H328" s="49">
        <f>IF(H$2="",NA(),C328*$B328+H327)</f>
        <v>286205.32709921378</v>
      </c>
      <c r="I328" s="49">
        <f>IF(I$2="",NA(),D328*$B328+I327)</f>
        <v>2646600.6097240448</v>
      </c>
      <c r="J328" s="49">
        <f>IF(J$2="",NA(),E328*$B328+J327)</f>
        <v>1236625.7215331804</v>
      </c>
      <c r="K328" s="49" t="e">
        <f>IF(K$2="",NA(),F328*$B328+K327)</f>
        <v>#N/A</v>
      </c>
    </row>
    <row r="329" spans="1:11" x14ac:dyDescent="0.4">
      <c r="A329" s="49">
        <v>326</v>
      </c>
      <c r="B329" s="49">
        <f>A329/$B$1</f>
        <v>13.583333333333334</v>
      </c>
      <c r="C329" s="49">
        <f>(('Input and Output'!B$23*'Input and Output'!$B$10)+('Input and Output'!B$24*Calculations!$C$5)+('Input and Output'!B$25*Calculations!$C$6)+('Input and Output'!B$26*(IF('Input and Output'!D$7="Detritus",Calculations!$C$4,G329))-(SUM('Input and Output'!B$27:B$32))*H328))</f>
        <v>36.901901080060895</v>
      </c>
      <c r="D329" s="49">
        <f>(('Input and Output'!C$23*'Input and Output'!$B$10)+('Input and Output'!C$24*Calculations!$C$5)+('Input and Output'!C$25*Calculations!$C$6)+('Input and Output'!C$26*(IF('Input and Output'!E$7="Detritus",Calculations!$C$4,H329))-(SUM('Input and Output'!C$27:C$32))*I328))</f>
        <v>316.17113220014198</v>
      </c>
      <c r="E329" s="49">
        <f>(('Input and Output'!D$23*'Input and Output'!$B$10)+('Input and Output'!D$24*Calculations!$C$5)+('Input and Output'!D$25*Calculations!$C$6)+('Input and Output'!D$26*(IF('Input and Output'!F$7="Detritus",Calculations!$C$4,I329))-(SUM('Input and Output'!D$27:D$32))*J328))</f>
        <v>141.0742444123789</v>
      </c>
      <c r="F329" s="49" t="e">
        <f>(('Input and Output'!E$23*'Input and Output'!$B$10)+('Input and Output'!E$24*Calculations!$C$5)+('Input and Output'!E$25*Calculations!$C$6)+('Input and Output'!E$26*(IF('Input and Output'!G$7="Detritus",Calculations!$C$4,J329))-(SUM('Input and Output'!E$27:E$32))*K328))</f>
        <v>#N/A</v>
      </c>
      <c r="H329" s="49">
        <f>IF(H$2="",NA(),C329*$B329+H328)</f>
        <v>286706.57792221796</v>
      </c>
      <c r="I329" s="49">
        <f>IF(I$2="",NA(),D329*$B329+I328)</f>
        <v>2650895.2676030966</v>
      </c>
      <c r="J329" s="49">
        <f>IF(J$2="",NA(),E329*$B329+J328)</f>
        <v>1238541.980019782</v>
      </c>
      <c r="K329" s="49" t="e">
        <f>IF(K$2="",NA(),F329*$B329+K328)</f>
        <v>#N/A</v>
      </c>
    </row>
    <row r="330" spans="1:11" x14ac:dyDescent="0.4">
      <c r="A330" s="49">
        <v>327</v>
      </c>
      <c r="B330" s="49">
        <f>A330/$B$1</f>
        <v>13.625</v>
      </c>
      <c r="C330" s="49">
        <f>(('Input and Output'!B$23*'Input and Output'!$B$10)+('Input and Output'!B$24*Calculations!$C$5)+('Input and Output'!B$25*Calculations!$C$6)+('Input and Output'!B$26*(IF('Input and Output'!D$7="Detritus",Calculations!$C$4,G330))-(SUM('Input and Output'!B$27:B$32))*H329))</f>
        <v>36.418638092595756</v>
      </c>
      <c r="D330" s="49">
        <f>(('Input and Output'!C$23*'Input and Output'!$B$10)+('Input and Output'!C$24*Calculations!$C$5)+('Input and Output'!C$25*Calculations!$C$6)+('Input and Output'!C$26*(IF('Input and Output'!E$7="Detritus",Calculations!$C$4,H330))-(SUM('Input and Output'!C$27:C$32))*I329))</f>
        <v>312.00137985897618</v>
      </c>
      <c r="E330" s="49">
        <f>(('Input and Output'!D$23*'Input and Output'!$B$10)+('Input and Output'!D$24*Calculations!$C$5)+('Input and Output'!D$25*Calculations!$C$6)+('Input and Output'!D$26*(IF('Input and Output'!F$7="Detritus",Calculations!$C$4,I330))-(SUM('Input and Output'!D$27:D$32))*J329))</f>
        <v>139.20660293530455</v>
      </c>
      <c r="F330" s="49" t="e">
        <f>(('Input and Output'!E$23*'Input and Output'!$B$10)+('Input and Output'!E$24*Calculations!$C$5)+('Input and Output'!E$25*Calculations!$C$6)+('Input and Output'!E$26*(IF('Input and Output'!G$7="Detritus",Calculations!$C$4,J330))-(SUM('Input and Output'!E$27:E$32))*K329))</f>
        <v>#N/A</v>
      </c>
      <c r="H330" s="49">
        <f>IF(H$2="",NA(),C330*$B330+H329)</f>
        <v>287202.78186622955</v>
      </c>
      <c r="I330" s="49">
        <f>IF(I$2="",NA(),D330*$B330+I329)</f>
        <v>2655146.2864036751</v>
      </c>
      <c r="J330" s="49">
        <f>IF(J$2="",NA(),E330*$B330+J329)</f>
        <v>1240438.6699847756</v>
      </c>
      <c r="K330" s="49" t="e">
        <f>IF(K$2="",NA(),F330*$B330+K329)</f>
        <v>#N/A</v>
      </c>
    </row>
    <row r="331" spans="1:11" x14ac:dyDescent="0.4">
      <c r="A331" s="49">
        <v>328</v>
      </c>
      <c r="B331" s="49">
        <f>A331/$B$1</f>
        <v>13.666666666666666</v>
      </c>
      <c r="C331" s="49">
        <f>(('Input and Output'!B$23*'Input and Output'!$B$10)+('Input and Output'!B$24*Calculations!$C$5)+('Input and Output'!B$25*Calculations!$C$6)+('Input and Output'!B$26*(IF('Input and Output'!D$7="Detritus",Calculations!$C$4,G331))-(SUM('Input and Output'!B$27:B$32))*H330))</f>
        <v>35.940240872342144</v>
      </c>
      <c r="D331" s="49">
        <f>(('Input and Output'!C$23*'Input and Output'!$B$10)+('Input and Output'!C$24*Calculations!$C$5)+('Input and Output'!C$25*Calculations!$C$6)+('Input and Output'!C$26*(IF('Input and Output'!E$7="Detritus",Calculations!$C$4,H331))-(SUM('Input and Output'!C$27:C$32))*I330))</f>
        <v>307.87443859842188</v>
      </c>
      <c r="E331" s="49">
        <f>(('Input and Output'!D$23*'Input and Output'!$B$10)+('Input and Output'!D$24*Calculations!$C$5)+('Input and Output'!D$25*Calculations!$C$6)+('Input and Output'!D$26*(IF('Input and Output'!F$7="Detritus",Calculations!$C$4,I331))-(SUM('Input and Output'!D$27:D$32))*J330))</f>
        <v>137.35826299047403</v>
      </c>
      <c r="F331" s="49" t="e">
        <f>(('Input and Output'!E$23*'Input and Output'!$B$10)+('Input and Output'!E$24*Calculations!$C$5)+('Input and Output'!E$25*Calculations!$C$6)+('Input and Output'!E$26*(IF('Input and Output'!G$7="Detritus",Calculations!$C$4,J331))-(SUM('Input and Output'!E$27:E$32))*K330))</f>
        <v>#N/A</v>
      </c>
      <c r="H331" s="49">
        <f>IF(H$2="",NA(),C331*$B331+H330)</f>
        <v>287693.96515815158</v>
      </c>
      <c r="I331" s="49">
        <f>IF(I$2="",NA(),D331*$B331+I330)</f>
        <v>2659353.9037311869</v>
      </c>
      <c r="J331" s="49">
        <f>IF(J$2="",NA(),E331*$B331+J330)</f>
        <v>1242315.8995789788</v>
      </c>
      <c r="K331" s="49" t="e">
        <f>IF(K$2="",NA(),F331*$B331+K330)</f>
        <v>#N/A</v>
      </c>
    </row>
    <row r="332" spans="1:11" x14ac:dyDescent="0.4">
      <c r="A332" s="49">
        <v>329</v>
      </c>
      <c r="B332" s="49">
        <f>A332/$B$1</f>
        <v>13.708333333333334</v>
      </c>
      <c r="C332" s="49">
        <f>(('Input and Output'!B$23*'Input and Output'!$B$10)+('Input and Output'!B$24*Calculations!$C$5)+('Input and Output'!B$25*Calculations!$C$6)+('Input and Output'!B$26*(IF('Input and Output'!D$7="Detritus",Calculations!$C$4,G332))-(SUM('Input and Output'!B$27:B$32))*H331))</f>
        <v>35.46668413357304</v>
      </c>
      <c r="D332" s="49">
        <f>(('Input and Output'!C$23*'Input and Output'!$B$10)+('Input and Output'!C$24*Calculations!$C$5)+('Input and Output'!C$25*Calculations!$C$6)+('Input and Output'!C$26*(IF('Input and Output'!E$7="Detritus",Calculations!$C$4,H332))-(SUM('Input and Output'!C$27:C$32))*I331))</f>
        <v>303.79005783984667</v>
      </c>
      <c r="E332" s="49">
        <f>(('Input and Output'!D$23*'Input and Output'!$B$10)+('Input and Output'!D$24*Calculations!$C$5)+('Input and Output'!D$25*Calculations!$C$6)+('Input and Output'!D$26*(IF('Input and Output'!F$7="Detritus",Calculations!$C$4,I332))-(SUM('Input and Output'!D$27:D$32))*J331))</f>
        <v>135.52910925278047</v>
      </c>
      <c r="F332" s="49" t="e">
        <f>(('Input and Output'!E$23*'Input and Output'!$B$10)+('Input and Output'!E$24*Calculations!$C$5)+('Input and Output'!E$25*Calculations!$C$6)+('Input and Output'!E$26*(IF('Input and Output'!G$7="Detritus",Calculations!$C$4,J332))-(SUM('Input and Output'!E$27:E$32))*K331))</f>
        <v>#N/A</v>
      </c>
      <c r="H332" s="49">
        <f>IF(H$2="",NA(),C332*$B332+H331)</f>
        <v>288180.15428648266</v>
      </c>
      <c r="I332" s="49">
        <f>IF(I$2="",NA(),D332*$B332+I331)</f>
        <v>2663518.3591074082</v>
      </c>
      <c r="J332" s="49">
        <f>IF(J$2="",NA(),E332*$B332+J331)</f>
        <v>1244173.7777849857</v>
      </c>
      <c r="K332" s="49" t="e">
        <f>IF(K$2="",NA(),F332*$B332+K331)</f>
        <v>#N/A</v>
      </c>
    </row>
    <row r="333" spans="1:11" x14ac:dyDescent="0.4">
      <c r="A333" s="49">
        <v>330</v>
      </c>
      <c r="B333" s="49">
        <f>A333/$B$1</f>
        <v>13.75</v>
      </c>
      <c r="C333" s="49">
        <f>(('Input and Output'!B$23*'Input and Output'!$B$10)+('Input and Output'!B$24*Calculations!$C$5)+('Input and Output'!B$25*Calculations!$C$6)+('Input and Output'!B$26*(IF('Input and Output'!D$7="Detritus",Calculations!$C$4,G333))-(SUM('Input and Output'!B$27:B$32))*H332))</f>
        <v>34.997942338353312</v>
      </c>
      <c r="D333" s="49">
        <f>(('Input and Output'!C$23*'Input and Output'!$B$10)+('Input and Output'!C$24*Calculations!$C$5)+('Input and Output'!C$25*Calculations!$C$6)+('Input and Output'!C$26*(IF('Input and Output'!E$7="Detritus",Calculations!$C$4,H333))-(SUM('Input and Output'!C$27:C$32))*I332))</f>
        <v>299.74798581399773</v>
      </c>
      <c r="E333" s="49">
        <f>(('Input and Output'!D$23*'Input and Output'!$B$10)+('Input and Output'!D$24*Calculations!$C$5)+('Input and Output'!D$25*Calculations!$C$6)+('Input and Output'!D$26*(IF('Input and Output'!F$7="Detritus",Calculations!$C$4,I333))-(SUM('Input and Output'!D$27:D$32))*J332))</f>
        <v>133.71902590986065</v>
      </c>
      <c r="F333" s="49" t="e">
        <f>(('Input and Output'!E$23*'Input and Output'!$B$10)+('Input and Output'!E$24*Calculations!$C$5)+('Input and Output'!E$25*Calculations!$C$6)+('Input and Output'!E$26*(IF('Input and Output'!G$7="Detritus",Calculations!$C$4,J333))-(SUM('Input and Output'!E$27:E$32))*K332))</f>
        <v>#N/A</v>
      </c>
      <c r="H333" s="49">
        <f>IF(H$2="",NA(),C333*$B333+H332)</f>
        <v>288661.37599363504</v>
      </c>
      <c r="I333" s="49">
        <f>IF(I$2="",NA(),D333*$B333+I332)</f>
        <v>2667639.8939123508</v>
      </c>
      <c r="J333" s="49">
        <f>IF(J$2="",NA(),E333*$B333+J332)</f>
        <v>1246012.4143912464</v>
      </c>
      <c r="K333" s="49" t="e">
        <f>IF(K$2="",NA(),F333*$B333+K332)</f>
        <v>#N/A</v>
      </c>
    </row>
    <row r="334" spans="1:11" x14ac:dyDescent="0.4">
      <c r="A334" s="49">
        <v>331</v>
      </c>
      <c r="B334" s="49">
        <f>A334/$B$1</f>
        <v>13.791666666666666</v>
      </c>
      <c r="C334" s="49">
        <f>(('Input and Output'!B$23*'Input and Output'!$B$10)+('Input and Output'!B$24*Calculations!$C$5)+('Input and Output'!B$25*Calculations!$C$6)+('Input and Output'!B$26*(IF('Input and Output'!D$7="Detritus",Calculations!$C$4,G334))-(SUM('Input and Output'!B$27:B$32))*H333))</f>
        <v>34.533989703946133</v>
      </c>
      <c r="D334" s="49">
        <f>(('Input and Output'!C$23*'Input and Output'!$B$10)+('Input and Output'!C$24*Calculations!$C$5)+('Input and Output'!C$25*Calculations!$C$6)+('Input and Output'!C$26*(IF('Input and Output'!E$7="Detritus",Calculations!$C$4,H334))-(SUM('Input and Output'!C$27:C$32))*I333))</f>
        <v>295.74796959857031</v>
      </c>
      <c r="E334" s="49">
        <f>(('Input and Output'!D$23*'Input and Output'!$B$10)+('Input and Output'!D$24*Calculations!$C$5)+('Input and Output'!D$25*Calculations!$C$6)+('Input and Output'!D$26*(IF('Input and Output'!F$7="Detritus",Calculations!$C$4,I334))-(SUM('Input and Output'!D$27:D$32))*J333))</f>
        <v>131.92789667836405</v>
      </c>
      <c r="F334" s="49" t="e">
        <f>(('Input and Output'!E$23*'Input and Output'!$B$10)+('Input and Output'!E$24*Calculations!$C$5)+('Input and Output'!E$25*Calculations!$C$6)+('Input and Output'!E$26*(IF('Input and Output'!G$7="Detritus",Calculations!$C$4,J334))-(SUM('Input and Output'!E$27:E$32))*K333))</f>
        <v>#N/A</v>
      </c>
      <c r="H334" s="49">
        <f>IF(H$2="",NA(),C334*$B334+H333)</f>
        <v>289137.65726830199</v>
      </c>
      <c r="I334" s="49">
        <f>IF(I$2="",NA(),D334*$B334+I333)</f>
        <v>2671718.7513263975</v>
      </c>
      <c r="J334" s="49">
        <f>IF(J$2="",NA(),E334*$B334+J333)</f>
        <v>1247831.9199662688</v>
      </c>
      <c r="K334" s="49" t="e">
        <f>IF(K$2="",NA(),F334*$B334+K333)</f>
        <v>#N/A</v>
      </c>
    </row>
    <row r="335" spans="1:11" x14ac:dyDescent="0.4">
      <c r="A335" s="49">
        <v>332</v>
      </c>
      <c r="B335" s="49">
        <f>A335/$B$1</f>
        <v>13.833333333333334</v>
      </c>
      <c r="C335" s="49">
        <f>(('Input and Output'!B$23*'Input and Output'!$B$10)+('Input and Output'!B$24*Calculations!$C$5)+('Input and Output'!B$25*Calculations!$C$6)+('Input and Output'!B$26*(IF('Input and Output'!D$7="Detritus",Calculations!$C$4,G335))-(SUM('Input and Output'!B$27:B$32))*H334))</f>
        <v>34.074800210171816</v>
      </c>
      <c r="D335" s="49">
        <f>(('Input and Output'!C$23*'Input and Output'!$B$10)+('Input and Output'!C$24*Calculations!$C$5)+('Input and Output'!C$25*Calculations!$C$6)+('Input and Output'!C$26*(IF('Input and Output'!E$7="Detritus",Calculations!$C$4,H335))-(SUM('Input and Output'!C$27:C$32))*I334))</f>
        <v>291.78975515590446</v>
      </c>
      <c r="E335" s="49">
        <f>(('Input and Output'!D$23*'Input and Output'!$B$10)+('Input and Output'!D$24*Calculations!$C$5)+('Input and Output'!D$25*Calculations!$C$6)+('Input and Output'!D$26*(IF('Input and Output'!F$7="Detritus",Calculations!$C$4,I335))-(SUM('Input and Output'!D$27:D$32))*J334))</f>
        <v>130.15560482036744</v>
      </c>
      <c r="F335" s="49" t="e">
        <f>(('Input and Output'!E$23*'Input and Output'!$B$10)+('Input and Output'!E$24*Calculations!$C$5)+('Input and Output'!E$25*Calculations!$C$6)+('Input and Output'!E$26*(IF('Input and Output'!G$7="Detritus",Calculations!$C$4,J335))-(SUM('Input and Output'!E$27:E$32))*K334))</f>
        <v>#N/A</v>
      </c>
      <c r="H335" s="49">
        <f>IF(H$2="",NA(),C335*$B335+H334)</f>
        <v>289609.02533787605</v>
      </c>
      <c r="I335" s="49">
        <f>IF(I$2="",NA(),D335*$B335+I334)</f>
        <v>2675755.176272721</v>
      </c>
      <c r="J335" s="49">
        <f>IF(J$2="",NA(),E335*$B335+J334)</f>
        <v>1249632.4058329505</v>
      </c>
      <c r="K335" s="49" t="e">
        <f>IF(K$2="",NA(),F335*$B335+K334)</f>
        <v>#N/A</v>
      </c>
    </row>
    <row r="336" spans="1:11" x14ac:dyDescent="0.4">
      <c r="A336" s="49">
        <v>333</v>
      </c>
      <c r="B336" s="49">
        <f>A336/$B$1</f>
        <v>13.875</v>
      </c>
      <c r="C336" s="49">
        <f>(('Input and Output'!B$23*'Input and Output'!$B$10)+('Input and Output'!B$24*Calculations!$C$5)+('Input and Output'!B$25*Calculations!$C$6)+('Input and Output'!B$26*(IF('Input and Output'!D$7="Detritus",Calculations!$C$4,G336))-(SUM('Input and Output'!B$27:B$32))*H335))</f>
        <v>33.620347606717132</v>
      </c>
      <c r="D336" s="49">
        <f>(('Input and Output'!C$23*'Input and Output'!$B$10)+('Input and Output'!C$24*Calculations!$C$5)+('Input and Output'!C$25*Calculations!$C$6)+('Input and Output'!C$26*(IF('Input and Output'!E$7="Detritus",Calculations!$C$4,H336))-(SUM('Input and Output'!C$27:C$32))*I335))</f>
        <v>287.87308737082822</v>
      </c>
      <c r="E336" s="49">
        <f>(('Input and Output'!D$23*'Input and Output'!$B$10)+('Input and Output'!D$24*Calculations!$C$5)+('Input and Output'!D$25*Calculations!$C$6)+('Input and Output'!D$26*(IF('Input and Output'!F$7="Detritus",Calculations!$C$4,I336))-(SUM('Input and Output'!D$27:D$32))*J335))</f>
        <v>128.40203315970211</v>
      </c>
      <c r="F336" s="49" t="e">
        <f>(('Input and Output'!E$23*'Input and Output'!$B$10)+('Input and Output'!E$24*Calculations!$C$5)+('Input and Output'!E$25*Calculations!$C$6)+('Input and Output'!E$26*(IF('Input and Output'!G$7="Detritus",Calculations!$C$4,J336))-(SUM('Input and Output'!E$27:E$32))*K335))</f>
        <v>#N/A</v>
      </c>
      <c r="H336" s="49">
        <f>IF(H$2="",NA(),C336*$B336+H335)</f>
        <v>290075.50766091928</v>
      </c>
      <c r="I336" s="49">
        <f>IF(I$2="",NA(),D336*$B336+I335)</f>
        <v>2679749.4153599911</v>
      </c>
      <c r="J336" s="49">
        <f>IF(J$2="",NA(),E336*$B336+J335)</f>
        <v>1251413.9840430412</v>
      </c>
      <c r="K336" s="49" t="e">
        <f>IF(K$2="",NA(),F336*$B336+K335)</f>
        <v>#N/A</v>
      </c>
    </row>
    <row r="337" spans="1:11" x14ac:dyDescent="0.4">
      <c r="A337" s="49">
        <v>334</v>
      </c>
      <c r="B337" s="49">
        <f>A337/$B$1</f>
        <v>13.916666666666666</v>
      </c>
      <c r="C337" s="49">
        <f>(('Input and Output'!B$23*'Input and Output'!$B$10)+('Input and Output'!B$24*Calculations!$C$5)+('Input and Output'!B$25*Calculations!$C$6)+('Input and Output'!B$26*(IF('Input and Output'!D$7="Detritus",Calculations!$C$4,G337))-(SUM('Input and Output'!B$27:B$32))*H336))</f>
        <v>33.170605420395248</v>
      </c>
      <c r="D337" s="49">
        <f>(('Input and Output'!C$23*'Input and Output'!$B$10)+('Input and Output'!C$24*Calculations!$C$5)+('Input and Output'!C$25*Calculations!$C$6)+('Input and Output'!C$26*(IF('Input and Output'!E$7="Detritus",Calculations!$C$4,H337))-(SUM('Input and Output'!C$27:C$32))*I336))</f>
        <v>283.99771008859261</v>
      </c>
      <c r="E337" s="49">
        <f>(('Input and Output'!D$23*'Input and Output'!$B$10)+('Input and Output'!D$24*Calculations!$C$5)+('Input and Output'!D$25*Calculations!$C$6)+('Input and Output'!D$26*(IF('Input and Output'!F$7="Detritus",Calculations!$C$4,I337))-(SUM('Input and Output'!D$27:D$32))*J336))</f>
        <v>126.66706409857215</v>
      </c>
      <c r="F337" s="49" t="e">
        <f>(('Input and Output'!E$23*'Input and Output'!$B$10)+('Input and Output'!E$24*Calculations!$C$5)+('Input and Output'!E$25*Calculations!$C$6)+('Input and Output'!E$26*(IF('Input and Output'!G$7="Detritus",Calculations!$C$4,J337))-(SUM('Input and Output'!E$27:E$32))*K336))</f>
        <v>#N/A</v>
      </c>
      <c r="H337" s="49">
        <f>IF(H$2="",NA(),C337*$B337+H336)</f>
        <v>290537.13191968645</v>
      </c>
      <c r="I337" s="49">
        <f>IF(I$2="",NA(),D337*$B337+I336)</f>
        <v>2683701.7168253907</v>
      </c>
      <c r="J337" s="49">
        <f>IF(J$2="",NA(),E337*$B337+J336)</f>
        <v>1253176.7673517463</v>
      </c>
      <c r="K337" s="49" t="e">
        <f>IF(K$2="",NA(),F337*$B337+K336)</f>
        <v>#N/A</v>
      </c>
    </row>
    <row r="338" spans="1:11" x14ac:dyDescent="0.4">
      <c r="A338" s="49">
        <v>335</v>
      </c>
      <c r="B338" s="49">
        <f>A338/$B$1</f>
        <v>13.958333333333334</v>
      </c>
      <c r="C338" s="49">
        <f>(('Input and Output'!B$23*'Input and Output'!$B$10)+('Input and Output'!B$24*Calculations!$C$5)+('Input and Output'!B$25*Calculations!$C$6)+('Input and Output'!B$26*(IF('Input and Output'!D$7="Detritus",Calculations!$C$4,G338))-(SUM('Input and Output'!B$27:B$32))*H337))</f>
        <v>32.725546962353917</v>
      </c>
      <c r="D338" s="49">
        <f>(('Input and Output'!C$23*'Input and Output'!$B$10)+('Input and Output'!C$24*Calculations!$C$5)+('Input and Output'!C$25*Calculations!$C$6)+('Input and Output'!C$26*(IF('Input and Output'!E$7="Detritus",Calculations!$C$4,H338))-(SUM('Input and Output'!C$27:C$32))*I337))</f>
        <v>280.16336615291948</v>
      </c>
      <c r="E338" s="49">
        <f>(('Input and Output'!D$23*'Input and Output'!$B$10)+('Input and Output'!D$24*Calculations!$C$5)+('Input and Output'!D$25*Calculations!$C$6)+('Input and Output'!D$26*(IF('Input and Output'!F$7="Detritus",Calculations!$C$4,I338))-(SUM('Input and Output'!D$27:D$32))*J337))</f>
        <v>124.95057963407089</v>
      </c>
      <c r="F338" s="49" t="e">
        <f>(('Input and Output'!E$23*'Input and Output'!$B$10)+('Input and Output'!E$24*Calculations!$C$5)+('Input and Output'!E$25*Calculations!$C$6)+('Input and Output'!E$26*(IF('Input and Output'!G$7="Detritus",Calculations!$C$4,J338))-(SUM('Input and Output'!E$27:E$32))*K337))</f>
        <v>#N/A</v>
      </c>
      <c r="H338" s="49">
        <f>IF(H$2="",NA(),C338*$B338+H337)</f>
        <v>290993.92601270264</v>
      </c>
      <c r="I338" s="49">
        <f>IF(I$2="",NA(),D338*$B338+I337)</f>
        <v>2687612.3304779418</v>
      </c>
      <c r="J338" s="49">
        <f>IF(J$2="",NA(),E338*$B338+J337)</f>
        <v>1254920.869192472</v>
      </c>
      <c r="K338" s="49" t="e">
        <f>IF(K$2="",NA(),F338*$B338+K337)</f>
        <v>#N/A</v>
      </c>
    </row>
    <row r="339" spans="1:11" x14ac:dyDescent="0.4">
      <c r="A339" s="49">
        <v>336</v>
      </c>
      <c r="B339" s="49">
        <f>A339/$B$1</f>
        <v>14</v>
      </c>
      <c r="C339" s="49">
        <f>(('Input and Output'!B$23*'Input and Output'!$B$10)+('Input and Output'!B$24*Calculations!$C$5)+('Input and Output'!B$25*Calculations!$C$6)+('Input and Output'!B$26*(IF('Input and Output'!D$7="Detritus",Calculations!$C$4,G339))-(SUM('Input and Output'!B$27:B$32))*H338))</f>
        <v>32.285145335231618</v>
      </c>
      <c r="D339" s="49">
        <f>(('Input and Output'!C$23*'Input and Output'!$B$10)+('Input and Output'!C$24*Calculations!$C$5)+('Input and Output'!C$25*Calculations!$C$6)+('Input and Output'!C$26*(IF('Input and Output'!E$7="Detritus",Calculations!$C$4,H339))-(SUM('Input and Output'!C$27:C$32))*I338))</f>
        <v>276.36979744413748</v>
      </c>
      <c r="E339" s="49">
        <f>(('Input and Output'!D$23*'Input and Output'!$B$10)+('Input and Output'!D$24*Calculations!$C$5)+('Input and Output'!D$25*Calculations!$C$6)+('Input and Output'!D$26*(IF('Input and Output'!F$7="Detritus",Calculations!$C$4,I339))-(SUM('Input and Output'!D$27:D$32))*J338))</f>
        <v>123.25246137478462</v>
      </c>
      <c r="F339" s="49" t="e">
        <f>(('Input and Output'!E$23*'Input and Output'!$B$10)+('Input and Output'!E$24*Calculations!$C$5)+('Input and Output'!E$25*Calculations!$C$6)+('Input and Output'!E$26*(IF('Input and Output'!G$7="Detritus",Calculations!$C$4,J339))-(SUM('Input and Output'!E$27:E$32))*K338))</f>
        <v>#N/A</v>
      </c>
      <c r="H339" s="49">
        <f>IF(H$2="",NA(),C339*$B339+H338)</f>
        <v>291445.91804739588</v>
      </c>
      <c r="I339" s="49">
        <f>IF(I$2="",NA(),D339*$B339+I338)</f>
        <v>2691481.5076421597</v>
      </c>
      <c r="J339" s="49">
        <f>IF(J$2="",NA(),E339*$B339+J338)</f>
        <v>1256646.403651719</v>
      </c>
      <c r="K339" s="49" t="e">
        <f>IF(K$2="",NA(),F339*$B339+K338)</f>
        <v>#N/A</v>
      </c>
    </row>
    <row r="340" spans="1:11" x14ac:dyDescent="0.4">
      <c r="A340" s="49">
        <v>337</v>
      </c>
      <c r="B340" s="49">
        <f>A340/$B$1</f>
        <v>14.041666666666666</v>
      </c>
      <c r="C340" s="49">
        <f>(('Input and Output'!B$23*'Input and Output'!$B$10)+('Input and Output'!B$24*Calculations!$C$5)+('Input and Output'!B$25*Calculations!$C$6)+('Input and Output'!B$26*(IF('Input and Output'!D$7="Detritus",Calculations!$C$4,G340))-(SUM('Input and Output'!B$27:B$32))*H339))</f>
        <v>31.849373440260592</v>
      </c>
      <c r="D340" s="49">
        <f>(('Input and Output'!C$23*'Input and Output'!$B$10)+('Input and Output'!C$24*Calculations!$C$5)+('Input and Output'!C$25*Calculations!$C$6)+('Input and Output'!C$26*(IF('Input and Output'!E$7="Detritus",Calculations!$C$4,H340))-(SUM('Input and Output'!C$27:C$32))*I339))</f>
        <v>272.61674491737449</v>
      </c>
      <c r="E340" s="49">
        <f>(('Input and Output'!D$23*'Input and Output'!$B$10)+('Input and Output'!D$24*Calculations!$C$5)+('Input and Output'!D$25*Calculations!$C$6)+('Input and Output'!D$26*(IF('Input and Output'!F$7="Detritus",Calculations!$C$4,I340))-(SUM('Input and Output'!D$27:D$32))*J339))</f>
        <v>121.57259055739632</v>
      </c>
      <c r="F340" s="49" t="e">
        <f>(('Input and Output'!E$23*'Input and Output'!$B$10)+('Input and Output'!E$24*Calculations!$C$5)+('Input and Output'!E$25*Calculations!$C$6)+('Input and Output'!E$26*(IF('Input and Output'!G$7="Detritus",Calculations!$C$4,J340))-(SUM('Input and Output'!E$27:E$32))*K339))</f>
        <v>#N/A</v>
      </c>
      <c r="H340" s="49">
        <f>IF(H$2="",NA(),C340*$B340+H339)</f>
        <v>291893.13633278623</v>
      </c>
      <c r="I340" s="49">
        <f>IF(I$2="",NA(),D340*$B340+I339)</f>
        <v>2695309.501102041</v>
      </c>
      <c r="J340" s="49">
        <f>IF(J$2="",NA(),E340*$B340+J339)</f>
        <v>1258353.485444129</v>
      </c>
      <c r="K340" s="49" t="e">
        <f>IF(K$2="",NA(),F340*$B340+K339)</f>
        <v>#N/A</v>
      </c>
    </row>
    <row r="341" spans="1:11" x14ac:dyDescent="0.4">
      <c r="A341" s="49">
        <v>338</v>
      </c>
      <c r="B341" s="49">
        <f>A341/$B$1</f>
        <v>14.083333333333334</v>
      </c>
      <c r="C341" s="49">
        <f>(('Input and Output'!B$23*'Input and Output'!$B$10)+('Input and Output'!B$24*Calculations!$C$5)+('Input and Output'!B$25*Calculations!$C$6)+('Input and Output'!B$26*(IF('Input and Output'!D$7="Detritus",Calculations!$C$4,G341))-(SUM('Input and Output'!B$27:B$32))*H340))</f>
        <v>31.418203984315426</v>
      </c>
      <c r="D341" s="49">
        <f>(('Input and Output'!C$23*'Input and Output'!$B$10)+('Input and Output'!C$24*Calculations!$C$5)+('Input and Output'!C$25*Calculations!$C$6)+('Input and Output'!C$26*(IF('Input and Output'!E$7="Detritus",Calculations!$C$4,H341))-(SUM('Input and Output'!C$27:C$32))*I340))</f>
        <v>268.90394864081736</v>
      </c>
      <c r="E341" s="49">
        <f>(('Input and Output'!D$23*'Input and Output'!$B$10)+('Input and Output'!D$24*Calculations!$C$5)+('Input and Output'!D$25*Calculations!$C$6)+('Input and Output'!D$26*(IF('Input and Output'!F$7="Detritus",Calculations!$C$4,I341))-(SUM('Input and Output'!D$27:D$32))*J340))</f>
        <v>119.91084806342042</v>
      </c>
      <c r="F341" s="49" t="e">
        <f>(('Input and Output'!E$23*'Input and Output'!$B$10)+('Input and Output'!E$24*Calculations!$C$5)+('Input and Output'!E$25*Calculations!$C$6)+('Input and Output'!E$26*(IF('Input and Output'!G$7="Detritus",Calculations!$C$4,J341))-(SUM('Input and Output'!E$27:E$32))*K340))</f>
        <v>#N/A</v>
      </c>
      <c r="H341" s="49">
        <f>IF(H$2="",NA(),C341*$B341+H340)</f>
        <v>292335.60937223199</v>
      </c>
      <c r="I341" s="49">
        <f>IF(I$2="",NA(),D341*$B341+I340)</f>
        <v>2699096.5650453991</v>
      </c>
      <c r="J341" s="49">
        <f>IF(J$2="",NA(),E341*$B341+J340)</f>
        <v>1260042.2298876888</v>
      </c>
      <c r="K341" s="49" t="e">
        <f>IF(K$2="",NA(),F341*$B341+K340)</f>
        <v>#N/A</v>
      </c>
    </row>
    <row r="342" spans="1:11" x14ac:dyDescent="0.4">
      <c r="A342" s="49">
        <v>339</v>
      </c>
      <c r="B342" s="49">
        <f>A342/$B$1</f>
        <v>14.125</v>
      </c>
      <c r="C342" s="49">
        <f>(('Input and Output'!B$23*'Input and Output'!$B$10)+('Input and Output'!B$24*Calculations!$C$5)+('Input and Output'!B$25*Calculations!$C$6)+('Input and Output'!B$26*(IF('Input and Output'!D$7="Detritus",Calculations!$C$4,G342))-(SUM('Input and Output'!B$27:B$32))*H341))</f>
        <v>30.991609486906384</v>
      </c>
      <c r="D342" s="49">
        <f>(('Input and Output'!C$23*'Input and Output'!$B$10)+('Input and Output'!C$24*Calculations!$C$5)+('Input and Output'!C$25*Calculations!$C$6)+('Input and Output'!C$26*(IF('Input and Output'!E$7="Detritus",Calculations!$C$4,H342))-(SUM('Input and Output'!C$27:C$32))*I341))</f>
        <v>265.23114783400888</v>
      </c>
      <c r="E342" s="49">
        <f>(('Input and Output'!D$23*'Input and Output'!$B$10)+('Input and Output'!D$24*Calculations!$C$5)+('Input and Output'!D$25*Calculations!$C$6)+('Input and Output'!D$26*(IF('Input and Output'!F$7="Detritus",Calculations!$C$4,I342))-(SUM('Input and Output'!D$27:D$32))*J341))</f>
        <v>118.26711443577733</v>
      </c>
      <c r="F342" s="49" t="e">
        <f>(('Input and Output'!E$23*'Input and Output'!$B$10)+('Input and Output'!E$24*Calculations!$C$5)+('Input and Output'!E$25*Calculations!$C$6)+('Input and Output'!E$26*(IF('Input and Output'!G$7="Detritus",Calculations!$C$4,J342))-(SUM('Input and Output'!E$27:E$32))*K341))</f>
        <v>#N/A</v>
      </c>
      <c r="H342" s="49">
        <f>IF(H$2="",NA(),C342*$B342+H341)</f>
        <v>292773.36585623457</v>
      </c>
      <c r="I342" s="49">
        <f>IF(I$2="",NA(),D342*$B342+I341)</f>
        <v>2702842.9550085543</v>
      </c>
      <c r="J342" s="49">
        <f>IF(J$2="",NA(),E342*$B342+J341)</f>
        <v>1261712.7528790941</v>
      </c>
      <c r="K342" s="49" t="e">
        <f>IF(K$2="",NA(),F342*$B342+K341)</f>
        <v>#N/A</v>
      </c>
    </row>
    <row r="343" spans="1:11" x14ac:dyDescent="0.4">
      <c r="A343" s="49">
        <v>340</v>
      </c>
      <c r="B343" s="49">
        <f>A343/$B$1</f>
        <v>14.166666666666666</v>
      </c>
      <c r="C343" s="49">
        <f>(('Input and Output'!B$23*'Input and Output'!$B$10)+('Input and Output'!B$24*Calculations!$C$5)+('Input and Output'!B$25*Calculations!$C$6)+('Input and Output'!B$26*(IF('Input and Output'!D$7="Detritus",Calculations!$C$4,G343))-(SUM('Input and Output'!B$27:B$32))*H342))</f>
        <v>30.569562287116412</v>
      </c>
      <c r="D343" s="49">
        <f>(('Input and Output'!C$23*'Input and Output'!$B$10)+('Input and Output'!C$24*Calculations!$C$5)+('Input and Output'!C$25*Calculations!$C$6)+('Input and Output'!C$26*(IF('Input and Output'!E$7="Detritus",Calculations!$C$4,H343))-(SUM('Input and Output'!C$27:C$32))*I342))</f>
        <v>261.59808090617298</v>
      </c>
      <c r="E343" s="49">
        <f>(('Input and Output'!D$23*'Input and Output'!$B$10)+('Input and Output'!D$24*Calculations!$C$5)+('Input and Output'!D$25*Calculations!$C$6)+('Input and Output'!D$26*(IF('Input and Output'!F$7="Detritus",Calculations!$C$4,I343))-(SUM('Input and Output'!D$27:D$32))*J342))</f>
        <v>116.64126989573197</v>
      </c>
      <c r="F343" s="49" t="e">
        <f>(('Input and Output'!E$23*'Input and Output'!$B$10)+('Input and Output'!E$24*Calculations!$C$5)+('Input and Output'!E$25*Calculations!$C$6)+('Input and Output'!E$26*(IF('Input and Output'!G$7="Detritus",Calculations!$C$4,J343))-(SUM('Input and Output'!E$27:E$32))*K342))</f>
        <v>#N/A</v>
      </c>
      <c r="H343" s="49">
        <f>IF(H$2="",NA(),C343*$B343+H342)</f>
        <v>293206.43465530203</v>
      </c>
      <c r="I343" s="49">
        <f>IF(I$2="",NA(),D343*$B343+I342)</f>
        <v>2706548.9278213917</v>
      </c>
      <c r="J343" s="49">
        <f>IF(J$2="",NA(),E343*$B343+J342)</f>
        <v>1263365.1708692836</v>
      </c>
      <c r="K343" s="49" t="e">
        <f>IF(K$2="",NA(),F343*$B343+K342)</f>
        <v>#N/A</v>
      </c>
    </row>
    <row r="344" spans="1:11" x14ac:dyDescent="0.4">
      <c r="A344" s="49">
        <v>341</v>
      </c>
      <c r="B344" s="49">
        <f>A344/$B$1</f>
        <v>14.208333333333334</v>
      </c>
      <c r="C344" s="49">
        <f>(('Input and Output'!B$23*'Input and Output'!$B$10)+('Input and Output'!B$24*Calculations!$C$5)+('Input and Output'!B$25*Calculations!$C$6)+('Input and Output'!B$26*(IF('Input and Output'!D$7="Detritus",Calculations!$C$4,G344))-(SUM('Input and Output'!B$27:B$32))*H343))</f>
        <v>30.152034550481574</v>
      </c>
      <c r="D344" s="49">
        <f>(('Input and Output'!C$23*'Input and Output'!$B$10)+('Input and Output'!C$24*Calculations!$C$5)+('Input and Output'!C$25*Calculations!$C$6)+('Input and Output'!C$26*(IF('Input and Output'!E$7="Detritus",Calculations!$C$4,H344))-(SUM('Input and Output'!C$27:C$32))*I343))</f>
        <v>258.00448549454904</v>
      </c>
      <c r="E344" s="49">
        <f>(('Input and Output'!D$23*'Input and Output'!$B$10)+('Input and Output'!D$24*Calculations!$C$5)+('Input and Output'!D$25*Calculations!$C$6)+('Input and Output'!D$26*(IF('Input and Output'!F$7="Detritus",Calculations!$C$4,I344))-(SUM('Input and Output'!D$27:D$32))*J343))</f>
        <v>115.03319435935191</v>
      </c>
      <c r="F344" s="49" t="e">
        <f>(('Input and Output'!E$23*'Input and Output'!$B$10)+('Input and Output'!E$24*Calculations!$C$5)+('Input and Output'!E$25*Calculations!$C$6)+('Input and Output'!E$26*(IF('Input and Output'!G$7="Detritus",Calculations!$C$4,J344))-(SUM('Input and Output'!E$27:E$32))*K343))</f>
        <v>#N/A</v>
      </c>
      <c r="H344" s="49">
        <f>IF(H$2="",NA(),C344*$B344+H343)</f>
        <v>293634.84481287346</v>
      </c>
      <c r="I344" s="49">
        <f>IF(I$2="",NA(),D344*$B344+I343)</f>
        <v>2710214.7415527934</v>
      </c>
      <c r="J344" s="49">
        <f>IF(J$2="",NA(),E344*$B344+J343)</f>
        <v>1264999.6008391394</v>
      </c>
      <c r="K344" s="49" t="e">
        <f>IF(K$2="",NA(),F344*$B344+K343)</f>
        <v>#N/A</v>
      </c>
    </row>
    <row r="345" spans="1:11" x14ac:dyDescent="0.4">
      <c r="A345" s="49">
        <v>342</v>
      </c>
      <c r="B345" s="49">
        <f>A345/$B$1</f>
        <v>14.25</v>
      </c>
      <c r="C345" s="49">
        <f>(('Input and Output'!B$23*'Input and Output'!$B$10)+('Input and Output'!B$24*Calculations!$C$5)+('Input and Output'!B$25*Calculations!$C$6)+('Input and Output'!B$26*(IF('Input and Output'!D$7="Detritus",Calculations!$C$4,G345))-(SUM('Input and Output'!B$27:B$32))*H344))</f>
        <v>29.738998275812662</v>
      </c>
      <c r="D345" s="49">
        <f>(('Input and Output'!C$23*'Input and Output'!$B$10)+('Input and Output'!C$24*Calculations!$C$5)+('Input and Output'!C$25*Calculations!$C$6)+('Input and Output'!C$26*(IF('Input and Output'!E$7="Detritus",Calculations!$C$4,H345))-(SUM('Input and Output'!C$27:C$32))*I344))</f>
        <v>254.45009850273891</v>
      </c>
      <c r="E345" s="49">
        <f>(('Input and Output'!D$23*'Input and Output'!$B$10)+('Input and Output'!D$24*Calculations!$C$5)+('Input and Output'!D$25*Calculations!$C$6)+('Input and Output'!D$26*(IF('Input and Output'!F$7="Detritus",Calculations!$C$4,I345))-(SUM('Input and Output'!D$27:D$32))*J344))</f>
        <v>113.44276745441675</v>
      </c>
      <c r="F345" s="49" t="e">
        <f>(('Input and Output'!E$23*'Input and Output'!$B$10)+('Input and Output'!E$24*Calculations!$C$5)+('Input and Output'!E$25*Calculations!$C$6)+('Input and Output'!E$26*(IF('Input and Output'!G$7="Detritus",Calculations!$C$4,J345))-(SUM('Input and Output'!E$27:E$32))*K344))</f>
        <v>#N/A</v>
      </c>
      <c r="H345" s="49">
        <f>IF(H$2="",NA(),C345*$B345+H344)</f>
        <v>294058.62553830381</v>
      </c>
      <c r="I345" s="49">
        <f>IF(I$2="",NA(),D345*$B345+I344)</f>
        <v>2713840.6554564573</v>
      </c>
      <c r="J345" s="49">
        <f>IF(J$2="",NA(),E345*$B345+J344)</f>
        <v>1266616.1602753648</v>
      </c>
      <c r="K345" s="49" t="e">
        <f>IF(K$2="",NA(),F345*$B345+K344)</f>
        <v>#N/A</v>
      </c>
    </row>
    <row r="346" spans="1:11" x14ac:dyDescent="0.4">
      <c r="A346" s="49">
        <v>343</v>
      </c>
      <c r="B346" s="49">
        <f>A346/$B$1</f>
        <v>14.291666666666666</v>
      </c>
      <c r="C346" s="49">
        <f>(('Input and Output'!B$23*'Input and Output'!$B$10)+('Input and Output'!B$24*Calculations!$C$5)+('Input and Output'!B$25*Calculations!$C$6)+('Input and Output'!B$26*(IF('Input and Output'!D$7="Detritus",Calculations!$C$4,G346))-(SUM('Input and Output'!B$27:B$32))*H345))</f>
        <v>29.330425301958599</v>
      </c>
      <c r="D346" s="49">
        <f>(('Input and Output'!C$23*'Input and Output'!$B$10)+('Input and Output'!C$24*Calculations!$C$5)+('Input and Output'!C$25*Calculations!$C$6)+('Input and Output'!C$26*(IF('Input and Output'!E$7="Detritus",Calculations!$C$4,H346))-(SUM('Input and Output'!C$27:C$32))*I345))</f>
        <v>250.93465613901117</v>
      </c>
      <c r="E346" s="49">
        <f>(('Input and Output'!D$23*'Input and Output'!$B$10)+('Input and Output'!D$24*Calculations!$C$5)+('Input and Output'!D$25*Calculations!$C$6)+('Input and Output'!D$26*(IF('Input and Output'!F$7="Detritus",Calculations!$C$4,I346))-(SUM('Input and Output'!D$27:D$32))*J345))</f>
        <v>111.8698685371819</v>
      </c>
      <c r="F346" s="49" t="e">
        <f>(('Input and Output'!E$23*'Input and Output'!$B$10)+('Input and Output'!E$24*Calculations!$C$5)+('Input and Output'!E$25*Calculations!$C$6)+('Input and Output'!E$26*(IF('Input and Output'!G$7="Detritus",Calculations!$C$4,J346))-(SUM('Input and Output'!E$27:E$32))*K345))</f>
        <v>#N/A</v>
      </c>
      <c r="H346" s="49">
        <f>IF(H$2="",NA(),C346*$B346+H345)</f>
        <v>294477.80619991099</v>
      </c>
      <c r="I346" s="49">
        <f>IF(I$2="",NA(),D346*$B346+I345)</f>
        <v>2717426.9299171106</v>
      </c>
      <c r="J346" s="49">
        <f>IF(J$2="",NA(),E346*$B346+J345)</f>
        <v>1268214.9671465419</v>
      </c>
      <c r="K346" s="49" t="e">
        <f>IF(K$2="",NA(),F346*$B346+K345)</f>
        <v>#N/A</v>
      </c>
    </row>
    <row r="347" spans="1:11" x14ac:dyDescent="0.4">
      <c r="A347" s="49">
        <v>344</v>
      </c>
      <c r="B347" s="49">
        <f>A347/$B$1</f>
        <v>14.333333333333334</v>
      </c>
      <c r="C347" s="49">
        <f>(('Input and Output'!B$23*'Input and Output'!$B$10)+('Input and Output'!B$24*Calculations!$C$5)+('Input and Output'!B$25*Calculations!$C$6)+('Input and Output'!B$26*(IF('Input and Output'!D$7="Detritus",Calculations!$C$4,G347))-(SUM('Input and Output'!B$27:B$32))*H346))</f>
        <v>28.926287314509921</v>
      </c>
      <c r="D347" s="49">
        <f>(('Input and Output'!C$23*'Input and Output'!$B$10)+('Input and Output'!C$24*Calculations!$C$5)+('Input and Output'!C$25*Calculations!$C$6)+('Input and Output'!C$26*(IF('Input and Output'!E$7="Detritus",Calculations!$C$4,H347))-(SUM('Input and Output'!C$27:C$32))*I346))</f>
        <v>247.45789395460179</v>
      </c>
      <c r="E347" s="49">
        <f>(('Input and Output'!D$23*'Input and Output'!$B$10)+('Input and Output'!D$24*Calculations!$C$5)+('Input and Output'!D$25*Calculations!$C$6)+('Input and Output'!D$26*(IF('Input and Output'!F$7="Detritus",Calculations!$C$4,I347))-(SUM('Input and Output'!D$27:D$32))*J346))</f>
        <v>110.31437670886589</v>
      </c>
      <c r="F347" s="49" t="e">
        <f>(('Input and Output'!E$23*'Input and Output'!$B$10)+('Input and Output'!E$24*Calculations!$C$5)+('Input and Output'!E$25*Calculations!$C$6)+('Input and Output'!E$26*(IF('Input and Output'!G$7="Detritus",Calculations!$C$4,J347))-(SUM('Input and Output'!E$27:E$32))*K346))</f>
        <v>#N/A</v>
      </c>
      <c r="H347" s="49">
        <f>IF(H$2="",NA(),C347*$B347+H346)</f>
        <v>294892.41631808563</v>
      </c>
      <c r="I347" s="49">
        <f>IF(I$2="",NA(),D347*$B347+I346)</f>
        <v>2720973.8263971265</v>
      </c>
      <c r="J347" s="49">
        <f>IF(J$2="",NA(),E347*$B347+J346)</f>
        <v>1269796.1398793689</v>
      </c>
      <c r="K347" s="49" t="e">
        <f>IF(K$2="",NA(),F347*$B347+K346)</f>
        <v>#N/A</v>
      </c>
    </row>
    <row r="348" spans="1:11" x14ac:dyDescent="0.4">
      <c r="A348" s="49">
        <v>345</v>
      </c>
      <c r="B348" s="49">
        <f>A348/$B$1</f>
        <v>14.375</v>
      </c>
      <c r="C348" s="49">
        <f>(('Input and Output'!B$23*'Input and Output'!$B$10)+('Input and Output'!B$24*Calculations!$C$5)+('Input and Output'!B$25*Calculations!$C$6)+('Input and Output'!B$26*(IF('Input and Output'!D$7="Detritus",Calculations!$C$4,G348))-(SUM('Input and Output'!B$27:B$32))*H347))</f>
        <v>28.526555852441732</v>
      </c>
      <c r="D348" s="49">
        <f>(('Input and Output'!C$23*'Input and Output'!$B$10)+('Input and Output'!C$24*Calculations!$C$5)+('Input and Output'!C$25*Calculations!$C$6)+('Input and Output'!C$26*(IF('Input and Output'!E$7="Detritus",Calculations!$C$4,H348))-(SUM('Input and Output'!C$27:C$32))*I347))</f>
        <v>244.01954688196201</v>
      </c>
      <c r="E348" s="49">
        <f>(('Input and Output'!D$23*'Input and Output'!$B$10)+('Input and Output'!D$24*Calculations!$C$5)+('Input and Output'!D$25*Calculations!$C$6)+('Input and Output'!D$26*(IF('Input and Output'!F$7="Detritus",Calculations!$C$4,I348))-(SUM('Input and Output'!D$27:D$32))*J347))</f>
        <v>108.77617083267614</v>
      </c>
      <c r="F348" s="49" t="e">
        <f>(('Input and Output'!E$23*'Input and Output'!$B$10)+('Input and Output'!E$24*Calculations!$C$5)+('Input and Output'!E$25*Calculations!$C$6)+('Input and Output'!E$26*(IF('Input and Output'!G$7="Detritus",Calculations!$C$4,J348))-(SUM('Input and Output'!E$27:E$32))*K347))</f>
        <v>#N/A</v>
      </c>
      <c r="H348" s="49">
        <f>IF(H$2="",NA(),C348*$B348+H347)</f>
        <v>295302.48555846448</v>
      </c>
      <c r="I348" s="49">
        <f>IF(I$2="",NA(),D348*$B348+I347)</f>
        <v>2724481.6073835548</v>
      </c>
      <c r="J348" s="49">
        <f>IF(J$2="",NA(),E348*$B348+J347)</f>
        <v>1271359.7973350887</v>
      </c>
      <c r="K348" s="49" t="e">
        <f>IF(K$2="",NA(),F348*$B348+K347)</f>
        <v>#N/A</v>
      </c>
    </row>
    <row r="349" spans="1:11" x14ac:dyDescent="0.4">
      <c r="A349" s="49">
        <v>346</v>
      </c>
      <c r="B349" s="49">
        <f>A349/$B$1</f>
        <v>14.416666666666666</v>
      </c>
      <c r="C349" s="49">
        <f>(('Input and Output'!B$23*'Input and Output'!$B$10)+('Input and Output'!B$24*Calculations!$C$5)+('Input and Output'!B$25*Calculations!$C$6)+('Input and Output'!B$26*(IF('Input and Output'!D$7="Detritus",Calculations!$C$4,G349))-(SUM('Input and Output'!B$27:B$32))*H348))</f>
        <v>28.131202314695201</v>
      </c>
      <c r="D349" s="49">
        <f>(('Input and Output'!C$23*'Input and Output'!$B$10)+('Input and Output'!C$24*Calculations!$C$5)+('Input and Output'!C$25*Calculations!$C$6)+('Input and Output'!C$26*(IF('Input and Output'!E$7="Detritus",Calculations!$C$4,H349))-(SUM('Input and Output'!C$27:C$32))*I348))</f>
        <v>240.61934927294169</v>
      </c>
      <c r="E349" s="49">
        <f>(('Input and Output'!D$23*'Input and Output'!$B$10)+('Input and Output'!D$24*Calculations!$C$5)+('Input and Output'!D$25*Calculations!$C$6)+('Input and Output'!D$26*(IF('Input and Output'!F$7="Detritus",Calculations!$C$4,I349))-(SUM('Input and Output'!D$27:D$32))*J348))</f>
        <v>107.2551295502526</v>
      </c>
      <c r="F349" s="49" t="e">
        <f>(('Input and Output'!E$23*'Input and Output'!$B$10)+('Input and Output'!E$24*Calculations!$C$5)+('Input and Output'!E$25*Calculations!$C$6)+('Input and Output'!E$26*(IF('Input and Output'!G$7="Detritus",Calculations!$C$4,J349))-(SUM('Input and Output'!E$27:E$32))*K348))</f>
        <v>#N/A</v>
      </c>
      <c r="H349" s="49">
        <f>IF(H$2="",NA(),C349*$B349+H348)</f>
        <v>295708.04372516798</v>
      </c>
      <c r="I349" s="49">
        <f>IF(I$2="",NA(),D349*$B349+I348)</f>
        <v>2727950.5363355731</v>
      </c>
      <c r="J349" s="49">
        <f>IF(J$2="",NA(),E349*$B349+J348)</f>
        <v>1272906.0587861049</v>
      </c>
      <c r="K349" s="49" t="e">
        <f>IF(K$2="",NA(),F349*$B349+K348)</f>
        <v>#N/A</v>
      </c>
    </row>
    <row r="350" spans="1:11" x14ac:dyDescent="0.4">
      <c r="A350" s="49">
        <v>347</v>
      </c>
      <c r="B350" s="49">
        <f>A350/$B$1</f>
        <v>14.458333333333334</v>
      </c>
      <c r="C350" s="49">
        <f>(('Input and Output'!B$23*'Input and Output'!$B$10)+('Input and Output'!B$24*Calculations!$C$5)+('Input and Output'!B$25*Calculations!$C$6)+('Input and Output'!B$26*(IF('Input and Output'!D$7="Detritus",Calculations!$C$4,G350))-(SUM('Input and Output'!B$27:B$32))*H349))</f>
        <v>27.740197966697565</v>
      </c>
      <c r="D350" s="49">
        <f>(('Input and Output'!C$23*'Input and Output'!$B$10)+('Input and Output'!C$24*Calculations!$C$5)+('Input and Output'!C$25*Calculations!$C$6)+('Input and Output'!C$26*(IF('Input and Output'!E$7="Detritus",Calculations!$C$4,H350))-(SUM('Input and Output'!C$27:C$32))*I349))</f>
        <v>237.25703493690526</v>
      </c>
      <c r="E350" s="49">
        <f>(('Input and Output'!D$23*'Input and Output'!$B$10)+('Input and Output'!D$24*Calculations!$C$5)+('Input and Output'!D$25*Calculations!$C$6)+('Input and Output'!D$26*(IF('Input and Output'!F$7="Detritus",Calculations!$C$4,I350))-(SUM('Input and Output'!D$27:D$32))*J349))</f>
        <v>105.75113129850433</v>
      </c>
      <c r="F350" s="49" t="e">
        <f>(('Input and Output'!E$23*'Input and Output'!$B$10)+('Input and Output'!E$24*Calculations!$C$5)+('Input and Output'!E$25*Calculations!$C$6)+('Input and Output'!E$26*(IF('Input and Output'!G$7="Detritus",Calculations!$C$4,J350))-(SUM('Input and Output'!E$27:E$32))*K349))</f>
        <v>#N/A</v>
      </c>
      <c r="H350" s="49">
        <f>IF(H$2="",NA(),C350*$B350+H349)</f>
        <v>296109.12075410318</v>
      </c>
      <c r="I350" s="49">
        <f>IF(I$2="",NA(),D350*$B350+I349)</f>
        <v>2731380.8776323693</v>
      </c>
      <c r="J350" s="49">
        <f>IF(J$2="",NA(),E350*$B350+J349)</f>
        <v>1274435.0438927957</v>
      </c>
      <c r="K350" s="49" t="e">
        <f>IF(K$2="",NA(),F350*$B350+K349)</f>
        <v>#N/A</v>
      </c>
    </row>
    <row r="351" spans="1:11" x14ac:dyDescent="0.4">
      <c r="A351" s="49">
        <v>348</v>
      </c>
      <c r="B351" s="49">
        <f>A351/$B$1</f>
        <v>14.5</v>
      </c>
      <c r="C351" s="49">
        <f>(('Input and Output'!B$23*'Input and Output'!$B$10)+('Input and Output'!B$24*Calculations!$C$5)+('Input and Output'!B$25*Calculations!$C$6)+('Input and Output'!B$26*(IF('Input and Output'!D$7="Detritus",Calculations!$C$4,G351))-(SUM('Input and Output'!B$27:B$32))*H350))</f>
        <v>27.35351394681868</v>
      </c>
      <c r="D351" s="49">
        <f>(('Input and Output'!C$23*'Input and Output'!$B$10)+('Input and Output'!C$24*Calculations!$C$5)+('Input and Output'!C$25*Calculations!$C$6)+('Input and Output'!C$26*(IF('Input and Output'!E$7="Detritus",Calculations!$C$4,H351))-(SUM('Input and Output'!C$27:C$32))*I350))</f>
        <v>233.93233717876956</v>
      </c>
      <c r="E351" s="49">
        <f>(('Input and Output'!D$23*'Input and Output'!$B$10)+('Input and Output'!D$24*Calculations!$C$5)+('Input and Output'!D$25*Calculations!$C$6)+('Input and Output'!D$26*(IF('Input and Output'!F$7="Detritus",Calculations!$C$4,I351))-(SUM('Input and Output'!D$27:D$32))*J350))</f>
        <v>104.26405432608226</v>
      </c>
      <c r="F351" s="49" t="e">
        <f>(('Input and Output'!E$23*'Input and Output'!$B$10)+('Input and Output'!E$24*Calculations!$C$5)+('Input and Output'!E$25*Calculations!$C$6)+('Input and Output'!E$26*(IF('Input and Output'!G$7="Detritus",Calculations!$C$4,J351))-(SUM('Input and Output'!E$27:E$32))*K350))</f>
        <v>#N/A</v>
      </c>
      <c r="H351" s="49">
        <f>IF(H$2="",NA(),C351*$B351+H350)</f>
        <v>296505.74670633202</v>
      </c>
      <c r="I351" s="49">
        <f>IF(I$2="",NA(),D351*$B351+I350)</f>
        <v>2734772.8965214617</v>
      </c>
      <c r="J351" s="49">
        <f>IF(J$2="",NA(),E351*$B351+J350)</f>
        <v>1275946.8726805239</v>
      </c>
      <c r="K351" s="49" t="e">
        <f>IF(K$2="",NA(),F351*$B351+K350)</f>
        <v>#N/A</v>
      </c>
    </row>
    <row r="352" spans="1:11" x14ac:dyDescent="0.4">
      <c r="A352" s="49">
        <v>349</v>
      </c>
      <c r="B352" s="49">
        <f>A352/$B$1</f>
        <v>14.541666666666666</v>
      </c>
      <c r="C352" s="49">
        <f>(('Input and Output'!B$23*'Input and Output'!$B$10)+('Input and Output'!B$24*Calculations!$C$5)+('Input and Output'!B$25*Calculations!$C$6)+('Input and Output'!B$26*(IF('Input and Output'!D$7="Detritus",Calculations!$C$4,G352))-(SUM('Input and Output'!B$27:B$32))*H351))</f>
        <v>26.971121272764719</v>
      </c>
      <c r="D352" s="49">
        <f>(('Input and Output'!C$23*'Input and Output'!$B$10)+('Input and Output'!C$24*Calculations!$C$5)+('Input and Output'!C$25*Calculations!$C$6)+('Input and Output'!C$26*(IF('Input and Output'!E$7="Detritus",Calculations!$C$4,H352))-(SUM('Input and Output'!C$27:C$32))*I351))</f>
        <v>230.64498883692795</v>
      </c>
      <c r="E352" s="49">
        <f>(('Input and Output'!D$23*'Input and Output'!$B$10)+('Input and Output'!D$24*Calculations!$C$5)+('Input and Output'!D$25*Calculations!$C$6)+('Input and Output'!D$26*(IF('Input and Output'!F$7="Detritus",Calculations!$C$4,I352))-(SUM('Input and Output'!D$27:D$32))*J351))</f>
        <v>102.79377671005568</v>
      </c>
      <c r="F352" s="49" t="e">
        <f>(('Input and Output'!E$23*'Input and Output'!$B$10)+('Input and Output'!E$24*Calculations!$C$5)+('Input and Output'!E$25*Calculations!$C$6)+('Input and Output'!E$26*(IF('Input and Output'!G$7="Detritus",Calculations!$C$4,J352))-(SUM('Input and Output'!E$27:E$32))*K351))</f>
        <v>#N/A</v>
      </c>
      <c r="H352" s="49">
        <f>IF(H$2="",NA(),C352*$B352+H351)</f>
        <v>296897.95176150679</v>
      </c>
      <c r="I352" s="49">
        <f>IF(I$2="",NA(),D352*$B352+I351)</f>
        <v>2738126.8590674652</v>
      </c>
      <c r="J352" s="49">
        <f>IF(J$2="",NA(),E352*$B352+J351)</f>
        <v>1277441.6655168494</v>
      </c>
      <c r="K352" s="49" t="e">
        <f>IF(K$2="",NA(),F352*$B352+K351)</f>
        <v>#N/A</v>
      </c>
    </row>
    <row r="353" spans="1:11" x14ac:dyDescent="0.4">
      <c r="A353" s="49">
        <v>350</v>
      </c>
      <c r="B353" s="49">
        <f>A353/$B$1</f>
        <v>14.583333333333334</v>
      </c>
      <c r="C353" s="49">
        <f>(('Input and Output'!B$23*'Input and Output'!$B$10)+('Input and Output'!B$24*Calculations!$C$5)+('Input and Output'!B$25*Calculations!$C$6)+('Input and Output'!B$26*(IF('Input and Output'!D$7="Detritus",Calculations!$C$4,G353))-(SUM('Input and Output'!B$27:B$32))*H352))</f>
        <v>26.592990847907288</v>
      </c>
      <c r="D353" s="49">
        <f>(('Input and Output'!C$23*'Input and Output'!$B$10)+('Input and Output'!C$24*Calculations!$C$5)+('Input and Output'!C$25*Calculations!$C$6)+('Input and Output'!C$26*(IF('Input and Output'!E$7="Detritus",Calculations!$C$4,H353))-(SUM('Input and Output'!C$27:C$32))*I352))</f>
        <v>227.39472232107801</v>
      </c>
      <c r="E353" s="49">
        <f>(('Input and Output'!D$23*'Input and Output'!$B$10)+('Input and Output'!D$24*Calculations!$C$5)+('Input and Output'!D$25*Calculations!$C$6)+('Input and Output'!D$26*(IF('Input and Output'!F$7="Detritus",Calculations!$C$4,I353))-(SUM('Input and Output'!D$27:D$32))*J352))</f>
        <v>101.340176372516</v>
      </c>
      <c r="F353" s="49" t="e">
        <f>(('Input and Output'!E$23*'Input and Output'!$B$10)+('Input and Output'!E$24*Calculations!$C$5)+('Input and Output'!E$25*Calculations!$C$6)+('Input and Output'!E$26*(IF('Input and Output'!G$7="Detritus",Calculations!$C$4,J353))-(SUM('Input and Output'!E$27:E$32))*K352))</f>
        <v>#N/A</v>
      </c>
      <c r="H353" s="49">
        <f>IF(H$2="",NA(),C353*$B353+H352)</f>
        <v>297285.7662113721</v>
      </c>
      <c r="I353" s="49">
        <f>IF(I$2="",NA(),D353*$B353+I352)</f>
        <v>2741443.032101314</v>
      </c>
      <c r="J353" s="49">
        <f>IF(J$2="",NA(),E353*$B353+J352)</f>
        <v>1278919.5430889486</v>
      </c>
      <c r="K353" s="49" t="e">
        <f>IF(K$2="",NA(),F353*$B353+K352)</f>
        <v>#N/A</v>
      </c>
    </row>
    <row r="354" spans="1:11" x14ac:dyDescent="0.4">
      <c r="A354" s="49">
        <v>351</v>
      </c>
      <c r="B354" s="49">
        <f>A354/$B$1</f>
        <v>14.625</v>
      </c>
      <c r="C354" s="49">
        <f>(('Input and Output'!B$23*'Input and Output'!$B$10)+('Input and Output'!B$24*Calculations!$C$5)+('Input and Output'!B$25*Calculations!$C$6)+('Input and Output'!B$26*(IF('Input and Output'!D$7="Detritus",Calculations!$C$4,G354))-(SUM('Input and Output'!B$27:B$32))*H353))</f>
        <v>26.219093467548305</v>
      </c>
      <c r="D354" s="49">
        <f>(('Input and Output'!C$23*'Input and Output'!$B$10)+('Input and Output'!C$24*Calculations!$C$5)+('Input and Output'!C$25*Calculations!$C$6)+('Input and Output'!C$26*(IF('Input and Output'!E$7="Detritus",Calculations!$C$4,H354))-(SUM('Input and Output'!C$27:C$32))*I353))</f>
        <v>224.18126964991006</v>
      </c>
      <c r="E354" s="49">
        <f>(('Input and Output'!D$23*'Input and Output'!$B$10)+('Input and Output'!D$24*Calculations!$C$5)+('Input and Output'!D$25*Calculations!$C$6)+('Input and Output'!D$26*(IF('Input and Output'!F$7="Detritus",Calculations!$C$4,I354))-(SUM('Input and Output'!D$27:D$32))*J353))</f>
        <v>99.903131097005826</v>
      </c>
      <c r="F354" s="49" t="e">
        <f>(('Input and Output'!E$23*'Input and Output'!$B$10)+('Input and Output'!E$24*Calculations!$C$5)+('Input and Output'!E$25*Calculations!$C$6)+('Input and Output'!E$26*(IF('Input and Output'!G$7="Detritus",Calculations!$C$4,J354))-(SUM('Input and Output'!E$27:E$32))*K353))</f>
        <v>#N/A</v>
      </c>
      <c r="H354" s="49">
        <f>IF(H$2="",NA(),C354*$B354+H353)</f>
        <v>297669.22045333497</v>
      </c>
      <c r="I354" s="49">
        <f>IF(I$2="",NA(),D354*$B354+I353)</f>
        <v>2744721.6831699442</v>
      </c>
      <c r="J354" s="49">
        <f>IF(J$2="",NA(),E354*$B354+J353)</f>
        <v>1280380.6263812422</v>
      </c>
      <c r="K354" s="49" t="e">
        <f>IF(K$2="",NA(),F354*$B354+K353)</f>
        <v>#N/A</v>
      </c>
    </row>
    <row r="355" spans="1:11" x14ac:dyDescent="0.4">
      <c r="A355" s="49">
        <v>352</v>
      </c>
      <c r="B355" s="49">
        <f>A355/$B$1</f>
        <v>14.666666666666666</v>
      </c>
      <c r="C355" s="49">
        <f>(('Input and Output'!B$23*'Input and Output'!$B$10)+('Input and Output'!B$24*Calculations!$C$5)+('Input and Output'!B$25*Calculations!$C$6)+('Input and Output'!B$26*(IF('Input and Output'!D$7="Detritus",Calculations!$C$4,G355))-(SUM('Input and Output'!B$27:B$32))*H354))</f>
        <v>25.849399825118894</v>
      </c>
      <c r="D355" s="49">
        <f>(('Input and Output'!C$23*'Input and Output'!$B$10)+('Input and Output'!C$24*Calculations!$C$5)+('Input and Output'!C$25*Calculations!$C$6)+('Input and Output'!C$26*(IF('Input and Output'!E$7="Detritus",Calculations!$C$4,H355))-(SUM('Input and Output'!C$27:C$32))*I354))</f>
        <v>221.0043624886639</v>
      </c>
      <c r="E355" s="49">
        <f>(('Input and Output'!D$23*'Input and Output'!$B$10)+('Input and Output'!D$24*Calculations!$C$5)+('Input and Output'!D$25*Calculations!$C$6)+('Input and Output'!D$26*(IF('Input and Output'!F$7="Detritus",Calculations!$C$4,I355))-(SUM('Input and Output'!D$27:D$32))*J354))</f>
        <v>98.482518544875347</v>
      </c>
      <c r="F355" s="49" t="e">
        <f>(('Input and Output'!E$23*'Input and Output'!$B$10)+('Input and Output'!E$24*Calculations!$C$5)+('Input and Output'!E$25*Calculations!$C$6)+('Input and Output'!E$26*(IF('Input and Output'!G$7="Detritus",Calculations!$C$4,J355))-(SUM('Input and Output'!E$27:E$32))*K354))</f>
        <v>#N/A</v>
      </c>
      <c r="H355" s="49">
        <f>IF(H$2="",NA(),C355*$B355+H354)</f>
        <v>298048.3449841034</v>
      </c>
      <c r="I355" s="49">
        <f>IF(I$2="",NA(),D355*$B355+I354)</f>
        <v>2747963.0804864448</v>
      </c>
      <c r="J355" s="49">
        <f>IF(J$2="",NA(),E355*$B355+J354)</f>
        <v>1281825.0366532337</v>
      </c>
      <c r="K355" s="49" t="e">
        <f>IF(K$2="",NA(),F355*$B355+K354)</f>
        <v>#N/A</v>
      </c>
    </row>
    <row r="356" spans="1:11" x14ac:dyDescent="0.4">
      <c r="A356" s="49">
        <v>353</v>
      </c>
      <c r="B356" s="49">
        <f>A356/$B$1</f>
        <v>14.708333333333334</v>
      </c>
      <c r="C356" s="49">
        <f>(('Input and Output'!B$23*'Input and Output'!$B$10)+('Input and Output'!B$24*Calculations!$C$5)+('Input and Output'!B$25*Calculations!$C$6)+('Input and Output'!B$26*(IF('Input and Output'!D$7="Detritus",Calculations!$C$4,G356))-(SUM('Input and Output'!B$27:B$32))*H355))</f>
        <v>25.483880518312787</v>
      </c>
      <c r="D356" s="49">
        <f>(('Input and Output'!C$23*'Input and Output'!$B$10)+('Input and Output'!C$24*Calculations!$C$5)+('Input and Output'!C$25*Calculations!$C$6)+('Input and Output'!C$26*(IF('Input and Output'!E$7="Detritus",Calculations!$C$4,H356))-(SUM('Input and Output'!C$27:C$32))*I355))</f>
        <v>217.86373218653534</v>
      </c>
      <c r="E356" s="49">
        <f>(('Input and Output'!D$23*'Input and Output'!$B$10)+('Input and Output'!D$24*Calculations!$C$5)+('Input and Output'!D$25*Calculations!$C$6)+('Input and Output'!D$26*(IF('Input and Output'!F$7="Detritus",Calculations!$C$4,I356))-(SUM('Input and Output'!D$27:D$32))*J355))</f>
        <v>97.078216271755082</v>
      </c>
      <c r="F356" s="49" t="e">
        <f>(('Input and Output'!E$23*'Input and Output'!$B$10)+('Input and Output'!E$24*Calculations!$C$5)+('Input and Output'!E$25*Calculations!$C$6)+('Input and Output'!E$26*(IF('Input and Output'!G$7="Detritus",Calculations!$C$4,J356))-(SUM('Input and Output'!E$27:E$32))*K355))</f>
        <v>#N/A</v>
      </c>
      <c r="H356" s="49">
        <f>IF(H$2="",NA(),C356*$B356+H355)</f>
        <v>298423.17039339361</v>
      </c>
      <c r="I356" s="49">
        <f>IF(I$2="",NA(),D356*$B356+I355)</f>
        <v>2751167.4928806885</v>
      </c>
      <c r="J356" s="49">
        <f>IF(J$2="",NA(),E356*$B356+J355)</f>
        <v>1283252.8954175641</v>
      </c>
      <c r="K356" s="49" t="e">
        <f>IF(K$2="",NA(),F356*$B356+K355)</f>
        <v>#N/A</v>
      </c>
    </row>
    <row r="357" spans="1:11" x14ac:dyDescent="0.4">
      <c r="A357" s="49">
        <v>354</v>
      </c>
      <c r="B357" s="49">
        <f>A357/$B$1</f>
        <v>14.75</v>
      </c>
      <c r="C357" s="49">
        <f>(('Input and Output'!B$23*'Input and Output'!$B$10)+('Input and Output'!B$24*Calculations!$C$5)+('Input and Output'!B$25*Calculations!$C$6)+('Input and Output'!B$26*(IF('Input and Output'!D$7="Detritus",Calculations!$C$4,G357))-(SUM('Input and Output'!B$27:B$32))*H356))</f>
        <v>25.122506055153224</v>
      </c>
      <c r="D357" s="49">
        <f>(('Input and Output'!C$23*'Input and Output'!$B$10)+('Input and Output'!C$24*Calculations!$C$5)+('Input and Output'!C$25*Calculations!$C$6)+('Input and Output'!C$26*(IF('Input and Output'!E$7="Detritus",Calculations!$C$4,H357))-(SUM('Input and Output'!C$27:C$32))*I356))</f>
        <v>214.75910981391371</v>
      </c>
      <c r="E357" s="49">
        <f>(('Input and Output'!D$23*'Input and Output'!$B$10)+('Input and Output'!D$24*Calculations!$C$5)+('Input and Output'!D$25*Calculations!$C$6)+('Input and Output'!D$26*(IF('Input and Output'!F$7="Detritus",Calculations!$C$4,I357))-(SUM('Input and Output'!D$27:D$32))*J356))</f>
        <v>95.690101743912237</v>
      </c>
      <c r="F357" s="49" t="e">
        <f>(('Input and Output'!E$23*'Input and Output'!$B$10)+('Input and Output'!E$24*Calculations!$C$5)+('Input and Output'!E$25*Calculations!$C$6)+('Input and Output'!E$26*(IF('Input and Output'!G$7="Detritus",Calculations!$C$4,J357))-(SUM('Input and Output'!E$27:E$32))*K356))</f>
        <v>#N/A</v>
      </c>
      <c r="H357" s="49">
        <f>IF(H$2="",NA(),C357*$B357+H356)</f>
        <v>298793.7273577071</v>
      </c>
      <c r="I357" s="49">
        <f>IF(I$2="",NA(),D357*$B357+I356)</f>
        <v>2754335.1897504437</v>
      </c>
      <c r="J357" s="49">
        <f>IF(J$2="",NA(),E357*$B357+J356)</f>
        <v>1284664.3244182868</v>
      </c>
      <c r="K357" s="49" t="e">
        <f>IF(K$2="",NA(),F357*$B357+K356)</f>
        <v>#N/A</v>
      </c>
    </row>
    <row r="358" spans="1:11" x14ac:dyDescent="0.4">
      <c r="A358" s="49">
        <v>355</v>
      </c>
      <c r="B358" s="49">
        <f>A358/$B$1</f>
        <v>14.791666666666666</v>
      </c>
      <c r="C358" s="49">
        <f>(('Input and Output'!B$23*'Input and Output'!$B$10)+('Input and Output'!B$24*Calculations!$C$5)+('Input and Output'!B$25*Calculations!$C$6)+('Input and Output'!B$26*(IF('Input and Output'!D$7="Detritus",Calculations!$C$4,G358))-(SUM('Input and Output'!B$27:B$32))*H357))</f>
        <v>24.76524685999243</v>
      </c>
      <c r="D358" s="49">
        <f>(('Input and Output'!C$23*'Input and Output'!$B$10)+('Input and Output'!C$24*Calculations!$C$5)+('Input and Output'!C$25*Calculations!$C$6)+('Input and Output'!C$26*(IF('Input and Output'!E$7="Detritus",Calculations!$C$4,H358))-(SUM('Input and Output'!C$27:C$32))*I357))</f>
        <v>211.69022619944735</v>
      </c>
      <c r="E358" s="49">
        <f>(('Input and Output'!D$23*'Input and Output'!$B$10)+('Input and Output'!D$24*Calculations!$C$5)+('Input and Output'!D$25*Calculations!$C$6)+('Input and Output'!D$26*(IF('Input and Output'!F$7="Detritus",Calculations!$C$4,I358))-(SUM('Input and Output'!D$27:D$32))*J357))</f>
        <v>94.318052354345127</v>
      </c>
      <c r="F358" s="49" t="e">
        <f>(('Input and Output'!E$23*'Input and Output'!$B$10)+('Input and Output'!E$24*Calculations!$C$5)+('Input and Output'!E$25*Calculations!$C$6)+('Input and Output'!E$26*(IF('Input and Output'!G$7="Detritus",Calculations!$C$4,J358))-(SUM('Input and Output'!E$27:E$32))*K357))</f>
        <v>#N/A</v>
      </c>
      <c r="H358" s="49">
        <f>IF(H$2="",NA(),C358*$B358+H357)</f>
        <v>299160.04663417785</v>
      </c>
      <c r="I358" s="49">
        <f>IF(I$2="",NA(),D358*$B358+I357)</f>
        <v>2757466.4410129772</v>
      </c>
      <c r="J358" s="49">
        <f>IF(J$2="",NA(),E358*$B358+J357)</f>
        <v>1286059.4456093614</v>
      </c>
      <c r="K358" s="49" t="e">
        <f>IF(K$2="",NA(),F358*$B358+K357)</f>
        <v>#N/A</v>
      </c>
    </row>
    <row r="359" spans="1:11" x14ac:dyDescent="0.4">
      <c r="A359" s="49">
        <v>356</v>
      </c>
      <c r="B359" s="49">
        <f>A359/$B$1</f>
        <v>14.833333333333334</v>
      </c>
      <c r="C359" s="49">
        <f>(('Input and Output'!B$23*'Input and Output'!$B$10)+('Input and Output'!B$24*Calculations!$C$5)+('Input and Output'!B$25*Calculations!$C$6)+('Input and Output'!B$26*(IF('Input and Output'!D$7="Detritus",Calculations!$C$4,G359))-(SUM('Input and Output'!B$27:B$32))*H358))</f>
        <v>24.412073279443803</v>
      </c>
      <c r="D359" s="49">
        <f>(('Input and Output'!C$23*'Input and Output'!$B$10)+('Input and Output'!C$24*Calculations!$C$5)+('Input and Output'!C$25*Calculations!$C$6)+('Input and Output'!C$26*(IF('Input and Output'!E$7="Detritus",Calculations!$C$4,H359))-(SUM('Input and Output'!C$27:C$32))*I358))</f>
        <v>208.65681196692003</v>
      </c>
      <c r="E359" s="49">
        <f>(('Input and Output'!D$23*'Input and Output'!$B$10)+('Input and Output'!D$24*Calculations!$C$5)+('Input and Output'!D$25*Calculations!$C$6)+('Input and Output'!D$26*(IF('Input and Output'!F$7="Detritus",Calculations!$C$4,I359))-(SUM('Input and Output'!D$27:D$32))*J358))</f>
        <v>92.961945439023111</v>
      </c>
      <c r="F359" s="49" t="e">
        <f>(('Input and Output'!E$23*'Input and Output'!$B$10)+('Input and Output'!E$24*Calculations!$C$5)+('Input and Output'!E$25*Calculations!$C$6)+('Input and Output'!E$26*(IF('Input and Output'!G$7="Detritus",Calculations!$C$4,J359))-(SUM('Input and Output'!E$27:E$32))*K358))</f>
        <v>#N/A</v>
      </c>
      <c r="H359" s="49">
        <f>IF(H$2="",NA(),C359*$B359+H358)</f>
        <v>299522.15905448957</v>
      </c>
      <c r="I359" s="49">
        <f>IF(I$2="",NA(),D359*$B359+I358)</f>
        <v>2760561.5170571529</v>
      </c>
      <c r="J359" s="49">
        <f>IF(J$2="",NA(),E359*$B359+J358)</f>
        <v>1287438.3811333736</v>
      </c>
      <c r="K359" s="49" t="e">
        <f>IF(K$2="",NA(),F359*$B359+K358)</f>
        <v>#N/A</v>
      </c>
    </row>
    <row r="360" spans="1:11" x14ac:dyDescent="0.4">
      <c r="A360" s="49">
        <v>357</v>
      </c>
      <c r="B360" s="49">
        <f>A360/$B$1</f>
        <v>14.875</v>
      </c>
      <c r="C360" s="49">
        <f>(('Input and Output'!B$23*'Input and Output'!$B$10)+('Input and Output'!B$24*Calculations!$C$5)+('Input and Output'!B$25*Calculations!$C$6)+('Input and Output'!B$26*(IF('Input and Output'!D$7="Detritus",Calculations!$C$4,G360))-(SUM('Input and Output'!B$27:B$32))*H359))</f>
        <v>24.062955588246268</v>
      </c>
      <c r="D360" s="49">
        <f>(('Input and Output'!C$23*'Input and Output'!$B$10)+('Input and Output'!C$24*Calculations!$C$5)+('Input and Output'!C$25*Calculations!$C$6)+('Input and Output'!C$26*(IF('Input and Output'!E$7="Detritus",Calculations!$C$4,H360))-(SUM('Input and Output'!C$27:C$32))*I359))</f>
        <v>205.6585975719172</v>
      </c>
      <c r="E360" s="49">
        <f>(('Input and Output'!D$23*'Input and Output'!$B$10)+('Input and Output'!D$24*Calculations!$C$5)+('Input and Output'!D$25*Calculations!$C$6)+('Input and Output'!D$26*(IF('Input and Output'!F$7="Detritus",Calculations!$C$4,I360))-(SUM('Input and Output'!D$27:D$32))*J359))</f>
        <v>91.621658292893699</v>
      </c>
      <c r="F360" s="49" t="e">
        <f>(('Input and Output'!E$23*'Input and Output'!$B$10)+('Input and Output'!E$24*Calculations!$C$5)+('Input and Output'!E$25*Calculations!$C$6)+('Input and Output'!E$26*(IF('Input and Output'!G$7="Detritus",Calculations!$C$4,J360))-(SUM('Input and Output'!E$27:E$32))*K359))</f>
        <v>#N/A</v>
      </c>
      <c r="H360" s="49">
        <f>IF(H$2="",NA(),C360*$B360+H359)</f>
        <v>299880.09551886475</v>
      </c>
      <c r="I360" s="49">
        <f>IF(I$2="",NA(),D360*$B360+I359)</f>
        <v>2763620.6886960352</v>
      </c>
      <c r="J360" s="49">
        <f>IF(J$2="",NA(),E360*$B360+J359)</f>
        <v>1288801.2533004803</v>
      </c>
      <c r="K360" s="49" t="e">
        <f>IF(K$2="",NA(),F360*$B360+K359)</f>
        <v>#N/A</v>
      </c>
    </row>
    <row r="361" spans="1:11" x14ac:dyDescent="0.4">
      <c r="A361" s="49">
        <v>358</v>
      </c>
      <c r="B361" s="49">
        <f>A361/$B$1</f>
        <v>14.916666666666666</v>
      </c>
      <c r="C361" s="49">
        <f>(('Input and Output'!B$23*'Input and Output'!$B$10)+('Input and Output'!B$24*Calculations!$C$5)+('Input and Output'!B$25*Calculations!$C$6)+('Input and Output'!B$26*(IF('Input and Output'!D$7="Detritus",Calculations!$C$4,G361))-(SUM('Input and Output'!B$27:B$32))*H360))</f>
        <v>23.717863995059588</v>
      </c>
      <c r="D361" s="49">
        <f>(('Input and Output'!C$23*'Input and Output'!$B$10)+('Input and Output'!C$24*Calculations!$C$5)+('Input and Output'!C$25*Calculations!$C$6)+('Input and Output'!C$26*(IF('Input and Output'!E$7="Detritus",Calculations!$C$4,H361))-(SUM('Input and Output'!C$27:C$32))*I360))</f>
        <v>202.69531333830037</v>
      </c>
      <c r="E361" s="49">
        <f>(('Input and Output'!D$23*'Input and Output'!$B$10)+('Input and Output'!D$24*Calculations!$C$5)+('Input and Output'!D$25*Calculations!$C$6)+('Input and Output'!D$26*(IF('Input and Output'!F$7="Detritus",Calculations!$C$4,I361))-(SUM('Input and Output'!D$27:D$32))*J360))</f>
        <v>90.297068185889657</v>
      </c>
      <c r="F361" s="49" t="e">
        <f>(('Input and Output'!E$23*'Input and Output'!$B$10)+('Input and Output'!E$24*Calculations!$C$5)+('Input and Output'!E$25*Calculations!$C$6)+('Input and Output'!E$26*(IF('Input and Output'!G$7="Detritus",Calculations!$C$4,J361))-(SUM('Input and Output'!E$27:E$32))*K360))</f>
        <v>#N/A</v>
      </c>
      <c r="H361" s="49">
        <f>IF(H$2="",NA(),C361*$B361+H360)</f>
        <v>300233.88699012436</v>
      </c>
      <c r="I361" s="49">
        <f>IF(I$2="",NA(),D361*$B361+I360)</f>
        <v>2766644.2271199981</v>
      </c>
      <c r="J361" s="49">
        <f>IF(J$2="",NA(),E361*$B361+J360)</f>
        <v>1290148.1845675865</v>
      </c>
      <c r="K361" s="49" t="e">
        <f>IF(K$2="",NA(),F361*$B361+K360)</f>
        <v>#N/A</v>
      </c>
    </row>
    <row r="362" spans="1:11" x14ac:dyDescent="0.4">
      <c r="A362" s="49">
        <v>359</v>
      </c>
      <c r="B362" s="49">
        <f>A362/$B$1</f>
        <v>14.958333333333334</v>
      </c>
      <c r="C362" s="49">
        <f>(('Input and Output'!B$23*'Input and Output'!$B$10)+('Input and Output'!B$24*Calculations!$C$5)+('Input and Output'!B$25*Calculations!$C$6)+('Input and Output'!B$26*(IF('Input and Output'!D$7="Detritus",Calculations!$C$4,G362))-(SUM('Input and Output'!B$27:B$32))*H361))</f>
        <v>23.37676864819133</v>
      </c>
      <c r="D362" s="49">
        <f>(('Input and Output'!C$23*'Input and Output'!$B$10)+('Input and Output'!C$24*Calculations!$C$5)+('Input and Output'!C$25*Calculations!$C$6)+('Input and Output'!C$26*(IF('Input and Output'!E$7="Detritus",Calculations!$C$4,H362))-(SUM('Input and Output'!C$27:C$32))*I361))</f>
        <v>199.76668949443865</v>
      </c>
      <c r="E362" s="49">
        <f>(('Input and Output'!D$23*'Input and Output'!$B$10)+('Input and Output'!D$24*Calculations!$C$5)+('Input and Output'!D$25*Calculations!$C$6)+('Input and Output'!D$26*(IF('Input and Output'!F$7="Detritus",Calculations!$C$4,I362))-(SUM('Input and Output'!D$27:D$32))*J361))</f>
        <v>88.988052378761495</v>
      </c>
      <c r="F362" s="49" t="e">
        <f>(('Input and Output'!E$23*'Input and Output'!$B$10)+('Input and Output'!E$24*Calculations!$C$5)+('Input and Output'!E$25*Calculations!$C$6)+('Input and Output'!E$26*(IF('Input and Output'!G$7="Detritus",Calculations!$C$4,J362))-(SUM('Input and Output'!E$27:E$32))*K361))</f>
        <v>#N/A</v>
      </c>
      <c r="H362" s="49">
        <f>IF(H$2="",NA(),C362*$B362+H361)</f>
        <v>300583.5644878202</v>
      </c>
      <c r="I362" s="49">
        <f>IF(I$2="",NA(),D362*$B362+I361)</f>
        <v>2769632.4038503524</v>
      </c>
      <c r="J362" s="49">
        <f>IF(J$2="",NA(),E362*$B362+J361)</f>
        <v>1291479.2975177523</v>
      </c>
      <c r="K362" s="49" t="e">
        <f>IF(K$2="",NA(),F362*$B362+K361)</f>
        <v>#N/A</v>
      </c>
    </row>
    <row r="363" spans="1:11" x14ac:dyDescent="0.4">
      <c r="A363" s="49">
        <v>360</v>
      </c>
      <c r="B363" s="49">
        <f>A363/$B$1</f>
        <v>15</v>
      </c>
      <c r="C363" s="49">
        <f>(('Input and Output'!B$23*'Input and Output'!$B$10)+('Input and Output'!B$24*Calculations!$C$5)+('Input and Output'!B$25*Calculations!$C$6)+('Input and Output'!B$26*(IF('Input and Output'!D$7="Detritus",Calculations!$C$4,G363))-(SUM('Input and Output'!B$27:B$32))*H362))</f>
        <v>23.039639641254212</v>
      </c>
      <c r="D363" s="49">
        <f>(('Input and Output'!C$23*'Input and Output'!$B$10)+('Input and Output'!C$24*Calculations!$C$5)+('Input and Output'!C$25*Calculations!$C$6)+('Input and Output'!C$26*(IF('Input and Output'!E$7="Detritus",Calculations!$C$4,H363))-(SUM('Input and Output'!C$27:C$32))*I362))</f>
        <v>196.87245620920658</v>
      </c>
      <c r="E363" s="49">
        <f>(('Input and Output'!D$23*'Input and Output'!$B$10)+('Input and Output'!D$24*Calculations!$C$5)+('Input and Output'!D$25*Calculations!$C$6)+('Input and Output'!D$26*(IF('Input and Output'!F$7="Detritus",Calculations!$C$4,I363))-(SUM('Input and Output'!D$27:D$32))*J362))</f>
        <v>87.694488138895395</v>
      </c>
      <c r="F363" s="49" t="e">
        <f>(('Input and Output'!E$23*'Input and Output'!$B$10)+('Input and Output'!E$24*Calculations!$C$5)+('Input and Output'!E$25*Calculations!$C$6)+('Input and Output'!E$26*(IF('Input and Output'!G$7="Detritus",Calculations!$C$4,J363))-(SUM('Input and Output'!E$27:E$32))*K362))</f>
        <v>#N/A</v>
      </c>
      <c r="H363" s="49">
        <f>IF(H$2="",NA(),C363*$B363+H362)</f>
        <v>300929.15908243903</v>
      </c>
      <c r="I363" s="49">
        <f>IF(I$2="",NA(),D363*$B363+I362)</f>
        <v>2772585.4906934905</v>
      </c>
      <c r="J363" s="49">
        <f>IF(J$2="",NA(),E363*$B363+J362)</f>
        <v>1292794.7148398357</v>
      </c>
      <c r="K363" s="49" t="e">
        <f>IF(K$2="",NA(),F363*$B363+K362)</f>
        <v>#N/A</v>
      </c>
    </row>
    <row r="364" spans="1:11" x14ac:dyDescent="0.4">
      <c r="A364" s="49">
        <v>361</v>
      </c>
      <c r="B364" s="49">
        <f>A364/$B$1</f>
        <v>15.041666666666666</v>
      </c>
      <c r="C364" s="49">
        <f>(('Input and Output'!B$23*'Input and Output'!$B$10)+('Input and Output'!B$24*Calculations!$C$5)+('Input and Output'!B$25*Calculations!$C$6)+('Input and Output'!B$26*(IF('Input and Output'!D$7="Detritus",Calculations!$C$4,G364))-(SUM('Input and Output'!B$27:B$32))*H363))</f>
        <v>22.706447018753693</v>
      </c>
      <c r="D364" s="49">
        <f>(('Input and Output'!C$23*'Input and Output'!$B$10)+('Input and Output'!C$24*Calculations!$C$5)+('Input and Output'!C$25*Calculations!$C$6)+('Input and Output'!C$26*(IF('Input and Output'!E$7="Detritus",Calculations!$C$4,H364))-(SUM('Input and Output'!C$27:C$32))*I363))</f>
        <v>194.01234362775176</v>
      </c>
      <c r="E364" s="49">
        <f>(('Input and Output'!D$23*'Input and Output'!$B$10)+('Input and Output'!D$24*Calculations!$C$5)+('Input and Output'!D$25*Calculations!$C$6)+('Input and Output'!D$26*(IF('Input and Output'!F$7="Detritus",Calculations!$C$4,I364))-(SUM('Input and Output'!D$27:D$32))*J363))</f>
        <v>86.41625275602928</v>
      </c>
      <c r="F364" s="49" t="e">
        <f>(('Input and Output'!E$23*'Input and Output'!$B$10)+('Input and Output'!E$24*Calculations!$C$5)+('Input and Output'!E$25*Calculations!$C$6)+('Input and Output'!E$26*(IF('Input and Output'!G$7="Detritus",Calculations!$C$4,J364))-(SUM('Input and Output'!E$27:E$32))*K363))</f>
        <v>#N/A</v>
      </c>
      <c r="H364" s="49">
        <f>IF(H$2="",NA(),C364*$B364+H363)</f>
        <v>301270.70188967948</v>
      </c>
      <c r="I364" s="49">
        <f>IF(I$2="",NA(),D364*$B364+I363)</f>
        <v>2775503.7596955579</v>
      </c>
      <c r="J364" s="49">
        <f>IF(J$2="",NA(),E364*$B364+J363)</f>
        <v>1294094.5593083743</v>
      </c>
      <c r="K364" s="49" t="e">
        <f>IF(K$2="",NA(),F364*$B364+K363)</f>
        <v>#N/A</v>
      </c>
    </row>
    <row r="365" spans="1:11" x14ac:dyDescent="0.4">
      <c r="A365" s="49">
        <v>362</v>
      </c>
      <c r="B365" s="49">
        <f>A365/$B$1</f>
        <v>15.083333333333334</v>
      </c>
      <c r="C365" s="49">
        <f>(('Input and Output'!B$23*'Input and Output'!$B$10)+('Input and Output'!B$24*Calculations!$C$5)+('Input and Output'!B$25*Calculations!$C$6)+('Input and Output'!B$26*(IF('Input and Output'!D$7="Detritus",Calculations!$C$4,G365))-(SUM('Input and Output'!B$27:B$32))*H364))</f>
        <v>22.377160781605937</v>
      </c>
      <c r="D365" s="49">
        <f>(('Input and Output'!C$23*'Input and Output'!$B$10)+('Input and Output'!C$24*Calculations!$C$5)+('Input and Output'!C$25*Calculations!$C$6)+('Input and Output'!C$26*(IF('Input and Output'!E$7="Detritus",Calculations!$C$4,H365))-(SUM('Input and Output'!C$27:C$32))*I364))</f>
        <v>191.18608190698706</v>
      </c>
      <c r="E365" s="49">
        <f>(('Input and Output'!D$23*'Input and Output'!$B$10)+('Input and Output'!D$24*Calculations!$C$5)+('Input and Output'!D$25*Calculations!$C$6)+('Input and Output'!D$26*(IF('Input and Output'!F$7="Detritus",Calculations!$C$4,I365))-(SUM('Input and Output'!D$27:D$32))*J364))</f>
        <v>85.15322355754688</v>
      </c>
      <c r="F365" s="49" t="e">
        <f>(('Input and Output'!E$23*'Input and Output'!$B$10)+('Input and Output'!E$24*Calculations!$C$5)+('Input and Output'!E$25*Calculations!$C$6)+('Input and Output'!E$26*(IF('Input and Output'!G$7="Detritus",Calculations!$C$4,J365))-(SUM('Input and Output'!E$27:E$32))*K364))</f>
        <v>#N/A</v>
      </c>
      <c r="H365" s="49">
        <f>IF(H$2="",NA(),C365*$B365+H364)</f>
        <v>301608.22406480205</v>
      </c>
      <c r="I365" s="49">
        <f>IF(I$2="",NA(),D365*$B365+I364)</f>
        <v>2778387.4830976548</v>
      </c>
      <c r="J365" s="49">
        <f>IF(J$2="",NA(),E365*$B365+J364)</f>
        <v>1295378.9537637006</v>
      </c>
      <c r="K365" s="49" t="e">
        <f>IF(K$2="",NA(),F365*$B365+K364)</f>
        <v>#N/A</v>
      </c>
    </row>
    <row r="366" spans="1:11" x14ac:dyDescent="0.4">
      <c r="A366" s="49">
        <v>363</v>
      </c>
      <c r="B366" s="49">
        <f>A366/$B$1</f>
        <v>15.125</v>
      </c>
      <c r="C366" s="49">
        <f>(('Input and Output'!B$23*'Input and Output'!$B$10)+('Input and Output'!B$24*Calculations!$C$5)+('Input and Output'!B$25*Calculations!$C$6)+('Input and Output'!B$26*(IF('Input and Output'!D$7="Detritus",Calculations!$C$4,G366))-(SUM('Input and Output'!B$27:B$32))*H365))</f>
        <v>22.051750892584948</v>
      </c>
      <c r="D366" s="49">
        <f>(('Input and Output'!C$23*'Input and Output'!$B$10)+('Input and Output'!C$24*Calculations!$C$5)+('Input and Output'!C$25*Calculations!$C$6)+('Input and Output'!C$26*(IF('Input and Output'!E$7="Detritus",Calculations!$C$4,H366))-(SUM('Input and Output'!C$27:C$32))*I365))</f>
        <v>188.39340125082344</v>
      </c>
      <c r="E366" s="49">
        <f>(('Input and Output'!D$23*'Input and Output'!$B$10)+('Input and Output'!D$24*Calculations!$C$5)+('Input and Output'!D$25*Calculations!$C$6)+('Input and Output'!D$26*(IF('Input and Output'!F$7="Detritus",Calculations!$C$4,I366))-(SUM('Input and Output'!D$27:D$32))*J365))</f>
        <v>83.905277924310212</v>
      </c>
      <c r="F366" s="49" t="e">
        <f>(('Input and Output'!E$23*'Input and Output'!$B$10)+('Input and Output'!E$24*Calculations!$C$5)+('Input and Output'!E$25*Calculations!$C$6)+('Input and Output'!E$26*(IF('Input and Output'!G$7="Detritus",Calculations!$C$4,J366))-(SUM('Input and Output'!E$27:E$32))*K365))</f>
        <v>#N/A</v>
      </c>
      <c r="H366" s="49">
        <f>IF(H$2="",NA(),C366*$B366+H365)</f>
        <v>301941.7567970524</v>
      </c>
      <c r="I366" s="49">
        <f>IF(I$2="",NA(),D366*$B366+I365)</f>
        <v>2781236.9332915735</v>
      </c>
      <c r="J366" s="49">
        <f>IF(J$2="",NA(),E366*$B366+J365)</f>
        <v>1296648.0210923057</v>
      </c>
      <c r="K366" s="49" t="e">
        <f>IF(K$2="",NA(),F366*$B366+K365)</f>
        <v>#N/A</v>
      </c>
    </row>
    <row r="367" spans="1:11" x14ac:dyDescent="0.4">
      <c r="A367" s="49">
        <v>364</v>
      </c>
      <c r="B367" s="49">
        <f>A367/$B$1</f>
        <v>15.166666666666666</v>
      </c>
      <c r="C367" s="49">
        <f>(('Input and Output'!B$23*'Input and Output'!$B$10)+('Input and Output'!B$24*Calculations!$C$5)+('Input and Output'!B$25*Calculations!$C$6)+('Input and Output'!B$26*(IF('Input and Output'!D$7="Detritus",Calculations!$C$4,G367))-(SUM('Input and Output'!B$27:B$32))*H366))</f>
        <v>21.730187281699159</v>
      </c>
      <c r="D367" s="49">
        <f>(('Input and Output'!C$23*'Input and Output'!$B$10)+('Input and Output'!C$24*Calculations!$C$5)+('Input and Output'!C$25*Calculations!$C$6)+('Input and Output'!C$26*(IF('Input and Output'!E$7="Detritus",Calculations!$C$4,H367))-(SUM('Input and Output'!C$27:C$32))*I366))</f>
        <v>185.63403194513194</v>
      </c>
      <c r="E367" s="49">
        <f>(('Input and Output'!D$23*'Input and Output'!$B$10)+('Input and Output'!D$24*Calculations!$C$5)+('Input and Output'!D$25*Calculations!$C$6)+('Input and Output'!D$26*(IF('Input and Output'!F$7="Detritus",Calculations!$C$4,I367))-(SUM('Input and Output'!D$27:D$32))*J366))</f>
        <v>82.672293305575295</v>
      </c>
      <c r="F367" s="49" t="e">
        <f>(('Input and Output'!E$23*'Input and Output'!$B$10)+('Input and Output'!E$24*Calculations!$C$5)+('Input and Output'!E$25*Calculations!$C$6)+('Input and Output'!E$26*(IF('Input and Output'!G$7="Detritus",Calculations!$C$4,J367))-(SUM('Input and Output'!E$27:E$32))*K366))</f>
        <v>#N/A</v>
      </c>
      <c r="H367" s="49">
        <f>IF(H$2="",NA(),C367*$B367+H366)</f>
        <v>302271.33130415814</v>
      </c>
      <c r="I367" s="49">
        <f>IF(I$2="",NA(),D367*$B367+I366)</f>
        <v>2784052.3827760746</v>
      </c>
      <c r="J367" s="49">
        <f>IF(J$2="",NA(),E367*$B367+J366)</f>
        <v>1297901.8842074403</v>
      </c>
      <c r="K367" s="49" t="e">
        <f>IF(K$2="",NA(),F367*$B367+K366)</f>
        <v>#N/A</v>
      </c>
    </row>
    <row r="368" spans="1:11" x14ac:dyDescent="0.4">
      <c r="A368" s="49">
        <v>365</v>
      </c>
      <c r="B368" s="49">
        <f>A368/$B$1</f>
        <v>15.208333333333334</v>
      </c>
      <c r="C368" s="49">
        <f>(('Input and Output'!B$23*'Input and Output'!$B$10)+('Input and Output'!B$24*Calculations!$C$5)+('Input and Output'!B$25*Calculations!$C$6)+('Input and Output'!B$26*(IF('Input and Output'!D$7="Detritus",Calculations!$C$4,G368))-(SUM('Input and Output'!B$27:B$32))*H367))</f>
        <v>21.412439851497027</v>
      </c>
      <c r="D368" s="49">
        <f>(('Input and Output'!C$23*'Input and Output'!$B$10)+('Input and Output'!C$24*Calculations!$C$5)+('Input and Output'!C$25*Calculations!$C$6)+('Input and Output'!C$26*(IF('Input and Output'!E$7="Detritus",Calculations!$C$4,H368))-(SUM('Input and Output'!C$27:C$32))*I367))</f>
        <v>182.90770439240441</v>
      </c>
      <c r="E368" s="49">
        <f>(('Input and Output'!D$23*'Input and Output'!$B$10)+('Input and Output'!D$24*Calculations!$C$5)+('Input and Output'!D$25*Calculations!$C$6)+('Input and Output'!D$26*(IF('Input and Output'!F$7="Detritus",Calculations!$C$4,I368))-(SUM('Input and Output'!D$27:D$32))*J367))</f>
        <v>81.454147234489938</v>
      </c>
      <c r="F368" s="49" t="e">
        <f>(('Input and Output'!E$23*'Input and Output'!$B$10)+('Input and Output'!E$24*Calculations!$C$5)+('Input and Output'!E$25*Calculations!$C$6)+('Input and Output'!E$26*(IF('Input and Output'!G$7="Detritus",Calculations!$C$4,J368))-(SUM('Input and Output'!E$27:E$32))*K367))</f>
        <v>#N/A</v>
      </c>
      <c r="H368" s="49">
        <f>IF(H$2="",NA(),C368*$B368+H367)</f>
        <v>302596.97882689966</v>
      </c>
      <c r="I368" s="49">
        <f>IF(I$2="",NA(),D368*$B368+I367)</f>
        <v>2786834.1041137092</v>
      </c>
      <c r="J368" s="49">
        <f>IF(J$2="",NA(),E368*$B368+J367)</f>
        <v>1299140.6660299648</v>
      </c>
      <c r="K368" s="49" t="e">
        <f>IF(K$2="",NA(),F368*$B368+K367)</f>
        <v>#N/A</v>
      </c>
    </row>
    <row r="369" spans="1:11" x14ac:dyDescent="0.4">
      <c r="A369" s="49">
        <v>366</v>
      </c>
      <c r="B369" s="49">
        <f>A369/$B$1</f>
        <v>15.25</v>
      </c>
      <c r="C369" s="49">
        <f>(('Input and Output'!B$23*'Input and Output'!$B$10)+('Input and Output'!B$24*Calculations!$C$5)+('Input and Output'!B$25*Calculations!$C$6)+('Input and Output'!B$26*(IF('Input and Output'!D$7="Detritus",Calculations!$C$4,G369))-(SUM('Input and Output'!B$27:B$32))*H368))</f>
        <v>21.098478482301687</v>
      </c>
      <c r="D369" s="49">
        <f>(('Input and Output'!C$23*'Input and Output'!$B$10)+('Input and Output'!C$24*Calculations!$C$5)+('Input and Output'!C$25*Calculations!$C$6)+('Input and Output'!C$26*(IF('Input and Output'!E$7="Detritus",Calculations!$C$4,H369))-(SUM('Input and Output'!C$27:C$32))*I368))</f>
        <v>180.21414914612069</v>
      </c>
      <c r="E369" s="49">
        <f>(('Input and Output'!D$23*'Input and Output'!$B$10)+('Input and Output'!D$24*Calculations!$C$5)+('Input and Output'!D$25*Calculations!$C$6)+('Input and Output'!D$26*(IF('Input and Output'!F$7="Detritus",Calculations!$C$4,I369))-(SUM('Input and Output'!D$27:D$32))*J368))</f>
        <v>80.2507173429658</v>
      </c>
      <c r="F369" s="49" t="e">
        <f>(('Input and Output'!E$23*'Input and Output'!$B$10)+('Input and Output'!E$24*Calculations!$C$5)+('Input and Output'!E$25*Calculations!$C$6)+('Input and Output'!E$26*(IF('Input and Output'!G$7="Detritus",Calculations!$C$4,J369))-(SUM('Input and Output'!E$27:E$32))*K368))</f>
        <v>#N/A</v>
      </c>
      <c r="H369" s="49">
        <f>IF(H$2="",NA(),C369*$B369+H368)</f>
        <v>302918.73062375479</v>
      </c>
      <c r="I369" s="49">
        <f>IF(I$2="",NA(),D369*$B369+I368)</f>
        <v>2789582.3698881874</v>
      </c>
      <c r="J369" s="49">
        <f>IF(J$2="",NA(),E369*$B369+J368)</f>
        <v>1300364.4894694451</v>
      </c>
      <c r="K369" s="49" t="e">
        <f>IF(K$2="",NA(),F369*$B369+K368)</f>
        <v>#N/A</v>
      </c>
    </row>
    <row r="370" spans="1:11" x14ac:dyDescent="0.4">
      <c r="A370" s="49">
        <v>367</v>
      </c>
      <c r="B370" s="49">
        <f>A370/$B$1</f>
        <v>15.291666666666666</v>
      </c>
      <c r="C370" s="49">
        <f>(('Input and Output'!B$23*'Input and Output'!$B$10)+('Input and Output'!B$24*Calculations!$C$5)+('Input and Output'!B$25*Calculations!$C$6)+('Input and Output'!B$26*(IF('Input and Output'!D$7="Detritus",Calculations!$C$4,G370))-(SUM('Input and Output'!B$27:B$32))*H369))</f>
        <v>20.788273037373756</v>
      </c>
      <c r="D370" s="49">
        <f>(('Input and Output'!C$23*'Input and Output'!$B$10)+('Input and Output'!C$24*Calculations!$C$5)+('Input and Output'!C$25*Calculations!$C$6)+('Input and Output'!C$26*(IF('Input and Output'!E$7="Detritus",Calculations!$C$4,H370))-(SUM('Input and Output'!C$27:C$32))*I369))</f>
        <v>177.55309694482276</v>
      </c>
      <c r="E370" s="49">
        <f>(('Input and Output'!D$23*'Input and Output'!$B$10)+('Input and Output'!D$24*Calculations!$C$5)+('Input and Output'!D$25*Calculations!$C$6)+('Input and Output'!D$26*(IF('Input and Output'!F$7="Detritus",Calculations!$C$4,I370))-(SUM('Input and Output'!D$27:D$32))*J369))</f>
        <v>79.061881376695965</v>
      </c>
      <c r="F370" s="49" t="e">
        <f>(('Input and Output'!E$23*'Input and Output'!$B$10)+('Input and Output'!E$24*Calculations!$C$5)+('Input and Output'!E$25*Calculations!$C$6)+('Input and Output'!E$26*(IF('Input and Output'!G$7="Detritus",Calculations!$C$4,J370))-(SUM('Input and Output'!E$27:E$32))*K369))</f>
        <v>#N/A</v>
      </c>
      <c r="H370" s="49">
        <f>IF(H$2="",NA(),C370*$B370+H369)</f>
        <v>303236.61796561797</v>
      </c>
      <c r="I370" s="49">
        <f>IF(I$2="",NA(),D370*$B370+I369)</f>
        <v>2792297.4526623022</v>
      </c>
      <c r="J370" s="49">
        <f>IF(J$2="",NA(),E370*$B370+J369)</f>
        <v>1301573.4774054971</v>
      </c>
      <c r="K370" s="49" t="e">
        <f>IF(K$2="",NA(),F370*$B370+K369)</f>
        <v>#N/A</v>
      </c>
    </row>
    <row r="371" spans="1:11" x14ac:dyDescent="0.4">
      <c r="A371" s="49">
        <v>368</v>
      </c>
      <c r="B371" s="49">
        <f>A371/$B$1</f>
        <v>15.333333333333334</v>
      </c>
      <c r="C371" s="49">
        <f>(('Input and Output'!B$23*'Input and Output'!$B$10)+('Input and Output'!B$24*Calculations!$C$5)+('Input and Output'!B$25*Calculations!$C$6)+('Input and Output'!B$26*(IF('Input and Output'!D$7="Detritus",Calculations!$C$4,G371))-(SUM('Input and Output'!B$27:B$32))*H370))</f>
        <v>20.481793368002968</v>
      </c>
      <c r="D371" s="49">
        <f>(('Input and Output'!C$23*'Input and Output'!$B$10)+('Input and Output'!C$24*Calculations!$C$5)+('Input and Output'!C$25*Calculations!$C$6)+('Input and Output'!C$26*(IF('Input and Output'!E$7="Detritus",Calculations!$C$4,H371))-(SUM('Input and Output'!C$27:C$32))*I370))</f>
        <v>174.92427874585064</v>
      </c>
      <c r="E371" s="49">
        <f>(('Input and Output'!D$23*'Input and Output'!$B$10)+('Input and Output'!D$24*Calculations!$C$5)+('Input and Output'!D$25*Calculations!$C$6)+('Input and Output'!D$26*(IF('Input and Output'!F$7="Detritus",Calculations!$C$4,I371))-(SUM('Input and Output'!D$27:D$32))*J370))</f>
        <v>77.887517209794169</v>
      </c>
      <c r="F371" s="49" t="e">
        <f>(('Input and Output'!E$23*'Input and Output'!$B$10)+('Input and Output'!E$24*Calculations!$C$5)+('Input and Output'!E$25*Calculations!$C$6)+('Input and Output'!E$26*(IF('Input and Output'!G$7="Detritus",Calculations!$C$4,J371))-(SUM('Input and Output'!E$27:E$32))*K370))</f>
        <v>#N/A</v>
      </c>
      <c r="H371" s="49">
        <f>IF(H$2="",NA(),C371*$B371+H370)</f>
        <v>303550.67213059403</v>
      </c>
      <c r="I371" s="49">
        <f>IF(I$2="",NA(),D371*$B371+I370)</f>
        <v>2794979.6249364051</v>
      </c>
      <c r="J371" s="49">
        <f>IF(J$2="",NA(),E371*$B371+J370)</f>
        <v>1302767.7526693805</v>
      </c>
      <c r="K371" s="49" t="e">
        <f>IF(K$2="",NA(),F371*$B371+K370)</f>
        <v>#N/A</v>
      </c>
    </row>
    <row r="372" spans="1:11" x14ac:dyDescent="0.4">
      <c r="A372" s="49">
        <v>369</v>
      </c>
      <c r="B372" s="49">
        <f>A372/$B$1</f>
        <v>15.375</v>
      </c>
      <c r="C372" s="49">
        <f>(('Input and Output'!B$23*'Input and Output'!$B$10)+('Input and Output'!B$24*Calculations!$C$5)+('Input and Output'!B$25*Calculations!$C$6)+('Input and Output'!B$26*(IF('Input and Output'!D$7="Detritus",Calculations!$C$4,G372))-(SUM('Input and Output'!B$27:B$32))*H371))</f>
        <v>20.179009318527335</v>
      </c>
      <c r="D372" s="49">
        <f>(('Input and Output'!C$23*'Input and Output'!$B$10)+('Input and Output'!C$24*Calculations!$C$5)+('Input and Output'!C$25*Calculations!$C$6)+('Input and Output'!C$26*(IF('Input and Output'!E$7="Detritus",Calculations!$C$4,H372))-(SUM('Input and Output'!C$27:C$32))*I371))</f>
        <v>172.3274257587791</v>
      </c>
      <c r="E372" s="49">
        <f>(('Input and Output'!D$23*'Input and Output'!$B$10)+('Input and Output'!D$24*Calculations!$C$5)+('Input and Output'!D$25*Calculations!$C$6)+('Input and Output'!D$26*(IF('Input and Output'!F$7="Detritus",Calculations!$C$4,I372))-(SUM('Input and Output'!D$27:D$32))*J371))</f>
        <v>76.727502859681408</v>
      </c>
      <c r="F372" s="49" t="e">
        <f>(('Input and Output'!E$23*'Input and Output'!$B$10)+('Input and Output'!E$24*Calculations!$C$5)+('Input and Output'!E$25*Calculations!$C$6)+('Input and Output'!E$26*(IF('Input and Output'!G$7="Detritus",Calculations!$C$4,J372))-(SUM('Input and Output'!E$27:E$32))*K371))</f>
        <v>#N/A</v>
      </c>
      <c r="H372" s="49">
        <f>IF(H$2="",NA(),C372*$B372+H371)</f>
        <v>303860.92439886637</v>
      </c>
      <c r="I372" s="49">
        <f>IF(I$2="",NA(),D372*$B372+I371)</f>
        <v>2797629.1591074462</v>
      </c>
      <c r="J372" s="49">
        <f>IF(J$2="",NA(),E372*$B372+J371)</f>
        <v>1303947.438025848</v>
      </c>
      <c r="K372" s="49" t="e">
        <f>IF(K$2="",NA(),F372*$B372+K371)</f>
        <v>#N/A</v>
      </c>
    </row>
    <row r="373" spans="1:11" x14ac:dyDescent="0.4">
      <c r="A373" s="49">
        <v>370</v>
      </c>
      <c r="B373" s="49">
        <f>A373/$B$1</f>
        <v>15.416666666666666</v>
      </c>
      <c r="C373" s="49">
        <f>(('Input and Output'!B$23*'Input and Output'!$B$10)+('Input and Output'!B$24*Calculations!$C$5)+('Input and Output'!B$25*Calculations!$C$6)+('Input and Output'!B$26*(IF('Input and Output'!D$7="Detritus",Calculations!$C$4,G373))-(SUM('Input and Output'!B$27:B$32))*H372))</f>
        <v>19.879890731280909</v>
      </c>
      <c r="D373" s="49">
        <f>(('Input and Output'!C$23*'Input and Output'!$B$10)+('Input and Output'!C$24*Calculations!$C$5)+('Input and Output'!C$25*Calculations!$C$6)+('Input and Output'!C$26*(IF('Input and Output'!E$7="Detritus",Calculations!$C$4,H373))-(SUM('Input and Output'!C$27:C$32))*I372))</f>
        <v>169.76226947848863</v>
      </c>
      <c r="E373" s="49">
        <f>(('Input and Output'!D$23*'Input and Output'!$B$10)+('Input and Output'!D$24*Calculations!$C$5)+('Input and Output'!D$25*Calculations!$C$6)+('Input and Output'!D$26*(IF('Input and Output'!F$7="Detritus",Calculations!$C$4,I373))-(SUM('Input and Output'!D$27:D$32))*J372))</f>
        <v>75.58171650136137</v>
      </c>
      <c r="F373" s="49" t="e">
        <f>(('Input and Output'!E$23*'Input and Output'!$B$10)+('Input and Output'!E$24*Calculations!$C$5)+('Input and Output'!E$25*Calculations!$C$6)+('Input and Output'!E$26*(IF('Input and Output'!G$7="Detritus",Calculations!$C$4,J373))-(SUM('Input and Output'!E$27:E$32))*K372))</f>
        <v>#N/A</v>
      </c>
      <c r="H373" s="49">
        <f>IF(H$2="",NA(),C373*$B373+H372)</f>
        <v>304167.40604764025</v>
      </c>
      <c r="I373" s="49">
        <f>IF(I$2="",NA(),D373*$B373+I372)</f>
        <v>2800246.3274285728</v>
      </c>
      <c r="J373" s="49">
        <f>IF(J$2="",NA(),E373*$B373+J372)</f>
        <v>1305112.656155244</v>
      </c>
      <c r="K373" s="49" t="e">
        <f>IF(K$2="",NA(),F373*$B373+K372)</f>
        <v>#N/A</v>
      </c>
    </row>
    <row r="374" spans="1:11" x14ac:dyDescent="0.4">
      <c r="A374" s="49">
        <v>371</v>
      </c>
      <c r="B374" s="49">
        <f>A374/$B$1</f>
        <v>15.458333333333334</v>
      </c>
      <c r="C374" s="49">
        <f>(('Input and Output'!B$23*'Input and Output'!$B$10)+('Input and Output'!B$24*Calculations!$C$5)+('Input and Output'!B$25*Calculations!$C$6)+('Input and Output'!B$26*(IF('Input and Output'!D$7="Detritus",Calculations!$C$4,G374))-(SUM('Input and Output'!B$27:B$32))*H373))</f>
        <v>19.584407451468962</v>
      </c>
      <c r="D374" s="49">
        <f>(('Input and Output'!C$23*'Input and Output'!$B$10)+('Input and Output'!C$24*Calculations!$C$5)+('Input and Output'!C$25*Calculations!$C$6)+('Input and Output'!C$26*(IF('Input and Output'!E$7="Detritus",Calculations!$C$4,H374))-(SUM('Input and Output'!C$27:C$32))*I373))</f>
        <v>167.22854171793733</v>
      </c>
      <c r="E374" s="49">
        <f>(('Input and Output'!D$23*'Input and Output'!$B$10)+('Input and Output'!D$24*Calculations!$C$5)+('Input and Output'!D$25*Calculations!$C$6)+('Input and Output'!D$26*(IF('Input and Output'!F$7="Detritus",Calculations!$C$4,I374))-(SUM('Input and Output'!D$27:D$32))*J373))</f>
        <v>74.450036481826828</v>
      </c>
      <c r="F374" s="49" t="e">
        <f>(('Input and Output'!E$23*'Input and Output'!$B$10)+('Input and Output'!E$24*Calculations!$C$5)+('Input and Output'!E$25*Calculations!$C$6)+('Input and Output'!E$26*(IF('Input and Output'!G$7="Detritus",Calculations!$C$4,J374))-(SUM('Input and Output'!E$27:E$32))*K373))</f>
        <v>#N/A</v>
      </c>
      <c r="H374" s="49">
        <f>IF(H$2="",NA(),C374*$B374+H373)</f>
        <v>304470.14834616089</v>
      </c>
      <c r="I374" s="49">
        <f>IF(I$2="",NA(),D374*$B374+I373)</f>
        <v>2802831.4019692959</v>
      </c>
      <c r="J374" s="49">
        <f>IF(J$2="",NA(),E374*$B374+J373)</f>
        <v>1306263.529635859</v>
      </c>
      <c r="K374" s="49" t="e">
        <f>IF(K$2="",NA(),F374*$B374+K373)</f>
        <v>#N/A</v>
      </c>
    </row>
    <row r="375" spans="1:11" x14ac:dyDescent="0.4">
      <c r="A375" s="49">
        <v>372</v>
      </c>
      <c r="B375" s="49">
        <f>A375/$B$1</f>
        <v>15.5</v>
      </c>
      <c r="C375" s="49">
        <f>(('Input and Output'!B$23*'Input and Output'!$B$10)+('Input and Output'!B$24*Calculations!$C$5)+('Input and Output'!B$25*Calculations!$C$6)+('Input and Output'!B$26*(IF('Input and Output'!D$7="Detritus",Calculations!$C$4,G375))-(SUM('Input and Output'!B$27:B$32))*H374))</f>
        <v>19.292529331971252</v>
      </c>
      <c r="D375" s="49">
        <f>(('Input and Output'!C$23*'Input and Output'!$B$10)+('Input and Output'!C$24*Calculations!$C$5)+('Input and Output'!C$25*Calculations!$C$6)+('Input and Output'!C$26*(IF('Input and Output'!E$7="Detritus",Calculations!$C$4,H375))-(SUM('Input and Output'!C$27:C$32))*I374))</f>
        <v>164.72597464053888</v>
      </c>
      <c r="E375" s="49">
        <f>(('Input and Output'!D$23*'Input and Output'!$B$10)+('Input and Output'!D$24*Calculations!$C$5)+('Input and Output'!D$25*Calculations!$C$6)+('Input and Output'!D$26*(IF('Input and Output'!F$7="Detritus",Calculations!$C$4,I375))-(SUM('Input and Output'!D$27:D$32))*J374))</f>
        <v>73.332341334247758</v>
      </c>
      <c r="F375" s="49" t="e">
        <f>(('Input and Output'!E$23*'Input and Output'!$B$10)+('Input and Output'!E$24*Calculations!$C$5)+('Input and Output'!E$25*Calculations!$C$6)+('Input and Output'!E$26*(IF('Input and Output'!G$7="Detritus",Calculations!$C$4,J375))-(SUM('Input and Output'!E$27:E$32))*K374))</f>
        <v>#N/A</v>
      </c>
      <c r="H375" s="49">
        <f>IF(H$2="",NA(),C375*$B375+H374)</f>
        <v>304769.18255080644</v>
      </c>
      <c r="I375" s="49">
        <f>IF(I$2="",NA(),D375*$B375+I374)</f>
        <v>2805384.6545762243</v>
      </c>
      <c r="J375" s="49">
        <f>IF(J$2="",NA(),E375*$B375+J374)</f>
        <v>1307400.1809265397</v>
      </c>
      <c r="K375" s="49" t="e">
        <f>IF(K$2="",NA(),F375*$B375+K374)</f>
        <v>#N/A</v>
      </c>
    </row>
    <row r="376" spans="1:11" x14ac:dyDescent="0.4">
      <c r="A376" s="49">
        <v>373</v>
      </c>
      <c r="B376" s="49">
        <f>A376/$B$1</f>
        <v>15.541666666666666</v>
      </c>
      <c r="C376" s="49">
        <f>(('Input and Output'!B$23*'Input and Output'!$B$10)+('Input and Output'!B$24*Calculations!$C$5)+('Input and Output'!B$25*Calculations!$C$6)+('Input and Output'!B$26*(IF('Input and Output'!D$7="Detritus",Calculations!$C$4,G376))-(SUM('Input and Output'!B$27:B$32))*H375))</f>
        <v>19.004226238072761</v>
      </c>
      <c r="D376" s="49">
        <f>(('Input and Output'!C$23*'Input and Output'!$B$10)+('Input and Output'!C$24*Calculations!$C$5)+('Input and Output'!C$25*Calculations!$C$6)+('Input and Output'!C$26*(IF('Input and Output'!E$7="Detritus",Calculations!$C$4,H376))-(SUM('Input and Output'!C$27:C$32))*I375))</f>
        <v>162.25430079221587</v>
      </c>
      <c r="E376" s="49">
        <f>(('Input and Output'!D$23*'Input and Output'!$B$10)+('Input and Output'!D$24*Calculations!$C$5)+('Input and Output'!D$25*Calculations!$C$6)+('Input and Output'!D$26*(IF('Input and Output'!F$7="Detritus",Calculations!$C$4,I376))-(SUM('Input and Output'!D$27:D$32))*J375))</f>
        <v>72.228509792086697</v>
      </c>
      <c r="F376" s="49" t="e">
        <f>(('Input and Output'!E$23*'Input and Output'!$B$10)+('Input and Output'!E$24*Calculations!$C$5)+('Input and Output'!E$25*Calculations!$C$6)+('Input and Output'!E$26*(IF('Input and Output'!G$7="Detritus",Calculations!$C$4,J376))-(SUM('Input and Output'!E$27:E$32))*K375))</f>
        <v>#N/A</v>
      </c>
      <c r="H376" s="49">
        <f>IF(H$2="",NA(),C376*$B376+H375)</f>
        <v>305064.5399002565</v>
      </c>
      <c r="I376" s="49">
        <f>IF(I$2="",NA(),D376*$B376+I375)</f>
        <v>2807906.3568343702</v>
      </c>
      <c r="J376" s="49">
        <f>IF(J$2="",NA(),E376*$B376+J375)</f>
        <v>1308522.7323495583</v>
      </c>
      <c r="K376" s="49" t="e">
        <f>IF(K$2="",NA(),F376*$B376+K375)</f>
        <v>#N/A</v>
      </c>
    </row>
    <row r="377" spans="1:11" x14ac:dyDescent="0.4">
      <c r="A377" s="49">
        <v>374</v>
      </c>
      <c r="B377" s="49">
        <f>A377/$B$1</f>
        <v>15.583333333333334</v>
      </c>
      <c r="C377" s="49">
        <f>(('Input and Output'!B$23*'Input and Output'!$B$10)+('Input and Output'!B$24*Calculations!$C$5)+('Input and Output'!B$25*Calculations!$C$6)+('Input and Output'!B$26*(IF('Input and Output'!D$7="Detritus",Calculations!$C$4,G377))-(SUM('Input and Output'!B$27:B$32))*H376))</f>
        <v>18.719468052121954</v>
      </c>
      <c r="D377" s="49">
        <f>(('Input and Output'!C$23*'Input and Output'!$B$10)+('Input and Output'!C$24*Calculations!$C$5)+('Input and Output'!C$25*Calculations!$C$6)+('Input and Output'!C$26*(IF('Input and Output'!E$7="Detritus",Calculations!$C$4,H377))-(SUM('Input and Output'!C$27:C$32))*I376))</f>
        <v>159.81325313307025</v>
      </c>
      <c r="E377" s="49">
        <f>(('Input and Output'!D$23*'Input and Output'!$B$10)+('Input and Output'!D$24*Calculations!$C$5)+('Input and Output'!D$25*Calculations!$C$6)+('Input and Output'!D$26*(IF('Input and Output'!F$7="Detritus",Calculations!$C$4,I377))-(SUM('Input and Output'!D$27:D$32))*J376))</f>
        <v>71.138420802792098</v>
      </c>
      <c r="F377" s="49" t="e">
        <f>(('Input and Output'!E$23*'Input and Output'!$B$10)+('Input and Output'!E$24*Calculations!$C$5)+('Input and Output'!E$25*Calculations!$C$6)+('Input and Output'!E$26*(IF('Input and Output'!G$7="Detritus",Calculations!$C$4,J377))-(SUM('Input and Output'!E$27:E$32))*K376))</f>
        <v>#N/A</v>
      </c>
      <c r="H377" s="49">
        <f>IF(H$2="",NA(),C377*$B377+H376)</f>
        <v>305356.25161073537</v>
      </c>
      <c r="I377" s="49">
        <f>IF(I$2="",NA(),D377*$B377+I376)</f>
        <v>2810396.7800290273</v>
      </c>
      <c r="J377" s="49">
        <f>IF(J$2="",NA(),E377*$B377+J376)</f>
        <v>1309631.306073735</v>
      </c>
      <c r="K377" s="49" t="e">
        <f>IF(K$2="",NA(),F377*$B377+K376)</f>
        <v>#N/A</v>
      </c>
    </row>
    <row r="378" spans="1:11" x14ac:dyDescent="0.4">
      <c r="A378" s="49">
        <v>375</v>
      </c>
      <c r="B378" s="49">
        <f>A378/$B$1</f>
        <v>15.625</v>
      </c>
      <c r="C378" s="49">
        <f>(('Input and Output'!B$23*'Input and Output'!$B$10)+('Input and Output'!B$24*Calculations!$C$5)+('Input and Output'!B$25*Calculations!$C$6)+('Input and Output'!B$26*(IF('Input and Output'!D$7="Detritus",Calculations!$C$4,G378))-(SUM('Input and Output'!B$27:B$32))*H377))</f>
        <v>18.438224678116683</v>
      </c>
      <c r="D378" s="49">
        <f>(('Input and Output'!C$23*'Input and Output'!$B$10)+('Input and Output'!C$24*Calculations!$C$5)+('Input and Output'!C$25*Calculations!$C$6)+('Input and Output'!C$26*(IF('Input and Output'!E$7="Detritus",Calculations!$C$4,H378))-(SUM('Input and Output'!C$27:C$32))*I377))</f>
        <v>157.40256506870173</v>
      </c>
      <c r="E378" s="49">
        <f>(('Input and Output'!D$23*'Input and Output'!$B$10)+('Input and Output'!D$24*Calculations!$C$5)+('Input and Output'!D$25*Calculations!$C$6)+('Input and Output'!D$26*(IF('Input and Output'!F$7="Detritus",Calculations!$C$4,I378))-(SUM('Input and Output'!D$27:D$32))*J377))</f>
        <v>70.061953541637195</v>
      </c>
      <c r="F378" s="49" t="e">
        <f>(('Input and Output'!E$23*'Input and Output'!$B$10)+('Input and Output'!E$24*Calculations!$C$5)+('Input and Output'!E$25*Calculations!$C$6)+('Input and Output'!E$26*(IF('Input and Output'!G$7="Detritus",Calculations!$C$4,J378))-(SUM('Input and Output'!E$27:E$32))*K377))</f>
        <v>#N/A</v>
      </c>
      <c r="H378" s="49">
        <f>IF(H$2="",NA(),C378*$B378+H377)</f>
        <v>305644.34887133096</v>
      </c>
      <c r="I378" s="49">
        <f>IF(I$2="",NA(),D378*$B378+I377)</f>
        <v>2812856.1951082256</v>
      </c>
      <c r="J378" s="49">
        <f>IF(J$2="",NA(),E378*$B378+J377)</f>
        <v>1310726.0240978231</v>
      </c>
      <c r="K378" s="49" t="e">
        <f>IF(K$2="",NA(),F378*$B378+K377)</f>
        <v>#N/A</v>
      </c>
    </row>
    <row r="379" spans="1:11" x14ac:dyDescent="0.4">
      <c r="A379" s="49">
        <v>376</v>
      </c>
      <c r="B379" s="49">
        <f>A379/$B$1</f>
        <v>15.666666666666666</v>
      </c>
      <c r="C379" s="49">
        <f>(('Input and Output'!B$23*'Input and Output'!$B$10)+('Input and Output'!B$24*Calculations!$C$5)+('Input and Output'!B$25*Calculations!$C$6)+('Input and Output'!B$26*(IF('Input and Output'!D$7="Detritus",Calculations!$C$4,G379))-(SUM('Input and Output'!B$27:B$32))*H378))</f>
        <v>18.160466046217607</v>
      </c>
      <c r="D379" s="49">
        <f>(('Input and Output'!C$23*'Input and Output'!$B$10)+('Input and Output'!C$24*Calculations!$C$5)+('Input and Output'!C$25*Calculations!$C$6)+('Input and Output'!C$26*(IF('Input and Output'!E$7="Detritus",Calculations!$C$4,H379))-(SUM('Input and Output'!C$27:C$32))*I378))</f>
        <v>155.02197048112066</v>
      </c>
      <c r="E379" s="49">
        <f>(('Input and Output'!D$23*'Input and Output'!$B$10)+('Input and Output'!D$24*Calculations!$C$5)+('Input and Output'!D$25*Calculations!$C$6)+('Input and Output'!D$26*(IF('Input and Output'!F$7="Detritus",Calculations!$C$4,I379))-(SUM('Input and Output'!D$27:D$32))*J378))</f>
        <v>68.998987425238738</v>
      </c>
      <c r="F379" s="49" t="e">
        <f>(('Input and Output'!E$23*'Input and Output'!$B$10)+('Input and Output'!E$24*Calculations!$C$5)+('Input and Output'!E$25*Calculations!$C$6)+('Input and Output'!E$26*(IF('Input and Output'!G$7="Detritus",Calculations!$C$4,J379))-(SUM('Input and Output'!E$27:E$32))*K378))</f>
        <v>#N/A</v>
      </c>
      <c r="H379" s="49">
        <f>IF(H$2="",NA(),C379*$B379+H378)</f>
        <v>305928.86283938837</v>
      </c>
      <c r="I379" s="49">
        <f>IF(I$2="",NA(),D379*$B379+I378)</f>
        <v>2815284.8726457632</v>
      </c>
      <c r="J379" s="49">
        <f>IF(J$2="",NA(),E379*$B379+J378)</f>
        <v>1311807.0082341519</v>
      </c>
      <c r="K379" s="49" t="e">
        <f>IF(K$2="",NA(),F379*$B379+K378)</f>
        <v>#N/A</v>
      </c>
    </row>
    <row r="380" spans="1:11" x14ac:dyDescent="0.4">
      <c r="A380" s="49">
        <v>377</v>
      </c>
      <c r="B380" s="49">
        <f>A380/$B$1</f>
        <v>15.708333333333334</v>
      </c>
      <c r="C380" s="49">
        <f>(('Input and Output'!B$23*'Input and Output'!$B$10)+('Input and Output'!B$24*Calculations!$C$5)+('Input and Output'!B$25*Calculations!$C$6)+('Input and Output'!B$26*(IF('Input and Output'!D$7="Detritus",Calculations!$C$4,G380))-(SUM('Input and Output'!B$27:B$32))*H379))</f>
        <v>17.886162117188746</v>
      </c>
      <c r="D380" s="49">
        <f>(('Input and Output'!C$23*'Input and Output'!$B$10)+('Input and Output'!C$24*Calculations!$C$5)+('Input and Output'!C$25*Calculations!$C$6)+('Input and Output'!C$26*(IF('Input and Output'!E$7="Detritus",Calculations!$C$4,H380))-(SUM('Input and Output'!C$27:C$32))*I379))</f>
        <v>152.67120375928516</v>
      </c>
      <c r="E380" s="49">
        <f>(('Input and Output'!D$23*'Input and Output'!$B$10)+('Input and Output'!D$24*Calculations!$C$5)+('Input and Output'!D$25*Calculations!$C$6)+('Input and Output'!D$26*(IF('Input and Output'!F$7="Detritus",Calculations!$C$4,I380))-(SUM('Input and Output'!D$27:D$32))*J379))</f>
        <v>67.949402124886547</v>
      </c>
      <c r="F380" s="49" t="e">
        <f>(('Input and Output'!E$23*'Input and Output'!$B$10)+('Input and Output'!E$24*Calculations!$C$5)+('Input and Output'!E$25*Calculations!$C$6)+('Input and Output'!E$26*(IF('Input and Output'!G$7="Detritus",Calculations!$C$4,J380))-(SUM('Input and Output'!E$27:E$32))*K379))</f>
        <v>#N/A</v>
      </c>
      <c r="H380" s="49">
        <f>IF(H$2="",NA(),C380*$B380+H379)</f>
        <v>306209.8246359792</v>
      </c>
      <c r="I380" s="49">
        <f>IF(I$2="",NA(),D380*$B380+I379)</f>
        <v>2817683.0828048154</v>
      </c>
      <c r="J380" s="49">
        <f>IF(J$2="",NA(),E380*$B380+J379)</f>
        <v>1312874.3800925303</v>
      </c>
      <c r="K380" s="49" t="e">
        <f>IF(K$2="",NA(),F380*$B380+K379)</f>
        <v>#N/A</v>
      </c>
    </row>
    <row r="381" spans="1:11" x14ac:dyDescent="0.4">
      <c r="A381" s="49">
        <v>378</v>
      </c>
      <c r="B381" s="49">
        <f>A381/$B$1</f>
        <v>15.75</v>
      </c>
      <c r="C381" s="49">
        <f>(('Input and Output'!B$23*'Input and Output'!$B$10)+('Input and Output'!B$24*Calculations!$C$5)+('Input and Output'!B$25*Calculations!$C$6)+('Input and Output'!B$26*(IF('Input and Output'!D$7="Detritus",Calculations!$C$4,G381))-(SUM('Input and Output'!B$27:B$32))*H380))</f>
        <v>17.615282886766181</v>
      </c>
      <c r="D381" s="49">
        <f>(('Input and Output'!C$23*'Input and Output'!$B$10)+('Input and Output'!C$24*Calculations!$C$5)+('Input and Output'!C$25*Calculations!$C$6)+('Input and Output'!C$26*(IF('Input and Output'!E$7="Detritus",Calculations!$C$4,H381))-(SUM('Input and Output'!C$27:C$32))*I380))</f>
        <v>150.34999982927548</v>
      </c>
      <c r="E381" s="49">
        <f>(('Input and Output'!D$23*'Input and Output'!$B$10)+('Input and Output'!D$24*Calculations!$C$5)+('Input and Output'!D$25*Calculations!$C$6)+('Input and Output'!D$26*(IF('Input and Output'!F$7="Detritus",Calculations!$C$4,I381))-(SUM('Input and Output'!D$27:D$32))*J380))</f>
        <v>66.913077579727542</v>
      </c>
      <c r="F381" s="49" t="e">
        <f>(('Input and Output'!E$23*'Input and Output'!$B$10)+('Input and Output'!E$24*Calculations!$C$5)+('Input and Output'!E$25*Calculations!$C$6)+('Input and Output'!E$26*(IF('Input and Output'!G$7="Detritus",Calculations!$C$4,J381))-(SUM('Input and Output'!E$27:E$32))*K380))</f>
        <v>#N/A</v>
      </c>
      <c r="H381" s="49">
        <f>IF(H$2="",NA(),C381*$B381+H380)</f>
        <v>306487.26534144575</v>
      </c>
      <c r="I381" s="49">
        <f>IF(I$2="",NA(),D381*$B381+I380)</f>
        <v>2820051.0953021264</v>
      </c>
      <c r="J381" s="49">
        <f>IF(J$2="",NA(),E381*$B381+J380)</f>
        <v>1313928.2610644109</v>
      </c>
      <c r="K381" s="49" t="e">
        <f>IF(K$2="",NA(),F381*$B381+K380)</f>
        <v>#N/A</v>
      </c>
    </row>
    <row r="382" spans="1:11" x14ac:dyDescent="0.4">
      <c r="A382" s="49">
        <v>379</v>
      </c>
      <c r="B382" s="49">
        <f>A382/$B$1</f>
        <v>15.791666666666666</v>
      </c>
      <c r="C382" s="49">
        <f>(('Input and Output'!B$23*'Input and Output'!$B$10)+('Input and Output'!B$24*Calculations!$C$5)+('Input and Output'!B$25*Calculations!$C$6)+('Input and Output'!B$26*(IF('Input and Output'!D$7="Detritus",Calculations!$C$4,G382))-(SUM('Input and Output'!B$27:B$32))*H381))</f>
        <v>17.347798389953539</v>
      </c>
      <c r="D382" s="49">
        <f>(('Input and Output'!C$23*'Input and Output'!$B$10)+('Input and Output'!C$24*Calculations!$C$5)+('Input and Output'!C$25*Calculations!$C$6)+('Input and Output'!C$26*(IF('Input and Output'!E$7="Detritus",Calculations!$C$4,H382))-(SUM('Input and Output'!C$27:C$32))*I381))</f>
        <v>148.05809418402441</v>
      </c>
      <c r="E382" s="49">
        <f>(('Input and Output'!D$23*'Input and Output'!$B$10)+('Input and Output'!D$24*Calculations!$C$5)+('Input and Output'!D$25*Calculations!$C$6)+('Input and Output'!D$26*(IF('Input and Output'!F$7="Detritus",Calculations!$C$4,I382))-(SUM('Input and Output'!D$27:D$32))*J381))</f>
        <v>65.889894009804266</v>
      </c>
      <c r="F382" s="49" t="e">
        <f>(('Input and Output'!E$23*'Input and Output'!$B$10)+('Input and Output'!E$24*Calculations!$C$5)+('Input and Output'!E$25*Calculations!$C$6)+('Input and Output'!E$26*(IF('Input and Output'!G$7="Detritus",Calculations!$C$4,J382))-(SUM('Input and Output'!E$27:E$32))*K381))</f>
        <v>#N/A</v>
      </c>
      <c r="H382" s="49">
        <f>IF(H$2="",NA(),C382*$B382+H381)</f>
        <v>306761.21599102044</v>
      </c>
      <c r="I382" s="49">
        <f>IF(I$2="",NA(),D382*$B382+I381)</f>
        <v>2822389.1793727824</v>
      </c>
      <c r="J382" s="49">
        <f>IF(J$2="",NA(),E382*$B382+J381)</f>
        <v>1314968.7723073158</v>
      </c>
      <c r="K382" s="49" t="e">
        <f>IF(K$2="",NA(),F382*$B382+K381)</f>
        <v>#N/A</v>
      </c>
    </row>
    <row r="383" spans="1:11" x14ac:dyDescent="0.4">
      <c r="A383" s="49">
        <v>380</v>
      </c>
      <c r="B383" s="49">
        <f>A383/$B$1</f>
        <v>15.833333333333334</v>
      </c>
      <c r="C383" s="49">
        <f>(('Input and Output'!B$23*'Input and Output'!$B$10)+('Input and Output'!B$24*Calculations!$C$5)+('Input and Output'!B$25*Calculations!$C$6)+('Input and Output'!B$26*(IF('Input and Output'!D$7="Detritus",Calculations!$C$4,G383))-(SUM('Input and Output'!B$27:B$32))*H382))</f>
        <v>17.083678705245518</v>
      </c>
      <c r="D383" s="49">
        <f>(('Input and Output'!C$23*'Input and Output'!$B$10)+('Input and Output'!C$24*Calculations!$C$5)+('Input and Output'!C$25*Calculations!$C$6)+('Input and Output'!C$26*(IF('Input and Output'!E$7="Detritus",Calculations!$C$4,H383))-(SUM('Input and Output'!C$27:C$32))*I382))</f>
        <v>145.79522291267131</v>
      </c>
      <c r="E383" s="49">
        <f>(('Input and Output'!D$23*'Input and Output'!$B$10)+('Input and Output'!D$24*Calculations!$C$5)+('Input and Output'!D$25*Calculations!$C$6)+('Input and Output'!D$26*(IF('Input and Output'!F$7="Detritus",Calculations!$C$4,I383))-(SUM('Input and Output'!D$27:D$32))*J382))</f>
        <v>64.879731928875117</v>
      </c>
      <c r="F383" s="49" t="e">
        <f>(('Input and Output'!E$23*'Input and Output'!$B$10)+('Input and Output'!E$24*Calculations!$C$5)+('Input and Output'!E$25*Calculations!$C$6)+('Input and Output'!E$26*(IF('Input and Output'!G$7="Detritus",Calculations!$C$4,J383))-(SUM('Input and Output'!E$27:E$32))*K382))</f>
        <v>#N/A</v>
      </c>
      <c r="H383" s="49">
        <f>IF(H$2="",NA(),C383*$B383+H382)</f>
        <v>307031.70757052017</v>
      </c>
      <c r="I383" s="49">
        <f>IF(I$2="",NA(),D383*$B383+I382)</f>
        <v>2824697.6037355661</v>
      </c>
      <c r="J383" s="49">
        <f>IF(J$2="",NA(),E383*$B383+J382)</f>
        <v>1315996.0347295231</v>
      </c>
      <c r="K383" s="49" t="e">
        <f>IF(K$2="",NA(),F383*$B383+K382)</f>
        <v>#N/A</v>
      </c>
    </row>
    <row r="384" spans="1:11" x14ac:dyDescent="0.4">
      <c r="A384" s="49">
        <v>381</v>
      </c>
      <c r="B384" s="49">
        <f>A384/$B$1</f>
        <v>15.875</v>
      </c>
      <c r="C384" s="49">
        <f>(('Input and Output'!B$23*'Input and Output'!$B$10)+('Input and Output'!B$24*Calculations!$C$5)+('Input and Output'!B$25*Calculations!$C$6)+('Input and Output'!B$26*(IF('Input and Output'!D$7="Detritus",Calculations!$C$4,G384))-(SUM('Input and Output'!B$27:B$32))*H383))</f>
        <v>16.822893958779161</v>
      </c>
      <c r="D384" s="49">
        <f>(('Input and Output'!C$23*'Input and Output'!$B$10)+('Input and Output'!C$24*Calculations!$C$5)+('Input and Output'!C$25*Calculations!$C$6)+('Input and Output'!C$26*(IF('Input and Output'!E$7="Detritus",Calculations!$C$4,H384))-(SUM('Input and Output'!C$27:C$32))*I383))</f>
        <v>143.56112272950941</v>
      </c>
      <c r="E384" s="49">
        <f>(('Input and Output'!D$23*'Input and Output'!$B$10)+('Input and Output'!D$24*Calculations!$C$5)+('Input and Output'!D$25*Calculations!$C$6)+('Input and Output'!D$26*(IF('Input and Output'!F$7="Detritus",Calculations!$C$4,I384))-(SUM('Input and Output'!D$27:D$32))*J383))</f>
        <v>63.88247215717638</v>
      </c>
      <c r="F384" s="49" t="e">
        <f>(('Input and Output'!E$23*'Input and Output'!$B$10)+('Input and Output'!E$24*Calculations!$C$5)+('Input and Output'!E$25*Calculations!$C$6)+('Input and Output'!E$26*(IF('Input and Output'!G$7="Detritus",Calculations!$C$4,J384))-(SUM('Input and Output'!E$27:E$32))*K383))</f>
        <v>#N/A</v>
      </c>
      <c r="H384" s="49">
        <f>IF(H$2="",NA(),C384*$B384+H383)</f>
        <v>307298.77101211582</v>
      </c>
      <c r="I384" s="49">
        <f>IF(I$2="",NA(),D384*$B384+I383)</f>
        <v>2826976.6365588973</v>
      </c>
      <c r="J384" s="49">
        <f>IF(J$2="",NA(),E384*$B384+J383)</f>
        <v>1317010.1689750182</v>
      </c>
      <c r="K384" s="49" t="e">
        <f>IF(K$2="",NA(),F384*$B384+K383)</f>
        <v>#N/A</v>
      </c>
    </row>
    <row r="385" spans="1:11" x14ac:dyDescent="0.4">
      <c r="A385" s="49">
        <v>382</v>
      </c>
      <c r="B385" s="49">
        <f>A385/$B$1</f>
        <v>15.916666666666666</v>
      </c>
      <c r="C385" s="49">
        <f>(('Input and Output'!B$23*'Input and Output'!$B$10)+('Input and Output'!B$24*Calculations!$C$5)+('Input and Output'!B$25*Calculations!$C$6)+('Input and Output'!B$26*(IF('Input and Output'!D$7="Detritus",Calculations!$C$4,G385))-(SUM('Input and Output'!B$27:B$32))*H384))</f>
        <v>16.565414328412203</v>
      </c>
      <c r="D385" s="49">
        <f>(('Input and Output'!C$23*'Input and Output'!$B$10)+('Input and Output'!C$24*Calculations!$C$5)+('Input and Output'!C$25*Calculations!$C$6)+('Input and Output'!C$26*(IF('Input and Output'!E$7="Detritus",Calculations!$C$4,H385))-(SUM('Input and Output'!C$27:C$32))*I384))</f>
        <v>141.35553100250399</v>
      </c>
      <c r="E385" s="49">
        <f>(('Input and Output'!D$23*'Input and Output'!$B$10)+('Input and Output'!D$24*Calculations!$C$5)+('Input and Output'!D$25*Calculations!$C$6)+('Input and Output'!D$26*(IF('Input and Output'!F$7="Detritus",Calculations!$C$4,I385))-(SUM('Input and Output'!D$27:D$32))*J384))</f>
        <v>62.897995833674941</v>
      </c>
      <c r="F385" s="49" t="e">
        <f>(('Input and Output'!E$23*'Input and Output'!$B$10)+('Input and Output'!E$24*Calculations!$C$5)+('Input and Output'!E$25*Calculations!$C$6)+('Input and Output'!E$26*(IF('Input and Output'!G$7="Detritus",Calculations!$C$4,J385))-(SUM('Input and Output'!E$27:E$32))*K384))</f>
        <v>#N/A</v>
      </c>
      <c r="H385" s="49">
        <f>IF(H$2="",NA(),C385*$B385+H384)</f>
        <v>307562.4371901764</v>
      </c>
      <c r="I385" s="49">
        <f>IF(I$2="",NA(),D385*$B385+I384)</f>
        <v>2829226.5454273541</v>
      </c>
      <c r="J385" s="49">
        <f>IF(J$2="",NA(),E385*$B385+J384)</f>
        <v>1318011.2954087041</v>
      </c>
      <c r="K385" s="49" t="e">
        <f>IF(K$2="",NA(),F385*$B385+K384)</f>
        <v>#N/A</v>
      </c>
    </row>
    <row r="386" spans="1:11" x14ac:dyDescent="0.4">
      <c r="A386" s="49">
        <v>383</v>
      </c>
      <c r="B386" s="49">
        <f>A386/$B$1</f>
        <v>15.958333333333334</v>
      </c>
      <c r="C386" s="49">
        <f>(('Input and Output'!B$23*'Input and Output'!$B$10)+('Input and Output'!B$24*Calculations!$C$5)+('Input and Output'!B$25*Calculations!$C$6)+('Input and Output'!B$26*(IF('Input and Output'!D$7="Detritus",Calculations!$C$4,G386))-(SUM('Input and Output'!B$27:B$32))*H385))</f>
        <v>16.311210047730185</v>
      </c>
      <c r="D386" s="49">
        <f>(('Input and Output'!C$23*'Input and Output'!$B$10)+('Input and Output'!C$24*Calculations!$C$5)+('Input and Output'!C$25*Calculations!$C$6)+('Input and Output'!C$26*(IF('Input and Output'!E$7="Detritus",Calculations!$C$4,H386))-(SUM('Input and Output'!C$27:C$32))*I385))</f>
        <v>139.17818578140577</v>
      </c>
      <c r="E386" s="49">
        <f>(('Input and Output'!D$23*'Input and Output'!$B$10)+('Input and Output'!D$24*Calculations!$C$5)+('Input and Output'!D$25*Calculations!$C$6)+('Input and Output'!D$26*(IF('Input and Output'!F$7="Detritus",Calculations!$C$4,I386))-(SUM('Input and Output'!D$27:D$32))*J385))</f>
        <v>61.926184428495617</v>
      </c>
      <c r="F386" s="49" t="e">
        <f>(('Input and Output'!E$23*'Input and Output'!$B$10)+('Input and Output'!E$24*Calculations!$C$5)+('Input and Output'!E$25*Calculations!$C$6)+('Input and Output'!E$26*(IF('Input and Output'!G$7="Detritus",Calculations!$C$4,J386))-(SUM('Input and Output'!E$27:E$32))*K385))</f>
        <v>#N/A</v>
      </c>
      <c r="H386" s="49">
        <f>IF(H$2="",NA(),C386*$B386+H385)</f>
        <v>307822.7369171881</v>
      </c>
      <c r="I386" s="49">
        <f>IF(I$2="",NA(),D386*$B386+I385)</f>
        <v>2831447.5973087824</v>
      </c>
      <c r="J386" s="49">
        <f>IF(J$2="",NA(),E386*$B386+J385)</f>
        <v>1318999.5341018755</v>
      </c>
      <c r="K386" s="49" t="e">
        <f>IF(K$2="",NA(),F386*$B386+K385)</f>
        <v>#N/A</v>
      </c>
    </row>
    <row r="387" spans="1:11" x14ac:dyDescent="0.4">
      <c r="A387" s="49">
        <v>384</v>
      </c>
      <c r="B387" s="49">
        <f>A387/$B$1</f>
        <v>16</v>
      </c>
      <c r="C387" s="49">
        <f>(('Input and Output'!B$23*'Input and Output'!$B$10)+('Input and Output'!B$24*Calculations!$C$5)+('Input and Output'!B$25*Calculations!$C$6)+('Input and Output'!B$26*(IF('Input and Output'!D$7="Detritus",Calculations!$C$4,G387))-(SUM('Input and Output'!B$27:B$32))*H386))</f>
        <v>16.060251409980481</v>
      </c>
      <c r="D387" s="49">
        <f>(('Input and Output'!C$23*'Input and Output'!$B$10)+('Input and Output'!C$24*Calculations!$C$5)+('Input and Output'!C$25*Calculations!$C$6)+('Input and Output'!C$26*(IF('Input and Output'!E$7="Detritus",Calculations!$C$4,H387))-(SUM('Input and Output'!C$27:C$32))*I386))</f>
        <v>137.02882582543953</v>
      </c>
      <c r="E387" s="49">
        <f>(('Input and Output'!D$23*'Input and Output'!$B$10)+('Input and Output'!D$24*Calculations!$C$5)+('Input and Output'!D$25*Calculations!$C$6)+('Input and Output'!D$26*(IF('Input and Output'!F$7="Detritus",Calculations!$C$4,I387))-(SUM('Input and Output'!D$27:D$32))*J386))</f>
        <v>60.966919755086565</v>
      </c>
      <c r="F387" s="49" t="e">
        <f>(('Input and Output'!E$23*'Input and Output'!$B$10)+('Input and Output'!E$24*Calculations!$C$5)+('Input and Output'!E$25*Calculations!$C$6)+('Input and Output'!E$26*(IF('Input and Output'!G$7="Detritus",Calculations!$C$4,J387))-(SUM('Input and Output'!E$27:E$32))*K386))</f>
        <v>#N/A</v>
      </c>
      <c r="H387" s="49">
        <f>IF(H$2="",NA(),C387*$B387+H386)</f>
        <v>308079.7009397478</v>
      </c>
      <c r="I387" s="49">
        <f>IF(I$2="",NA(),D387*$B387+I386)</f>
        <v>2833640.0585219893</v>
      </c>
      <c r="J387" s="49">
        <f>IF(J$2="",NA(),E387*$B387+J386)</f>
        <v>1319975.0048179568</v>
      </c>
      <c r="K387" s="49" t="e">
        <f>IF(K$2="",NA(),F387*$B387+K386)</f>
        <v>#N/A</v>
      </c>
    </row>
    <row r="388" spans="1:11" x14ac:dyDescent="0.4">
      <c r="A388" s="49">
        <v>385</v>
      </c>
      <c r="B388" s="49">
        <f>A388/$B$1</f>
        <v>16.041666666666668</v>
      </c>
      <c r="C388" s="49">
        <f>(('Input and Output'!B$23*'Input and Output'!$B$10)+('Input and Output'!B$24*Calculations!$C$5)+('Input and Output'!B$25*Calculations!$C$6)+('Input and Output'!B$26*(IF('Input and Output'!D$7="Detritus",Calculations!$C$4,G388))-(SUM('Input and Output'!B$27:B$32))*H387))</f>
        <v>15.812508771935541</v>
      </c>
      <c r="D388" s="49">
        <f>(('Input and Output'!C$23*'Input and Output'!$B$10)+('Input and Output'!C$24*Calculations!$C$5)+('Input and Output'!C$25*Calculations!$C$6)+('Input and Output'!C$26*(IF('Input and Output'!E$7="Detritus",Calculations!$C$4,H388))-(SUM('Input and Output'!C$27:C$32))*I387))</f>
        <v>134.90719063055167</v>
      </c>
      <c r="E388" s="49">
        <f>(('Input and Output'!D$23*'Input and Output'!$B$10)+('Input and Output'!D$24*Calculations!$C$5)+('Input and Output'!D$25*Calculations!$C$6)+('Input and Output'!D$26*(IF('Input and Output'!F$7="Detritus",Calculations!$C$4,I388))-(SUM('Input and Output'!D$27:D$32))*J387))</f>
        <v>60.020083981919015</v>
      </c>
      <c r="F388" s="49" t="e">
        <f>(('Input and Output'!E$23*'Input and Output'!$B$10)+('Input and Output'!E$24*Calculations!$C$5)+('Input and Output'!E$25*Calculations!$C$6)+('Input and Output'!E$26*(IF('Input and Output'!G$7="Detritus",Calculations!$C$4,J388))-(SUM('Input and Output'!E$27:E$32))*K387))</f>
        <v>#N/A</v>
      </c>
      <c r="H388" s="49">
        <f>IF(H$2="",NA(),C388*$B388+H387)</f>
        <v>308333.35993463092</v>
      </c>
      <c r="I388" s="49">
        <f>IF(I$2="",NA(),D388*$B388+I387)</f>
        <v>2835804.1947050211</v>
      </c>
      <c r="J388" s="49">
        <f>IF(J$2="",NA(),E388*$B388+J387)</f>
        <v>1320937.8269985002</v>
      </c>
      <c r="K388" s="49" t="e">
        <f>IF(K$2="",NA(),F388*$B388+K387)</f>
        <v>#N/A</v>
      </c>
    </row>
    <row r="389" spans="1:11" x14ac:dyDescent="0.4">
      <c r="A389" s="49">
        <v>386</v>
      </c>
      <c r="B389" s="49">
        <f>A389/$B$1</f>
        <v>16.083333333333332</v>
      </c>
      <c r="C389" s="49">
        <f>(('Input and Output'!B$23*'Input and Output'!$B$10)+('Input and Output'!B$24*Calculations!$C$5)+('Input and Output'!B$25*Calculations!$C$6)+('Input and Output'!B$26*(IF('Input and Output'!D$7="Detritus",Calculations!$C$4,G389))-(SUM('Input and Output'!B$27:B$32))*H388))</f>
        <v>15.567952557683498</v>
      </c>
      <c r="D389" s="49">
        <f>(('Input and Output'!C$23*'Input and Output'!$B$10)+('Input and Output'!C$24*Calculations!$C$5)+('Input and Output'!C$25*Calculations!$C$6)+('Input and Output'!C$26*(IF('Input and Output'!E$7="Detritus",Calculations!$C$4,H389))-(SUM('Input and Output'!C$27:C$32))*I388))</f>
        <v>132.81302045623943</v>
      </c>
      <c r="E389" s="49">
        <f>(('Input and Output'!D$23*'Input and Output'!$B$10)+('Input and Output'!D$24*Calculations!$C$5)+('Input and Output'!D$25*Calculations!$C$6)+('Input and Output'!D$26*(IF('Input and Output'!F$7="Detritus",Calculations!$C$4,I389))-(SUM('Input and Output'!D$27:D$32))*J388))</f>
        <v>59.085559644390742</v>
      </c>
      <c r="F389" s="49" t="e">
        <f>(('Input and Output'!E$23*'Input and Output'!$B$10)+('Input and Output'!E$24*Calculations!$C$5)+('Input and Output'!E$25*Calculations!$C$6)+('Input and Output'!E$26*(IF('Input and Output'!G$7="Detritus",Calculations!$C$4,J389))-(SUM('Input and Output'!E$27:E$32))*K388))</f>
        <v>#N/A</v>
      </c>
      <c r="H389" s="49">
        <f>IF(H$2="",NA(),C389*$B389+H388)</f>
        <v>308583.74450493365</v>
      </c>
      <c r="I389" s="49">
        <f>IF(I$2="",NA(),D389*$B389+I388)</f>
        <v>2837940.2707840255</v>
      </c>
      <c r="J389" s="49">
        <f>IF(J$2="",NA(),E389*$B389+J388)</f>
        <v>1321888.1197494473</v>
      </c>
      <c r="K389" s="49" t="e">
        <f>IF(K$2="",NA(),F389*$B389+K388)</f>
        <v>#N/A</v>
      </c>
    </row>
    <row r="390" spans="1:11" x14ac:dyDescent="0.4">
      <c r="A390" s="49">
        <v>387</v>
      </c>
      <c r="B390" s="49">
        <f>A390/$B$1</f>
        <v>16.125</v>
      </c>
      <c r="C390" s="49">
        <f>(('Input and Output'!B$23*'Input and Output'!$B$10)+('Input and Output'!B$24*Calculations!$C$5)+('Input and Output'!B$25*Calculations!$C$6)+('Input and Output'!B$26*(IF('Input and Output'!D$7="Detritus",Calculations!$C$4,G390))-(SUM('Input and Output'!B$27:B$32))*H389))</f>
        <v>15.326553262347716</v>
      </c>
      <c r="D390" s="49">
        <f>(('Input and Output'!C$23*'Input and Output'!$B$10)+('Input and Output'!C$24*Calculations!$C$5)+('Input and Output'!C$25*Calculations!$C$6)+('Input and Output'!C$26*(IF('Input and Output'!E$7="Detritus",Calculations!$C$4,H390))-(SUM('Input and Output'!C$27:C$32))*I389))</f>
        <v>130.74605635194439</v>
      </c>
      <c r="E390" s="49">
        <f>(('Input and Output'!D$23*'Input and Output'!$B$10)+('Input and Output'!D$24*Calculations!$C$5)+('Input and Output'!D$25*Calculations!$C$6)+('Input and Output'!D$26*(IF('Input and Output'!F$7="Detritus",Calculations!$C$4,I390))-(SUM('Input and Output'!D$27:D$32))*J389))</f>
        <v>58.163229656336625</v>
      </c>
      <c r="F390" s="49" t="e">
        <f>(('Input and Output'!E$23*'Input and Output'!$B$10)+('Input and Output'!E$24*Calculations!$C$5)+('Input and Output'!E$25*Calculations!$C$6)+('Input and Output'!E$26*(IF('Input and Output'!G$7="Detritus",Calculations!$C$4,J390))-(SUM('Input and Output'!E$27:E$32))*K389))</f>
        <v>#N/A</v>
      </c>
      <c r="H390" s="49">
        <f>IF(H$2="",NA(),C390*$B390+H389)</f>
        <v>308830.88517628901</v>
      </c>
      <c r="I390" s="49">
        <f>IF(I$2="",NA(),D390*$B390+I389)</f>
        <v>2840048.5509427008</v>
      </c>
      <c r="J390" s="49">
        <f>IF(J$2="",NA(),E390*$B390+J389)</f>
        <v>1322826.0018276558</v>
      </c>
      <c r="K390" s="49" t="e">
        <f>IF(K$2="",NA(),F390*$B390+K389)</f>
        <v>#N/A</v>
      </c>
    </row>
    <row r="391" spans="1:11" x14ac:dyDescent="0.4">
      <c r="A391" s="49">
        <v>388</v>
      </c>
      <c r="B391" s="49">
        <f>A391/$B$1</f>
        <v>16.166666666666668</v>
      </c>
      <c r="C391" s="49">
        <f>(('Input and Output'!B$23*'Input and Output'!$B$10)+('Input and Output'!B$24*Calculations!$C$5)+('Input and Output'!B$25*Calculations!$C$6)+('Input and Output'!B$26*(IF('Input and Output'!D$7="Detritus",Calculations!$C$4,G391))-(SUM('Input and Output'!B$27:B$32))*H390))</f>
        <v>15.088281455735</v>
      </c>
      <c r="D391" s="49">
        <f>(('Input and Output'!C$23*'Input and Output'!$B$10)+('Input and Output'!C$24*Calculations!$C$5)+('Input and Output'!C$25*Calculations!$C$6)+('Input and Output'!C$26*(IF('Input and Output'!E$7="Detritus",Calculations!$C$4,H391))-(SUM('Input and Output'!C$27:C$32))*I390))</f>
        <v>128.70604018299673</v>
      </c>
      <c r="E391" s="49">
        <f>(('Input and Output'!D$23*'Input and Output'!$B$10)+('Input and Output'!D$24*Calculations!$C$5)+('Input and Output'!D$25*Calculations!$C$6)+('Input and Output'!D$26*(IF('Input and Output'!F$7="Detritus",Calculations!$C$4,I391))-(SUM('Input and Output'!D$27:D$32))*J390))</f>
        <v>57.252977321073558</v>
      </c>
      <c r="F391" s="49" t="e">
        <f>(('Input and Output'!E$23*'Input and Output'!$B$10)+('Input and Output'!E$24*Calculations!$C$5)+('Input and Output'!E$25*Calculations!$C$6)+('Input and Output'!E$26*(IF('Input and Output'!G$7="Detritus",Calculations!$C$4,J391))-(SUM('Input and Output'!E$27:E$32))*K390))</f>
        <v>#N/A</v>
      </c>
      <c r="H391" s="49">
        <f>IF(H$2="",NA(),C391*$B391+H390)</f>
        <v>309074.81239315675</v>
      </c>
      <c r="I391" s="49">
        <f>IF(I$2="",NA(),D391*$B391+I390)</f>
        <v>2842129.2985923258</v>
      </c>
      <c r="J391" s="49">
        <f>IF(J$2="",NA(),E391*$B391+J390)</f>
        <v>1323751.5916276798</v>
      </c>
      <c r="K391" s="49" t="e">
        <f>IF(K$2="",NA(),F391*$B391+K390)</f>
        <v>#N/A</v>
      </c>
    </row>
    <row r="392" spans="1:11" x14ac:dyDescent="0.4">
      <c r="A392" s="49">
        <v>389</v>
      </c>
      <c r="B392" s="49">
        <f>A392/$B$1</f>
        <v>16.208333333333332</v>
      </c>
      <c r="C392" s="49">
        <f>(('Input and Output'!B$23*'Input and Output'!$B$10)+('Input and Output'!B$24*Calculations!$C$5)+('Input and Output'!B$25*Calculations!$C$6)+('Input and Output'!B$26*(IF('Input and Output'!D$7="Detritus",Calculations!$C$4,G392))-(SUM('Input and Output'!B$27:B$32))*H391))</f>
        <v>14.853107785912243</v>
      </c>
      <c r="D392" s="49">
        <f>(('Input and Output'!C$23*'Input and Output'!$B$10)+('Input and Output'!C$24*Calculations!$C$5)+('Input and Output'!C$25*Calculations!$C$6)+('Input and Output'!C$26*(IF('Input and Output'!E$7="Detritus",Calculations!$C$4,H392))-(SUM('Input and Output'!C$27:C$32))*I391))</f>
        <v>126.69271465612655</v>
      </c>
      <c r="E392" s="49">
        <f>(('Input and Output'!D$23*'Input and Output'!$B$10)+('Input and Output'!D$24*Calculations!$C$5)+('Input and Output'!D$25*Calculations!$C$6)+('Input and Output'!D$26*(IF('Input and Output'!F$7="Detritus",Calculations!$C$4,I392))-(SUM('Input and Output'!D$27:D$32))*J391))</f>
        <v>56.354686343027424</v>
      </c>
      <c r="F392" s="49" t="e">
        <f>(('Input and Output'!E$23*'Input and Output'!$B$10)+('Input and Output'!E$24*Calculations!$C$5)+('Input and Output'!E$25*Calculations!$C$6)+('Input and Output'!E$26*(IF('Input and Output'!G$7="Detritus",Calculations!$C$4,J392))-(SUM('Input and Output'!E$27:E$32))*K391))</f>
        <v>#N/A</v>
      </c>
      <c r="H392" s="49">
        <f>IF(H$2="",NA(),C392*$B392+H391)</f>
        <v>309315.55651518673</v>
      </c>
      <c r="I392" s="49">
        <f>IF(I$2="",NA(),D392*$B392+I391)</f>
        <v>2844182.7763423771</v>
      </c>
      <c r="J392" s="49">
        <f>IF(J$2="",NA(),E392*$B392+J391)</f>
        <v>1324665.0071688229</v>
      </c>
      <c r="K392" s="49" t="e">
        <f>IF(K$2="",NA(),F392*$B392+K391)</f>
        <v>#N/A</v>
      </c>
    </row>
    <row r="393" spans="1:11" x14ac:dyDescent="0.4">
      <c r="A393" s="49">
        <v>390</v>
      </c>
      <c r="B393" s="49">
        <f>A393/$B$1</f>
        <v>16.25</v>
      </c>
      <c r="C393" s="49">
        <f>(('Input and Output'!B$23*'Input and Output'!$B$10)+('Input and Output'!B$24*Calculations!$C$5)+('Input and Output'!B$25*Calculations!$C$6)+('Input and Output'!B$26*(IF('Input and Output'!D$7="Detritus",Calculations!$C$4,G393))-(SUM('Input and Output'!B$27:B$32))*H392))</f>
        <v>14.621002982712923</v>
      </c>
      <c r="D393" s="49">
        <f>(('Input and Output'!C$23*'Input and Output'!$B$10)+('Input and Output'!C$24*Calculations!$C$5)+('Input and Output'!C$25*Calculations!$C$6)+('Input and Output'!C$26*(IF('Input and Output'!E$7="Detritus",Calculations!$C$4,H393))-(SUM('Input and Output'!C$27:C$32))*I392))</f>
        <v>124.70582334453047</v>
      </c>
      <c r="E393" s="49">
        <f>(('Input and Output'!D$23*'Input and Output'!$B$10)+('Input and Output'!D$24*Calculations!$C$5)+('Input and Output'!D$25*Calculations!$C$6)+('Input and Output'!D$26*(IF('Input and Output'!F$7="Detritus",Calculations!$C$4,I393))-(SUM('Input and Output'!D$27:D$32))*J392))</f>
        <v>55.468240838195925</v>
      </c>
      <c r="F393" s="49" t="e">
        <f>(('Input and Output'!E$23*'Input and Output'!$B$10)+('Input and Output'!E$24*Calculations!$C$5)+('Input and Output'!E$25*Calculations!$C$6)+('Input and Output'!E$26*(IF('Input and Output'!G$7="Detritus",Calculations!$C$4,J393))-(SUM('Input and Output'!E$27:E$32))*K392))</f>
        <v>#N/A</v>
      </c>
      <c r="H393" s="49">
        <f>IF(H$2="",NA(),C393*$B393+H392)</f>
        <v>309553.14781365584</v>
      </c>
      <c r="I393" s="49">
        <f>IF(I$2="",NA(),D393*$B393+I392)</f>
        <v>2846209.2459717258</v>
      </c>
      <c r="J393" s="49">
        <f>IF(J$2="",NA(),E393*$B393+J392)</f>
        <v>1325566.3660824436</v>
      </c>
      <c r="K393" s="49" t="e">
        <f>IF(K$2="",NA(),F393*$B393+K392)</f>
        <v>#N/A</v>
      </c>
    </row>
    <row r="394" spans="1:11" x14ac:dyDescent="0.4">
      <c r="A394" s="49">
        <v>391</v>
      </c>
      <c r="B394" s="49">
        <f>A394/$B$1</f>
        <v>16.291666666666668</v>
      </c>
      <c r="C394" s="49">
        <f>(('Input and Output'!B$23*'Input and Output'!$B$10)+('Input and Output'!B$24*Calculations!$C$5)+('Input and Output'!B$25*Calculations!$C$6)+('Input and Output'!B$26*(IF('Input and Output'!D$7="Detritus",Calculations!$C$4,G394))-(SUM('Input and Output'!B$27:B$32))*H393))</f>
        <v>14.391937861172039</v>
      </c>
      <c r="D394" s="49">
        <f>(('Input and Output'!C$23*'Input and Output'!$B$10)+('Input and Output'!C$24*Calculations!$C$5)+('Input and Output'!C$25*Calculations!$C$6)+('Input and Output'!C$26*(IF('Input and Output'!E$7="Detritus",Calculations!$C$4,H394))-(SUM('Input and Output'!C$27:C$32))*I393))</f>
        <v>122.74511071247161</v>
      </c>
      <c r="E394" s="49">
        <f>(('Input and Output'!D$23*'Input and Output'!$B$10)+('Input and Output'!D$24*Calculations!$C$5)+('Input and Output'!D$25*Calculations!$C$6)+('Input and Output'!D$26*(IF('Input and Output'!F$7="Detritus",Calculations!$C$4,I394))-(SUM('Input and Output'!D$27:D$32))*J393))</f>
        <v>54.593525345135276</v>
      </c>
      <c r="F394" s="49" t="e">
        <f>(('Input and Output'!E$23*'Input and Output'!$B$10)+('Input and Output'!E$24*Calculations!$C$5)+('Input and Output'!E$25*Calculations!$C$6)+('Input and Output'!E$26*(IF('Input and Output'!G$7="Detritus",Calculations!$C$4,J394))-(SUM('Input and Output'!E$27:E$32))*K393))</f>
        <v>#N/A</v>
      </c>
      <c r="H394" s="49">
        <f>IF(H$2="",NA(),C394*$B394+H393)</f>
        <v>309787.61646797747</v>
      </c>
      <c r="I394" s="49">
        <f>IF(I$2="",NA(),D394*$B394+I393)</f>
        <v>2848208.9684004164</v>
      </c>
      <c r="J394" s="49">
        <f>IF(J$2="",NA(),E394*$B394+J393)</f>
        <v>1326455.7855995249</v>
      </c>
      <c r="K394" s="49" t="e">
        <f>IF(K$2="",NA(),F394*$B394+K393)</f>
        <v>#N/A</v>
      </c>
    </row>
    <row r="395" spans="1:11" x14ac:dyDescent="0.4">
      <c r="A395" s="49">
        <v>392</v>
      </c>
      <c r="B395" s="49">
        <f>A395/$B$1</f>
        <v>16.333333333333332</v>
      </c>
      <c r="C395" s="49">
        <f>(('Input and Output'!B$23*'Input and Output'!$B$10)+('Input and Output'!B$24*Calculations!$C$5)+('Input and Output'!B$25*Calculations!$C$6)+('Input and Output'!B$26*(IF('Input and Output'!D$7="Detritus",Calculations!$C$4,G395))-(SUM('Input and Output'!B$27:B$32))*H394))</f>
        <v>14.165883324891638</v>
      </c>
      <c r="D395" s="49">
        <f>(('Input and Output'!C$23*'Input and Output'!$B$10)+('Input and Output'!C$24*Calculations!$C$5)+('Input and Output'!C$25*Calculations!$C$6)+('Input and Output'!C$26*(IF('Input and Output'!E$7="Detritus",Calculations!$C$4,H395))-(SUM('Input and Output'!C$27:C$32))*I394))</f>
        <v>120.81032213946764</v>
      </c>
      <c r="E395" s="49">
        <f>(('Input and Output'!D$23*'Input and Output'!$B$10)+('Input and Output'!D$24*Calculations!$C$5)+('Input and Output'!D$25*Calculations!$C$6)+('Input and Output'!D$26*(IF('Input and Output'!F$7="Detritus",Calculations!$C$4,I395))-(SUM('Input and Output'!D$27:D$32))*J394))</f>
        <v>53.730424835423037</v>
      </c>
      <c r="F395" s="49" t="e">
        <f>(('Input and Output'!E$23*'Input and Output'!$B$10)+('Input and Output'!E$24*Calculations!$C$5)+('Input and Output'!E$25*Calculations!$C$6)+('Input and Output'!E$26*(IF('Input and Output'!G$7="Detritus",Calculations!$C$4,J395))-(SUM('Input and Output'!E$27:E$32))*K394))</f>
        <v>#N/A</v>
      </c>
      <c r="H395" s="49">
        <f>IF(H$2="",NA(),C395*$B395+H394)</f>
        <v>310018.99256228405</v>
      </c>
      <c r="I395" s="49">
        <f>IF(I$2="",NA(),D395*$B395+I394)</f>
        <v>2850182.2036620276</v>
      </c>
      <c r="J395" s="49">
        <f>IF(J$2="",NA(),E395*$B395+J394)</f>
        <v>1327333.3825385035</v>
      </c>
      <c r="K395" s="49" t="e">
        <f>IF(K$2="",NA(),F395*$B395+K394)</f>
        <v>#N/A</v>
      </c>
    </row>
    <row r="396" spans="1:11" x14ac:dyDescent="0.4">
      <c r="A396" s="49">
        <v>393</v>
      </c>
      <c r="B396" s="49">
        <f>A396/$B$1</f>
        <v>16.375</v>
      </c>
      <c r="C396" s="49">
        <f>(('Input and Output'!B$23*'Input and Output'!$B$10)+('Input and Output'!B$24*Calculations!$C$5)+('Input and Output'!B$25*Calculations!$C$6)+('Input and Output'!B$26*(IF('Input and Output'!D$7="Detritus",Calculations!$C$4,G396))-(SUM('Input and Output'!B$27:B$32))*H395))</f>
        <v>13.942810369335234</v>
      </c>
      <c r="D396" s="49">
        <f>(('Input and Output'!C$23*'Input and Output'!$B$10)+('Input and Output'!C$24*Calculations!$C$5)+('Input and Output'!C$25*Calculations!$C$6)+('Input and Output'!C$26*(IF('Input and Output'!E$7="Detritus",Calculations!$C$4,H396))-(SUM('Input and Output'!C$27:C$32))*I395))</f>
        <v>118.90120394397491</v>
      </c>
      <c r="E396" s="49">
        <f>(('Input and Output'!D$23*'Input and Output'!$B$10)+('Input and Output'!D$24*Calculations!$C$5)+('Input and Output'!D$25*Calculations!$C$6)+('Input and Output'!D$26*(IF('Input and Output'!F$7="Detritus",Calculations!$C$4,I396))-(SUM('Input and Output'!D$27:D$32))*J395))</f>
        <v>52.878824724019069</v>
      </c>
      <c r="F396" s="49" t="e">
        <f>(('Input and Output'!E$23*'Input and Output'!$B$10)+('Input and Output'!E$24*Calculations!$C$5)+('Input and Output'!E$25*Calculations!$C$6)+('Input and Output'!E$26*(IF('Input and Output'!G$7="Detritus",Calculations!$C$4,J396))-(SUM('Input and Output'!E$27:E$32))*K395))</f>
        <v>#N/A</v>
      </c>
      <c r="H396" s="49">
        <f>IF(H$2="",NA(),C396*$B396+H395)</f>
        <v>310247.30608208192</v>
      </c>
      <c r="I396" s="49">
        <f>IF(I$2="",NA(),D396*$B396+I395)</f>
        <v>2852129.2108766101</v>
      </c>
      <c r="J396" s="49">
        <f>IF(J$2="",NA(),E396*$B396+J395)</f>
        <v>1328199.2732933592</v>
      </c>
      <c r="K396" s="49" t="e">
        <f>IF(K$2="",NA(),F396*$B396+K395)</f>
        <v>#N/A</v>
      </c>
    </row>
    <row r="397" spans="1:11" x14ac:dyDescent="0.4">
      <c r="A397" s="49">
        <v>394</v>
      </c>
      <c r="B397" s="49">
        <f>A397/$B$1</f>
        <v>16.416666666666668</v>
      </c>
      <c r="C397" s="49">
        <f>(('Input and Output'!B$23*'Input and Output'!$B$10)+('Input and Output'!B$24*Calculations!$C$5)+('Input and Output'!B$25*Calculations!$C$6)+('Input and Output'!B$26*(IF('Input and Output'!D$7="Detritus",Calculations!$C$4,G397))-(SUM('Input and Output'!B$27:B$32))*H396))</f>
        <v>13.72269008505333</v>
      </c>
      <c r="D397" s="49">
        <f>(('Input and Output'!C$23*'Input and Output'!$B$10)+('Input and Output'!C$24*Calculations!$C$5)+('Input and Output'!C$25*Calculations!$C$6)+('Input and Output'!C$26*(IF('Input and Output'!E$7="Detritus",Calculations!$C$4,H397))-(SUM('Input and Output'!C$27:C$32))*I396))</f>
        <v>117.01750340666331</v>
      </c>
      <c r="E397" s="49">
        <f>(('Input and Output'!D$23*'Input and Output'!$B$10)+('Input and Output'!D$24*Calculations!$C$5)+('Input and Output'!D$25*Calculations!$C$6)+('Input and Output'!D$26*(IF('Input and Output'!F$7="Detritus",Calculations!$C$4,I397))-(SUM('Input and Output'!D$27:D$32))*J396))</f>
        <v>52.038610879291809</v>
      </c>
      <c r="F397" s="49" t="e">
        <f>(('Input and Output'!E$23*'Input and Output'!$B$10)+('Input and Output'!E$24*Calculations!$C$5)+('Input and Output'!E$25*Calculations!$C$6)+('Input and Output'!E$26*(IF('Input and Output'!G$7="Detritus",Calculations!$C$4,J397))-(SUM('Input and Output'!E$27:E$32))*K396))</f>
        <v>#N/A</v>
      </c>
      <c r="H397" s="49">
        <f>IF(H$2="",NA(),C397*$B397+H396)</f>
        <v>310472.58691097819</v>
      </c>
      <c r="I397" s="49">
        <f>IF(I$2="",NA(),D397*$B397+I396)</f>
        <v>2854050.248224203</v>
      </c>
      <c r="J397" s="49">
        <f>IF(J$2="",NA(),E397*$B397+J396)</f>
        <v>1329053.5738219609</v>
      </c>
      <c r="K397" s="49" t="e">
        <f>IF(K$2="",NA(),F397*$B397+K396)</f>
        <v>#N/A</v>
      </c>
    </row>
    <row r="398" spans="1:11" x14ac:dyDescent="0.4">
      <c r="A398" s="49">
        <v>395</v>
      </c>
      <c r="B398" s="49">
        <f>A398/$B$1</f>
        <v>16.458333333333332</v>
      </c>
      <c r="C398" s="49">
        <f>(('Input and Output'!B$23*'Input and Output'!$B$10)+('Input and Output'!B$24*Calculations!$C$5)+('Input and Output'!B$25*Calculations!$C$6)+('Input and Output'!B$26*(IF('Input and Output'!D$7="Detritus",Calculations!$C$4,G398))-(SUM('Input and Output'!B$27:B$32))*H397))</f>
        <v>13.505493660838965</v>
      </c>
      <c r="D398" s="49">
        <f>(('Input and Output'!C$23*'Input and Output'!$B$10)+('Input and Output'!C$24*Calculations!$C$5)+('Input and Output'!C$25*Calculations!$C$6)+('Input and Output'!C$26*(IF('Input and Output'!E$7="Detritus",Calculations!$C$4,H398))-(SUM('Input and Output'!C$27:C$32))*I397))</f>
        <v>115.15896879320826</v>
      </c>
      <c r="E398" s="49">
        <f>(('Input and Output'!D$23*'Input and Output'!$B$10)+('Input and Output'!D$24*Calculations!$C$5)+('Input and Output'!D$25*Calculations!$C$6)+('Input and Output'!D$26*(IF('Input and Output'!F$7="Detritus",Calculations!$C$4,I398))-(SUM('Input and Output'!D$27:D$32))*J397))</f>
        <v>51.209669633102749</v>
      </c>
      <c r="F398" s="49" t="e">
        <f>(('Input and Output'!E$23*'Input and Output'!$B$10)+('Input and Output'!E$24*Calculations!$C$5)+('Input and Output'!E$25*Calculations!$C$6)+('Input and Output'!E$26*(IF('Input and Output'!G$7="Detritus",Calculations!$C$4,J398))-(SUM('Input and Output'!E$27:E$32))*K397))</f>
        <v>#N/A</v>
      </c>
      <c r="H398" s="49">
        <f>IF(H$2="",NA(),C398*$B398+H397)</f>
        <v>310694.86482747953</v>
      </c>
      <c r="I398" s="49">
        <f>IF(I$2="",NA(),D398*$B398+I397)</f>
        <v>2855945.5729189245</v>
      </c>
      <c r="J398" s="49">
        <f>IF(J$2="",NA(),E398*$B398+J397)</f>
        <v>1329896.3996346723</v>
      </c>
      <c r="K398" s="49" t="e">
        <f>IF(K$2="",NA(),F398*$B398+K397)</f>
        <v>#N/A</v>
      </c>
    </row>
    <row r="399" spans="1:11" x14ac:dyDescent="0.4">
      <c r="A399" s="49">
        <v>396</v>
      </c>
      <c r="B399" s="49">
        <f>A399/$B$1</f>
        <v>16.5</v>
      </c>
      <c r="C399" s="49">
        <f>(('Input and Output'!B$23*'Input and Output'!$B$10)+('Input and Output'!B$24*Calculations!$C$5)+('Input and Output'!B$25*Calculations!$C$6)+('Input and Output'!B$26*(IF('Input and Output'!D$7="Detritus",Calculations!$C$4,G399))-(SUM('Input and Output'!B$27:B$32))*H398))</f>
        <v>13.291192386813805</v>
      </c>
      <c r="D399" s="49">
        <f>(('Input and Output'!C$23*'Input and Output'!$B$10)+('Input and Output'!C$24*Calculations!$C$5)+('Input and Output'!C$25*Calculations!$C$6)+('Input and Output'!C$26*(IF('Input and Output'!E$7="Detritus",Calculations!$C$4,H399))-(SUM('Input and Output'!C$27:C$32))*I398))</f>
        <v>113.32534937663058</v>
      </c>
      <c r="E399" s="49">
        <f>(('Input and Output'!D$23*'Input and Output'!$B$10)+('Input and Output'!D$24*Calculations!$C$5)+('Input and Output'!D$25*Calculations!$C$6)+('Input and Output'!D$26*(IF('Input and Output'!F$7="Detritus",Calculations!$C$4,I399))-(SUM('Input and Output'!D$27:D$32))*J398))</f>
        <v>50.391887790367036</v>
      </c>
      <c r="F399" s="49" t="e">
        <f>(('Input and Output'!E$23*'Input and Output'!$B$10)+('Input and Output'!E$24*Calculations!$C$5)+('Input and Output'!E$25*Calculations!$C$6)+('Input and Output'!E$26*(IF('Input and Output'!G$7="Detritus",Calculations!$C$4,J399))-(SUM('Input and Output'!E$27:E$32))*K398))</f>
        <v>#N/A</v>
      </c>
      <c r="H399" s="49">
        <f>IF(H$2="",NA(),C399*$B399+H398)</f>
        <v>310914.16950186196</v>
      </c>
      <c r="I399" s="49">
        <f>IF(I$2="",NA(),D399*$B399+I398)</f>
        <v>2857815.4411836388</v>
      </c>
      <c r="J399" s="49">
        <f>IF(J$2="",NA(),E399*$B399+J398)</f>
        <v>1330727.8657832134</v>
      </c>
      <c r="K399" s="49" t="e">
        <f>IF(K$2="",NA(),F399*$B399+K398)</f>
        <v>#N/A</v>
      </c>
    </row>
    <row r="400" spans="1:11" x14ac:dyDescent="0.4">
      <c r="A400" s="49">
        <v>397</v>
      </c>
      <c r="B400" s="49">
        <f>A400/$B$1</f>
        <v>16.541666666666668</v>
      </c>
      <c r="C400" s="49">
        <f>(('Input and Output'!B$23*'Input and Output'!$B$10)+('Input and Output'!B$24*Calculations!$C$5)+('Input and Output'!B$25*Calculations!$C$6)+('Input and Output'!B$26*(IF('Input and Output'!D$7="Detritus",Calculations!$C$4,G400))-(SUM('Input and Output'!B$27:B$32))*H399))</f>
        <v>13.079757657446294</v>
      </c>
      <c r="D400" s="49">
        <f>(('Input and Output'!C$23*'Input and Output'!$B$10)+('Input and Output'!C$24*Calculations!$C$5)+('Input and Output'!C$25*Calculations!$C$6)+('Input and Output'!C$26*(IF('Input and Output'!E$7="Detritus",Calculations!$C$4,H400))-(SUM('Input and Output'!C$27:C$32))*I399))</f>
        <v>111.51639545917533</v>
      </c>
      <c r="E400" s="49">
        <f>(('Input and Output'!D$23*'Input and Output'!$B$10)+('Input and Output'!D$24*Calculations!$C$5)+('Input and Output'!D$25*Calculations!$C$6)+('Input and Output'!D$26*(IF('Input and Output'!F$7="Detritus",Calculations!$C$4,I400))-(SUM('Input and Output'!D$27:D$32))*J399))</f>
        <v>49.585152638701402</v>
      </c>
      <c r="F400" s="49" t="e">
        <f>(('Input and Output'!E$23*'Input and Output'!$B$10)+('Input and Output'!E$24*Calculations!$C$5)+('Input and Output'!E$25*Calculations!$C$6)+('Input and Output'!E$26*(IF('Input and Output'!G$7="Detritus",Calculations!$C$4,J400))-(SUM('Input and Output'!E$27:E$32))*K399))</f>
        <v>#N/A</v>
      </c>
      <c r="H400" s="49">
        <f>IF(H$2="",NA(),C400*$B400+H399)</f>
        <v>311130.53049311222</v>
      </c>
      <c r="I400" s="49">
        <f>IF(I$2="",NA(),D400*$B400+I399)</f>
        <v>2859660.1082251924</v>
      </c>
      <c r="J400" s="49">
        <f>IF(J$2="",NA(),E400*$B400+J399)</f>
        <v>1331548.0868497787</v>
      </c>
      <c r="K400" s="49" t="e">
        <f>IF(K$2="",NA(),F400*$B400+K399)</f>
        <v>#N/A</v>
      </c>
    </row>
    <row r="401" spans="1:11" x14ac:dyDescent="0.4">
      <c r="A401" s="49">
        <v>398</v>
      </c>
      <c r="B401" s="49">
        <f>A401/$B$1</f>
        <v>16.583333333333332</v>
      </c>
      <c r="C401" s="49">
        <f>(('Input and Output'!B$23*'Input and Output'!$B$10)+('Input and Output'!B$24*Calculations!$C$5)+('Input and Output'!B$25*Calculations!$C$6)+('Input and Output'!B$26*(IF('Input and Output'!D$7="Detritus",Calculations!$C$4,G401))-(SUM('Input and Output'!B$27:B$32))*H400))</f>
        <v>12.871160974500469</v>
      </c>
      <c r="D401" s="49">
        <f>(('Input and Output'!C$23*'Input and Output'!$B$10)+('Input and Output'!C$24*Calculations!$C$5)+('Input and Output'!C$25*Calculations!$C$6)+('Input and Output'!C$26*(IF('Input and Output'!E$7="Detritus",Calculations!$C$4,H401))-(SUM('Input and Output'!C$27:C$32))*I400))</f>
        <v>109.73185839374128</v>
      </c>
      <c r="E401" s="49">
        <f>(('Input and Output'!D$23*'Input and Output'!$B$10)+('Input and Output'!D$24*Calculations!$C$5)+('Input and Output'!D$25*Calculations!$C$6)+('Input and Output'!D$26*(IF('Input and Output'!F$7="Detritus",Calculations!$C$4,I401))-(SUM('Input and Output'!D$27:D$32))*J400))</f>
        <v>48.789351957620966</v>
      </c>
      <c r="F401" s="49" t="e">
        <f>(('Input and Output'!E$23*'Input and Output'!$B$10)+('Input and Output'!E$24*Calculations!$C$5)+('Input and Output'!E$25*Calculations!$C$6)+('Input and Output'!E$26*(IF('Input and Output'!G$7="Detritus",Calculations!$C$4,J401))-(SUM('Input and Output'!E$27:E$32))*K400))</f>
        <v>#N/A</v>
      </c>
      <c r="H401" s="49">
        <f>IF(H$2="",NA(),C401*$B401+H400)</f>
        <v>311343.97724593937</v>
      </c>
      <c r="I401" s="49">
        <f>IF(I$2="",NA(),D401*$B401+I400)</f>
        <v>2861479.8282102221</v>
      </c>
      <c r="J401" s="49">
        <f>IF(J$2="",NA(),E401*$B401+J400)</f>
        <v>1332357.1769364092</v>
      </c>
      <c r="K401" s="49" t="e">
        <f>IF(K$2="",NA(),F401*$B401+K400)</f>
        <v>#N/A</v>
      </c>
    </row>
    <row r="402" spans="1:11" x14ac:dyDescent="0.4">
      <c r="A402" s="49">
        <v>399</v>
      </c>
      <c r="B402" s="49">
        <f>A402/$B$1</f>
        <v>16.625</v>
      </c>
      <c r="C402" s="49">
        <f>(('Input and Output'!B$23*'Input and Output'!$B$10)+('Input and Output'!B$24*Calculations!$C$5)+('Input and Output'!B$25*Calculations!$C$6)+('Input and Output'!B$26*(IF('Input and Output'!D$7="Detritus",Calculations!$C$4,G402))-(SUM('Input and Output'!B$27:B$32))*H401))</f>
        <v>12.665373949917125</v>
      </c>
      <c r="D402" s="49">
        <f>(('Input and Output'!C$23*'Input and Output'!$B$10)+('Input and Output'!C$24*Calculations!$C$5)+('Input and Output'!C$25*Calculations!$C$6)+('Input and Output'!C$26*(IF('Input and Output'!E$7="Detritus",Calculations!$C$4,H402))-(SUM('Input and Output'!C$27:C$32))*I401))</f>
        <v>107.97149060482752</v>
      </c>
      <c r="E402" s="49">
        <f>(('Input and Output'!D$23*'Input and Output'!$B$10)+('Input and Output'!D$24*Calculations!$C$5)+('Input and Output'!D$25*Calculations!$C$6)+('Input and Output'!D$26*(IF('Input and Output'!F$7="Detritus",Calculations!$C$4,I402))-(SUM('Input and Output'!D$27:D$32))*J401))</f>
        <v>48.004374027765152</v>
      </c>
      <c r="F402" s="49" t="e">
        <f>(('Input and Output'!E$23*'Input and Output'!$B$10)+('Input and Output'!E$24*Calculations!$C$5)+('Input and Output'!E$25*Calculations!$C$6)+('Input and Output'!E$26*(IF('Input and Output'!G$7="Detritus",Calculations!$C$4,J402))-(SUM('Input and Output'!E$27:E$32))*K401))</f>
        <v>#N/A</v>
      </c>
      <c r="H402" s="49">
        <f>IF(H$2="",NA(),C402*$B402+H401)</f>
        <v>311554.53908785677</v>
      </c>
      <c r="I402" s="49">
        <f>IF(I$2="",NA(),D402*$B402+I401)</f>
        <v>2863274.8542415272</v>
      </c>
      <c r="J402" s="49">
        <f>IF(J$2="",NA(),E402*$B402+J401)</f>
        <v>1333155.2496546209</v>
      </c>
      <c r="K402" s="49" t="e">
        <f>IF(K$2="",NA(),F402*$B402+K401)</f>
        <v>#N/A</v>
      </c>
    </row>
    <row r="403" spans="1:11" x14ac:dyDescent="0.4">
      <c r="A403" s="49">
        <v>400</v>
      </c>
      <c r="B403" s="49">
        <f>A403/$B$1</f>
        <v>16.666666666666668</v>
      </c>
      <c r="C403" s="49">
        <f>(('Input and Output'!B$23*'Input and Output'!$B$10)+('Input and Output'!B$24*Calculations!$C$5)+('Input and Output'!B$25*Calculations!$C$6)+('Input and Output'!B$26*(IF('Input and Output'!D$7="Detritus",Calculations!$C$4,G403))-(SUM('Input and Output'!B$27:B$32))*H402))</f>
        <v>12.462368308626992</v>
      </c>
      <c r="D403" s="49">
        <f>(('Input and Output'!C$23*'Input and Output'!$B$10)+('Input and Output'!C$24*Calculations!$C$5)+('Input and Output'!C$25*Calculations!$C$6)+('Input and Output'!C$26*(IF('Input and Output'!E$7="Detritus",Calculations!$C$4,H403))-(SUM('Input and Output'!C$27:C$32))*I402))</f>
        <v>106.2350456090353</v>
      </c>
      <c r="E403" s="49">
        <f>(('Input and Output'!D$23*'Input and Output'!$B$10)+('Input and Output'!D$24*Calculations!$C$5)+('Input and Output'!D$25*Calculations!$C$6)+('Input and Output'!D$26*(IF('Input and Output'!F$7="Detritus",Calculations!$C$4,I403))-(SUM('Input and Output'!D$27:D$32))*J402))</f>
        <v>47.230107639657945</v>
      </c>
      <c r="F403" s="49" t="e">
        <f>(('Input and Output'!E$23*'Input and Output'!$B$10)+('Input and Output'!E$24*Calculations!$C$5)+('Input and Output'!E$25*Calculations!$C$6)+('Input and Output'!E$26*(IF('Input and Output'!G$7="Detritus",Calculations!$C$4,J403))-(SUM('Input and Output'!E$27:E$32))*K402))</f>
        <v>#N/A</v>
      </c>
      <c r="H403" s="49">
        <f>IF(H$2="",NA(),C403*$B403+H402)</f>
        <v>311762.24522633391</v>
      </c>
      <c r="I403" s="49">
        <f>IF(I$2="",NA(),D403*$B403+I402)</f>
        <v>2865045.4383350112</v>
      </c>
      <c r="J403" s="49">
        <f>IF(J$2="",NA(),E403*$B403+J402)</f>
        <v>1333942.418115282</v>
      </c>
      <c r="K403" s="49" t="e">
        <f>IF(K$2="",NA(),F403*$B403+K402)</f>
        <v>#N/A</v>
      </c>
    </row>
    <row r="404" spans="1:11" x14ac:dyDescent="0.4">
      <c r="A404" s="49">
        <v>401</v>
      </c>
      <c r="B404" s="49">
        <f>A404/$B$1</f>
        <v>16.708333333333332</v>
      </c>
      <c r="C404" s="49">
        <f>(('Input and Output'!B$23*'Input and Output'!$B$10)+('Input and Output'!B$24*Calculations!$C$5)+('Input and Output'!B$25*Calculations!$C$6)+('Input and Output'!B$26*(IF('Input and Output'!D$7="Detritus",Calculations!$C$4,G404))-(SUM('Input and Output'!B$27:B$32))*H403))</f>
        <v>12.262115891296901</v>
      </c>
      <c r="D404" s="49">
        <f>(('Input and Output'!C$23*'Input and Output'!$B$10)+('Input and Output'!C$24*Calculations!$C$5)+('Input and Output'!C$25*Calculations!$C$6)+('Input and Output'!C$26*(IF('Input and Output'!E$7="Detritus",Calculations!$C$4,H404))-(SUM('Input and Output'!C$27:C$32))*I403))</f>
        <v>104.52227803510232</v>
      </c>
      <c r="E404" s="49">
        <f>(('Input and Output'!D$23*'Input and Output'!$B$10)+('Input and Output'!D$24*Calculations!$C$5)+('Input and Output'!D$25*Calculations!$C$6)+('Input and Output'!D$26*(IF('Input and Output'!F$7="Detritus",Calculations!$C$4,I404))-(SUM('Input and Output'!D$27:D$32))*J403))</f>
        <v>46.46644210249724</v>
      </c>
      <c r="F404" s="49" t="e">
        <f>(('Input and Output'!E$23*'Input and Output'!$B$10)+('Input and Output'!E$24*Calculations!$C$5)+('Input and Output'!E$25*Calculations!$C$6)+('Input and Output'!E$26*(IF('Input and Output'!G$7="Detritus",Calculations!$C$4,J404))-(SUM('Input and Output'!E$27:E$32))*K403))</f>
        <v>#N/A</v>
      </c>
      <c r="H404" s="49">
        <f>IF(H$2="",NA(),C404*$B404+H403)</f>
        <v>311967.12474601768</v>
      </c>
      <c r="I404" s="49">
        <f>IF(I$2="",NA(),D404*$B404+I403)</f>
        <v>2866791.8313971809</v>
      </c>
      <c r="J404" s="49">
        <f>IF(J$2="",NA(),E404*$B404+J403)</f>
        <v>1334718.7949187446</v>
      </c>
      <c r="K404" s="49" t="e">
        <f>IF(K$2="",NA(),F404*$B404+K403)</f>
        <v>#N/A</v>
      </c>
    </row>
    <row r="405" spans="1:11" x14ac:dyDescent="0.4">
      <c r="A405" s="49">
        <v>402</v>
      </c>
      <c r="B405" s="49">
        <f>A405/$B$1</f>
        <v>16.75</v>
      </c>
      <c r="C405" s="49">
        <f>(('Input and Output'!B$23*'Input and Output'!$B$10)+('Input and Output'!B$24*Calculations!$C$5)+('Input and Output'!B$25*Calculations!$C$6)+('Input and Output'!B$26*(IF('Input and Output'!D$7="Detritus",Calculations!$C$4,G405))-(SUM('Input and Output'!B$27:B$32))*H404))</f>
        <v>12.064588657008471</v>
      </c>
      <c r="D405" s="49">
        <f>(('Input and Output'!C$23*'Input and Output'!$B$10)+('Input and Output'!C$24*Calculations!$C$5)+('Input and Output'!C$25*Calculations!$C$6)+('Input and Output'!C$26*(IF('Input and Output'!E$7="Detritus",Calculations!$C$4,H405))-(SUM('Input and Output'!C$27:C$32))*I404))</f>
        <v>102.8329436434733</v>
      </c>
      <c r="E405" s="49">
        <f>(('Input and Output'!D$23*'Input and Output'!$B$10)+('Input and Output'!D$24*Calculations!$C$5)+('Input and Output'!D$25*Calculations!$C$6)+('Input and Output'!D$26*(IF('Input and Output'!F$7="Detritus",Calculations!$C$4,I405))-(SUM('Input and Output'!D$27:D$32))*J404))</f>
        <v>45.713267252696824</v>
      </c>
      <c r="F405" s="49" t="e">
        <f>(('Input and Output'!E$23*'Input and Output'!$B$10)+('Input and Output'!E$24*Calculations!$C$5)+('Input and Output'!E$25*Calculations!$C$6)+('Input and Output'!E$26*(IF('Input and Output'!G$7="Detritus",Calculations!$C$4,J405))-(SUM('Input and Output'!E$27:E$32))*K404))</f>
        <v>#N/A</v>
      </c>
      <c r="H405" s="49">
        <f>IF(H$2="",NA(),C405*$B405+H404)</f>
        <v>312169.20660602255</v>
      </c>
      <c r="I405" s="49">
        <f>IF(I$2="",NA(),D405*$B405+I404)</f>
        <v>2868514.2832032093</v>
      </c>
      <c r="J405" s="49">
        <f>IF(J$2="",NA(),E405*$B405+J404)</f>
        <v>1335484.4921452273</v>
      </c>
      <c r="K405" s="49" t="e">
        <f>IF(K$2="",NA(),F405*$B405+K404)</f>
        <v>#N/A</v>
      </c>
    </row>
    <row r="406" spans="1:11" x14ac:dyDescent="0.4">
      <c r="A406" s="49">
        <v>403</v>
      </c>
      <c r="B406" s="49">
        <f>A406/$B$1</f>
        <v>16.791666666666668</v>
      </c>
      <c r="C406" s="49">
        <f>(('Input and Output'!B$23*'Input and Output'!$B$10)+('Input and Output'!B$24*Calculations!$C$5)+('Input and Output'!B$25*Calculations!$C$6)+('Input and Output'!B$26*(IF('Input and Output'!D$7="Detritus",Calculations!$C$4,G406))-(SUM('Input and Output'!B$27:B$32))*H405))</f>
        <v>11.869758685871147</v>
      </c>
      <c r="D406" s="49">
        <f>(('Input and Output'!C$23*'Input and Output'!$B$10)+('Input and Output'!C$24*Calculations!$C$5)+('Input and Output'!C$25*Calculations!$C$6)+('Input and Output'!C$26*(IF('Input and Output'!E$7="Detritus",Calculations!$C$4,H406))-(SUM('Input and Output'!C$27:C$32))*I405))</f>
        <v>101.16679934540116</v>
      </c>
      <c r="E406" s="49">
        <f>(('Input and Output'!D$23*'Input and Output'!$B$10)+('Input and Output'!D$24*Calculations!$C$5)+('Input and Output'!D$25*Calculations!$C$6)+('Input and Output'!D$26*(IF('Input and Output'!F$7="Detritus",Calculations!$C$4,I406))-(SUM('Input and Output'!D$27:D$32))*J405))</f>
        <v>44.970473461948131</v>
      </c>
      <c r="F406" s="49" t="e">
        <f>(('Input and Output'!E$23*'Input and Output'!$B$10)+('Input and Output'!E$24*Calculations!$C$5)+('Input and Output'!E$25*Calculations!$C$6)+('Input and Output'!E$26*(IF('Input and Output'!G$7="Detritus",Calculations!$C$4,J406))-(SUM('Input and Output'!E$27:E$32))*K405))</f>
        <v>#N/A</v>
      </c>
      <c r="H406" s="49">
        <f>IF(H$2="",NA(),C406*$B406+H405)</f>
        <v>312368.51963728946</v>
      </c>
      <c r="I406" s="49">
        <f>IF(I$2="",NA(),D406*$B406+I405)</f>
        <v>2870213.0423755506</v>
      </c>
      <c r="J406" s="49">
        <f>IF(J$2="",NA(),E406*$B406+J405)</f>
        <v>1336239.6213454425</v>
      </c>
      <c r="K406" s="49" t="e">
        <f>IF(K$2="",NA(),F406*$B406+K405)</f>
        <v>#N/A</v>
      </c>
    </row>
    <row r="407" spans="1:11" x14ac:dyDescent="0.4">
      <c r="A407" s="49">
        <v>404</v>
      </c>
      <c r="B407" s="49">
        <f>A407/$B$1</f>
        <v>16.833333333333332</v>
      </c>
      <c r="C407" s="49">
        <f>(('Input and Output'!B$23*'Input and Output'!$B$10)+('Input and Output'!B$24*Calculations!$C$5)+('Input and Output'!B$25*Calculations!$C$6)+('Input and Output'!B$26*(IF('Input and Output'!D$7="Detritus",Calculations!$C$4,G407))-(SUM('Input and Output'!B$27:B$32))*H406))</f>
        <v>11.677598181568158</v>
      </c>
      <c r="D407" s="49">
        <f>(('Input and Output'!C$23*'Input and Output'!$B$10)+('Input and Output'!C$24*Calculations!$C$5)+('Input and Output'!C$25*Calculations!$C$6)+('Input and Output'!C$26*(IF('Input and Output'!E$7="Detritus",Calculations!$C$4,H407))-(SUM('Input and Output'!C$27:C$32))*I406))</f>
        <v>99.523603221608028</v>
      </c>
      <c r="E407" s="49">
        <f>(('Input and Output'!D$23*'Input and Output'!$B$10)+('Input and Output'!D$24*Calculations!$C$5)+('Input and Output'!D$25*Calculations!$C$6)+('Input and Output'!D$26*(IF('Input and Output'!F$7="Detritus",Calculations!$C$4,I407))-(SUM('Input and Output'!D$27:D$32))*J406))</f>
        <v>44.237951645558496</v>
      </c>
      <c r="F407" s="49" t="e">
        <f>(('Input and Output'!E$23*'Input and Output'!$B$10)+('Input and Output'!E$24*Calculations!$C$5)+('Input and Output'!E$25*Calculations!$C$6)+('Input and Output'!E$26*(IF('Input and Output'!G$7="Detritus",Calculations!$C$4,J407))-(SUM('Input and Output'!E$27:E$32))*K406))</f>
        <v>#N/A</v>
      </c>
      <c r="H407" s="49">
        <f>IF(H$2="",NA(),C407*$B407+H406)</f>
        <v>312565.0925400125</v>
      </c>
      <c r="I407" s="49">
        <f>IF(I$2="",NA(),D407*$B407+I406)</f>
        <v>2871888.3563631144</v>
      </c>
      <c r="J407" s="49">
        <f>IF(J$2="",NA(),E407*$B407+J406)</f>
        <v>1336984.2935314761</v>
      </c>
      <c r="K407" s="49" t="e">
        <f>IF(K$2="",NA(),F407*$B407+K406)</f>
        <v>#N/A</v>
      </c>
    </row>
    <row r="408" spans="1:11" x14ac:dyDescent="0.4">
      <c r="A408" s="49">
        <v>405</v>
      </c>
      <c r="B408" s="49">
        <f>A408/$B$1</f>
        <v>16.875</v>
      </c>
      <c r="C408" s="49">
        <f>(('Input and Output'!B$23*'Input and Output'!$B$10)+('Input and Output'!B$24*Calculations!$C$5)+('Input and Output'!B$25*Calculations!$C$6)+('Input and Output'!B$26*(IF('Input and Output'!D$7="Detritus",Calculations!$C$4,G408))-(SUM('Input and Output'!B$27:B$32))*H407))</f>
        <v>11.488079473837558</v>
      </c>
      <c r="D408" s="49">
        <f>(('Input and Output'!C$23*'Input and Output'!$B$10)+('Input and Output'!C$24*Calculations!$C$5)+('Input and Output'!C$25*Calculations!$C$6)+('Input and Output'!C$26*(IF('Input and Output'!E$7="Detritus",Calculations!$C$4,H408))-(SUM('Input and Output'!C$27:C$32))*I407))</f>
        <v>97.903114540442402</v>
      </c>
      <c r="E408" s="49">
        <f>(('Input and Output'!D$23*'Input and Output'!$B$10)+('Input and Output'!D$24*Calculations!$C$5)+('Input and Output'!D$25*Calculations!$C$6)+('Input and Output'!D$26*(IF('Input and Output'!F$7="Detritus",Calculations!$C$4,I408))-(SUM('Input and Output'!D$27:D$32))*J407))</f>
        <v>43.515593270178215</v>
      </c>
      <c r="F408" s="49" t="e">
        <f>(('Input and Output'!E$23*'Input and Output'!$B$10)+('Input and Output'!E$24*Calculations!$C$5)+('Input and Output'!E$25*Calculations!$C$6)+('Input and Output'!E$26*(IF('Input and Output'!G$7="Detritus",Calculations!$C$4,J408))-(SUM('Input and Output'!E$27:E$32))*K407))</f>
        <v>#N/A</v>
      </c>
      <c r="H408" s="49">
        <f>IF(H$2="",NA(),C408*$B408+H407)</f>
        <v>312758.95388113352</v>
      </c>
      <c r="I408" s="49">
        <f>IF(I$2="",NA(),D408*$B408+I407)</f>
        <v>2873540.4714209842</v>
      </c>
      <c r="J408" s="49">
        <f>IF(J$2="",NA(),E408*$B408+J407)</f>
        <v>1337718.6191679104</v>
      </c>
      <c r="K408" s="49" t="e">
        <f>IF(K$2="",NA(),F408*$B408+K407)</f>
        <v>#N/A</v>
      </c>
    </row>
    <row r="409" spans="1:11" x14ac:dyDescent="0.4">
      <c r="A409" s="49">
        <v>406</v>
      </c>
      <c r="B409" s="49">
        <f>A409/$B$1</f>
        <v>16.916666666666668</v>
      </c>
      <c r="C409" s="49">
        <f>(('Input and Output'!B$23*'Input and Output'!$B$10)+('Input and Output'!B$24*Calculations!$C$5)+('Input and Output'!B$25*Calculations!$C$6)+('Input and Output'!B$26*(IF('Input and Output'!D$7="Detritus",Calculations!$C$4,G409))-(SUM('Input and Output'!B$27:B$32))*H408))</f>
        <v>11.301175020887968</v>
      </c>
      <c r="D409" s="49">
        <f>(('Input and Output'!C$23*'Input and Output'!$B$10)+('Input and Output'!C$24*Calculations!$C$5)+('Input and Output'!C$25*Calculations!$C$6)+('Input and Output'!C$26*(IF('Input and Output'!E$7="Detritus",Calculations!$C$4,H409))-(SUM('Input and Output'!C$27:C$32))*I408))</f>
        <v>96.3050937756243</v>
      </c>
      <c r="E409" s="49">
        <f>(('Input and Output'!D$23*'Input and Output'!$B$10)+('Input and Output'!D$24*Calculations!$C$5)+('Input and Output'!D$25*Calculations!$C$6)+('Input and Output'!D$26*(IF('Input and Output'!F$7="Detritus",Calculations!$C$4,I409))-(SUM('Input and Output'!D$27:D$32))*J408))</f>
        <v>42.8032903614112</v>
      </c>
      <c r="F409" s="49" t="e">
        <f>(('Input and Output'!E$23*'Input and Output'!$B$10)+('Input and Output'!E$24*Calculations!$C$5)+('Input and Output'!E$25*Calculations!$C$6)+('Input and Output'!E$26*(IF('Input and Output'!G$7="Detritus",Calculations!$C$4,J409))-(SUM('Input and Output'!E$27:E$32))*K408))</f>
        <v>#N/A</v>
      </c>
      <c r="H409" s="49">
        <f>IF(H$2="",NA(),C409*$B409+H408)</f>
        <v>312950.13209190354</v>
      </c>
      <c r="I409" s="49">
        <f>IF(I$2="",NA(),D409*$B409+I408)</f>
        <v>2875169.6325906888</v>
      </c>
      <c r="J409" s="49">
        <f>IF(J$2="",NA(),E409*$B409+J408)</f>
        <v>1338442.7081631909</v>
      </c>
      <c r="K409" s="49" t="e">
        <f>IF(K$2="",NA(),F409*$B409+K408)</f>
        <v>#N/A</v>
      </c>
    </row>
    <row r="410" spans="1:11" x14ac:dyDescent="0.4">
      <c r="A410" s="49">
        <v>407</v>
      </c>
      <c r="B410" s="49">
        <f>A410/$B$1</f>
        <v>16.958333333333332</v>
      </c>
      <c r="C410" s="49">
        <f>(('Input and Output'!B$23*'Input and Output'!$B$10)+('Input and Output'!B$24*Calculations!$C$5)+('Input and Output'!B$25*Calculations!$C$6)+('Input and Output'!B$26*(IF('Input and Output'!D$7="Detritus",Calculations!$C$4,G410))-(SUM('Input and Output'!B$27:B$32))*H409))</f>
        <v>11.116857411749208</v>
      </c>
      <c r="D410" s="49">
        <f>(('Input and Output'!C$23*'Input and Output'!$B$10)+('Input and Output'!C$24*Calculations!$C$5)+('Input and Output'!C$25*Calculations!$C$6)+('Input and Output'!C$26*(IF('Input and Output'!E$7="Detritus",Calculations!$C$4,H410))-(SUM('Input and Output'!C$27:C$32))*I409))</f>
        <v>94.729302623488365</v>
      </c>
      <c r="E410" s="49">
        <f>(('Input and Output'!D$23*'Input and Output'!$B$10)+('Input and Output'!D$24*Calculations!$C$5)+('Input and Output'!D$25*Calculations!$C$6)+('Input and Output'!D$26*(IF('Input and Output'!F$7="Detritus",Calculations!$C$4,I410))-(SUM('Input and Output'!D$27:D$32))*J409))</f>
        <v>42.100935511469288</v>
      </c>
      <c r="F410" s="49" t="e">
        <f>(('Input and Output'!E$23*'Input and Output'!$B$10)+('Input and Output'!E$24*Calculations!$C$5)+('Input and Output'!E$25*Calculations!$C$6)+('Input and Output'!E$26*(IF('Input and Output'!G$7="Detritus",Calculations!$C$4,J410))-(SUM('Input and Output'!E$27:E$32))*K409))</f>
        <v>#N/A</v>
      </c>
      <c r="H410" s="49">
        <f>IF(H$2="",NA(),C410*$B410+H409)</f>
        <v>313138.65546551114</v>
      </c>
      <c r="I410" s="49">
        <f>IF(I$2="",NA(),D410*$B410+I409)</f>
        <v>2876776.083681012</v>
      </c>
      <c r="J410" s="49">
        <f>IF(J$2="",NA(),E410*$B410+J409)</f>
        <v>1339156.6698612396</v>
      </c>
      <c r="K410" s="49" t="e">
        <f>IF(K$2="",NA(),F410*$B410+K409)</f>
        <v>#N/A</v>
      </c>
    </row>
    <row r="411" spans="1:11" x14ac:dyDescent="0.4">
      <c r="A411" s="49">
        <v>408</v>
      </c>
      <c r="B411" s="49">
        <f>A411/$B$1</f>
        <v>17</v>
      </c>
      <c r="C411" s="49">
        <f>(('Input and Output'!B$23*'Input and Output'!$B$10)+('Input and Output'!B$24*Calculations!$C$5)+('Input and Output'!B$25*Calculations!$C$6)+('Input and Output'!B$26*(IF('Input and Output'!D$7="Detritus",Calculations!$C$4,G411))-(SUM('Input and Output'!B$27:B$32))*H410))</f>
        <v>10.935099368559179</v>
      </c>
      <c r="D411" s="49">
        <f>(('Input and Output'!C$23*'Input and Output'!$B$10)+('Input and Output'!C$24*Calculations!$C$5)+('Input and Output'!C$25*Calculations!$C$6)+('Input and Output'!C$26*(IF('Input and Output'!E$7="Detritus",Calculations!$C$4,H411))-(SUM('Input and Output'!C$27:C$32))*I410))</f>
        <v>93.175504019791333</v>
      </c>
      <c r="E411" s="49">
        <f>(('Input and Output'!D$23*'Input and Output'!$B$10)+('Input and Output'!D$24*Calculations!$C$5)+('Input and Output'!D$25*Calculations!$C$6)+('Input and Output'!D$26*(IF('Input and Output'!F$7="Detritus",Calculations!$C$4,I411))-(SUM('Input and Output'!D$27:D$32))*J410))</f>
        <v>41.408421886229917</v>
      </c>
      <c r="F411" s="49" t="e">
        <f>(('Input and Output'!E$23*'Input and Output'!$B$10)+('Input and Output'!E$24*Calculations!$C$5)+('Input and Output'!E$25*Calculations!$C$6)+('Input and Output'!E$26*(IF('Input and Output'!G$7="Detritus",Calculations!$C$4,J411))-(SUM('Input and Output'!E$27:E$32))*K410))</f>
        <v>#N/A</v>
      </c>
      <c r="H411" s="49">
        <f>IF(H$2="",NA(),C411*$B411+H410)</f>
        <v>313324.55215477664</v>
      </c>
      <c r="I411" s="49">
        <f>IF(I$2="",NA(),D411*$B411+I410)</f>
        <v>2878360.0672493484</v>
      </c>
      <c r="J411" s="49">
        <f>IF(J$2="",NA(),E411*$B411+J410)</f>
        <v>1339860.6130333056</v>
      </c>
      <c r="K411" s="49" t="e">
        <f>IF(K$2="",NA(),F411*$B411+K410)</f>
        <v>#N/A</v>
      </c>
    </row>
    <row r="412" spans="1:11" x14ac:dyDescent="0.4">
      <c r="A412" s="49">
        <v>409</v>
      </c>
      <c r="B412" s="49">
        <f>A412/$B$1</f>
        <v>17.041666666666668</v>
      </c>
      <c r="C412" s="49">
        <f>(('Input and Output'!B$23*'Input and Output'!$B$10)+('Input and Output'!B$24*Calculations!$C$5)+('Input and Output'!B$25*Calculations!$C$6)+('Input and Output'!B$26*(IF('Input and Output'!D$7="Detritus",Calculations!$C$4,G412))-(SUM('Input and Output'!B$27:B$32))*H411))</f>
        <v>10.755873748786826</v>
      </c>
      <c r="D412" s="49">
        <f>(('Input and Output'!C$23*'Input and Output'!$B$10)+('Input and Output'!C$24*Calculations!$C$5)+('Input and Output'!C$25*Calculations!$C$6)+('Input and Output'!C$26*(IF('Input and Output'!E$7="Detritus",Calculations!$C$4,H412))-(SUM('Input and Output'!C$27:C$32))*I411))</f>
        <v>91.643462156056557</v>
      </c>
      <c r="E412" s="49">
        <f>(('Input and Output'!D$23*'Input and Output'!$B$10)+('Input and Output'!D$24*Calculations!$C$5)+('Input and Output'!D$25*Calculations!$C$6)+('Input and Output'!D$26*(IF('Input and Output'!F$7="Detritus",Calculations!$C$4,I412))-(SUM('Input and Output'!D$27:D$32))*J411))</f>
        <v>40.725643232395669</v>
      </c>
      <c r="F412" s="49" t="e">
        <f>(('Input and Output'!E$23*'Input and Output'!$B$10)+('Input and Output'!E$24*Calculations!$C$5)+('Input and Output'!E$25*Calculations!$C$6)+('Input and Output'!E$26*(IF('Input and Output'!G$7="Detritus",Calculations!$C$4,J412))-(SUM('Input and Output'!E$27:E$32))*K411))</f>
        <v>#N/A</v>
      </c>
      <c r="H412" s="49">
        <f>IF(H$2="",NA(),C412*$B412+H411)</f>
        <v>313507.85016991221</v>
      </c>
      <c r="I412" s="49">
        <f>IF(I$2="",NA(),D412*$B412+I411)</f>
        <v>2879921.824583591</v>
      </c>
      <c r="J412" s="49">
        <f>IF(J$2="",NA(),E412*$B412+J411)</f>
        <v>1340554.6458700576</v>
      </c>
      <c r="K412" s="49" t="e">
        <f>IF(K$2="",NA(),F412*$B412+K411)</f>
        <v>#N/A</v>
      </c>
    </row>
    <row r="413" spans="1:11" x14ac:dyDescent="0.4">
      <c r="A413" s="49">
        <v>410</v>
      </c>
      <c r="B413" s="49">
        <f>A413/$B$1</f>
        <v>17.083333333333332</v>
      </c>
      <c r="C413" s="49">
        <f>(('Input and Output'!B$23*'Input and Output'!$B$10)+('Input and Output'!B$24*Calculations!$C$5)+('Input and Output'!B$25*Calculations!$C$6)+('Input and Output'!B$26*(IF('Input and Output'!D$7="Detritus",Calculations!$C$4,G413))-(SUM('Input and Output'!B$27:B$32))*H412))</f>
        <v>10.57915354739157</v>
      </c>
      <c r="D413" s="49">
        <f>(('Input and Output'!C$23*'Input and Output'!$B$10)+('Input and Output'!C$24*Calculations!$C$5)+('Input and Output'!C$25*Calculations!$C$6)+('Input and Output'!C$26*(IF('Input and Output'!E$7="Detritus",Calculations!$C$4,H413))-(SUM('Input and Output'!C$27:C$32))*I412))</f>
        <v>90.132942495441057</v>
      </c>
      <c r="E413" s="49">
        <f>(('Input and Output'!D$23*'Input and Output'!$B$10)+('Input and Output'!D$24*Calculations!$C$5)+('Input and Output'!D$25*Calculations!$C$6)+('Input and Output'!D$26*(IF('Input and Output'!F$7="Detritus",Calculations!$C$4,I413))-(SUM('Input and Output'!D$27:D$32))*J412))</f>
        <v>40.052493884333671</v>
      </c>
      <c r="F413" s="49" t="e">
        <f>(('Input and Output'!E$23*'Input and Output'!$B$10)+('Input and Output'!E$24*Calculations!$C$5)+('Input and Output'!E$25*Calculations!$C$6)+('Input and Output'!E$26*(IF('Input and Output'!G$7="Detritus",Calculations!$C$4,J413))-(SUM('Input and Output'!E$27:E$32))*K412))</f>
        <v>#N/A</v>
      </c>
      <c r="H413" s="49">
        <f>IF(H$2="",NA(),C413*$B413+H412)</f>
        <v>313688.5773763468</v>
      </c>
      <c r="I413" s="49">
        <f>IF(I$2="",NA(),D413*$B413+I412)</f>
        <v>2881461.5956845549</v>
      </c>
      <c r="J413" s="49">
        <f>IF(J$2="",NA(),E413*$B413+J412)</f>
        <v>1341238.875973915</v>
      </c>
      <c r="K413" s="49" t="e">
        <f>IF(K$2="",NA(),F413*$B413+K412)</f>
        <v>#N/A</v>
      </c>
    </row>
    <row r="414" spans="1:11" x14ac:dyDescent="0.4">
      <c r="A414" s="49">
        <v>411</v>
      </c>
      <c r="B414" s="49">
        <f>A414/$B$1</f>
        <v>17.125</v>
      </c>
      <c r="C414" s="49">
        <f>(('Input and Output'!B$23*'Input and Output'!$B$10)+('Input and Output'!B$24*Calculations!$C$5)+('Input and Output'!B$25*Calculations!$C$6)+('Input and Output'!B$26*(IF('Input and Output'!D$7="Detritus",Calculations!$C$4,G414))-(SUM('Input and Output'!B$27:B$32))*H413))</f>
        <v>10.404911898920318</v>
      </c>
      <c r="D414" s="49">
        <f>(('Input and Output'!C$23*'Input and Output'!$B$10)+('Input and Output'!C$24*Calculations!$C$5)+('Input and Output'!C$25*Calculations!$C$6)+('Input and Output'!C$26*(IF('Input and Output'!E$7="Detritus",Calculations!$C$4,H414))-(SUM('Input and Output'!C$27:C$32))*I413))</f>
        <v>88.643711788179644</v>
      </c>
      <c r="E414" s="49">
        <f>(('Input and Output'!D$23*'Input and Output'!$B$10)+('Input and Output'!D$24*Calculations!$C$5)+('Input and Output'!D$25*Calculations!$C$6)+('Input and Output'!D$26*(IF('Input and Output'!F$7="Detritus",Calculations!$C$4,I414))-(SUM('Input and Output'!D$27:D$32))*J413))</f>
        <v>39.388868770682166</v>
      </c>
      <c r="F414" s="49" t="e">
        <f>(('Input and Output'!E$23*'Input and Output'!$B$10)+('Input and Output'!E$24*Calculations!$C$5)+('Input and Output'!E$25*Calculations!$C$6)+('Input and Output'!E$26*(IF('Input and Output'!G$7="Detritus",Calculations!$C$4,J414))-(SUM('Input and Output'!E$27:E$32))*K413))</f>
        <v>#N/A</v>
      </c>
      <c r="H414" s="49">
        <f>IF(H$2="",NA(),C414*$B414+H413)</f>
        <v>313866.7614926158</v>
      </c>
      <c r="I414" s="49">
        <f>IF(I$2="",NA(),D414*$B414+I413)</f>
        <v>2882979.6192489276</v>
      </c>
      <c r="J414" s="49">
        <f>IF(J$2="",NA(),E414*$B414+J413)</f>
        <v>1341913.4103516128</v>
      </c>
      <c r="K414" s="49" t="e">
        <f>IF(K$2="",NA(),F414*$B414+K413)</f>
        <v>#N/A</v>
      </c>
    </row>
    <row r="415" spans="1:11" x14ac:dyDescent="0.4">
      <c r="A415" s="49">
        <v>412</v>
      </c>
      <c r="B415" s="49">
        <f>A415/$B$1</f>
        <v>17.166666666666668</v>
      </c>
      <c r="C415" s="49">
        <f>(('Input and Output'!B$23*'Input and Output'!$B$10)+('Input and Output'!B$24*Calculations!$C$5)+('Input and Output'!B$25*Calculations!$C$6)+('Input and Output'!B$26*(IF('Input and Output'!D$7="Detritus",Calculations!$C$4,G415))-(SUM('Input and Output'!B$27:B$32))*H414))</f>
        <v>10.233122079542284</v>
      </c>
      <c r="D415" s="49">
        <f>(('Input and Output'!C$23*'Input and Output'!$B$10)+('Input and Output'!C$24*Calculations!$C$5)+('Input and Output'!C$25*Calculations!$C$6)+('Input and Output'!C$26*(IF('Input and Output'!E$7="Detritus",Calculations!$C$4,H415))-(SUM('Input and Output'!C$27:C$32))*I414))</f>
        <v>87.175538086556116</v>
      </c>
      <c r="E415" s="49">
        <f>(('Input and Output'!D$23*'Input and Output'!$B$10)+('Input and Output'!D$24*Calculations!$C$5)+('Input and Output'!D$25*Calculations!$C$6)+('Input and Output'!D$26*(IF('Input and Output'!F$7="Detritus",Calculations!$C$4,I415))-(SUM('Input and Output'!D$27:D$32))*J414))</f>
        <v>38.734663420797006</v>
      </c>
      <c r="F415" s="49" t="e">
        <f>(('Input and Output'!E$23*'Input and Output'!$B$10)+('Input and Output'!E$24*Calculations!$C$5)+('Input and Output'!E$25*Calculations!$C$6)+('Input and Output'!E$26*(IF('Input and Output'!G$7="Detritus",Calculations!$C$4,J415))-(SUM('Input and Output'!E$27:E$32))*K414))</f>
        <v>#N/A</v>
      </c>
      <c r="H415" s="49">
        <f>IF(H$2="",NA(),C415*$B415+H414)</f>
        <v>314042.43008831464</v>
      </c>
      <c r="I415" s="49">
        <f>IF(I$2="",NA(),D415*$B415+I414)</f>
        <v>2884476.132652747</v>
      </c>
      <c r="J415" s="49">
        <f>IF(J$2="",NA(),E415*$B415+J414)</f>
        <v>1342578.3554070031</v>
      </c>
      <c r="K415" s="49" t="e">
        <f>IF(K$2="",NA(),F415*$B415+K414)</f>
        <v>#N/A</v>
      </c>
    </row>
    <row r="416" spans="1:11" x14ac:dyDescent="0.4">
      <c r="A416" s="49">
        <v>413</v>
      </c>
      <c r="B416" s="49">
        <f>A416/$B$1</f>
        <v>17.208333333333332</v>
      </c>
      <c r="C416" s="49">
        <f>(('Input and Output'!B$23*'Input and Output'!$B$10)+('Input and Output'!B$24*Calculations!$C$5)+('Input and Output'!B$25*Calculations!$C$6)+('Input and Output'!B$26*(IF('Input and Output'!D$7="Detritus",Calculations!$C$4,G416))-(SUM('Input and Output'!B$27:B$32))*H415))</f>
        <v>10.063757509021627</v>
      </c>
      <c r="D416" s="49">
        <f>(('Input and Output'!C$23*'Input and Output'!$B$10)+('Input and Output'!C$24*Calculations!$C$5)+('Input and Output'!C$25*Calculations!$C$6)+('Input and Output'!C$26*(IF('Input and Output'!E$7="Detritus",Calculations!$C$4,H416))-(SUM('Input and Output'!C$27:C$32))*I415))</f>
        <v>85.728190759404242</v>
      </c>
      <c r="E416" s="49">
        <f>(('Input and Output'!D$23*'Input and Output'!$B$10)+('Input and Output'!D$24*Calculations!$C$5)+('Input and Output'!D$25*Calculations!$C$6)+('Input and Output'!D$26*(IF('Input and Output'!F$7="Detritus",Calculations!$C$4,I416))-(SUM('Input and Output'!D$27:D$32))*J415))</f>
        <v>38.089773970994429</v>
      </c>
      <c r="F416" s="49" t="e">
        <f>(('Input and Output'!E$23*'Input and Output'!$B$10)+('Input and Output'!E$24*Calculations!$C$5)+('Input and Output'!E$25*Calculations!$C$6)+('Input and Output'!E$26*(IF('Input and Output'!G$7="Detritus",Calculations!$C$4,J416))-(SUM('Input and Output'!E$27:E$32))*K415))</f>
        <v>#N/A</v>
      </c>
      <c r="H416" s="49">
        <f>IF(H$2="",NA(),C416*$B416+H415)</f>
        <v>314215.61058211571</v>
      </c>
      <c r="I416" s="49">
        <f>IF(I$2="",NA(),D416*$B416+I415)</f>
        <v>2885951.3719353983</v>
      </c>
      <c r="J416" s="49">
        <f>IF(J$2="",NA(),E416*$B416+J415)</f>
        <v>1343233.8169340873</v>
      </c>
      <c r="K416" s="49" t="e">
        <f>IF(K$2="",NA(),F416*$B416+K415)</f>
        <v>#N/A</v>
      </c>
    </row>
    <row r="417" spans="1:11" x14ac:dyDescent="0.4">
      <c r="A417" s="49">
        <v>414</v>
      </c>
      <c r="B417" s="49">
        <f>A417/$B$1</f>
        <v>17.25</v>
      </c>
      <c r="C417" s="49">
        <f>(('Input and Output'!B$23*'Input and Output'!$B$10)+('Input and Output'!B$24*Calculations!$C$5)+('Input and Output'!B$25*Calculations!$C$6)+('Input and Output'!B$26*(IF('Input and Output'!D$7="Detritus",Calculations!$C$4,G417))-(SUM('Input and Output'!B$27:B$32))*H416))</f>
        <v>9.8967917526296674</v>
      </c>
      <c r="D417" s="49">
        <f>(('Input and Output'!C$23*'Input and Output'!$B$10)+('Input and Output'!C$24*Calculations!$C$5)+('Input and Output'!C$25*Calculations!$C$6)+('Input and Output'!C$26*(IF('Input and Output'!E$7="Detritus",Calculations!$C$4,H417))-(SUM('Input and Output'!C$27:C$32))*I416))</f>
        <v>84.301440506208564</v>
      </c>
      <c r="E417" s="49">
        <f>(('Input and Output'!D$23*'Input and Output'!$B$10)+('Input and Output'!D$24*Calculations!$C$5)+('Input and Output'!D$25*Calculations!$C$6)+('Input and Output'!D$26*(IF('Input and Output'!F$7="Detritus",Calculations!$C$4,I417))-(SUM('Input and Output'!D$27:D$32))*J416))</f>
        <v>37.45409717072107</v>
      </c>
      <c r="F417" s="49" t="e">
        <f>(('Input and Output'!E$23*'Input and Output'!$B$10)+('Input and Output'!E$24*Calculations!$C$5)+('Input and Output'!E$25*Calculations!$C$6)+('Input and Output'!E$26*(IF('Input and Output'!G$7="Detritus",Calculations!$C$4,J417))-(SUM('Input and Output'!E$27:E$32))*K416))</f>
        <v>#N/A</v>
      </c>
      <c r="H417" s="49">
        <f>IF(H$2="",NA(),C417*$B417+H416)</f>
        <v>314386.33023984858</v>
      </c>
      <c r="I417" s="49">
        <f>IF(I$2="",NA(),D417*$B417+I416)</f>
        <v>2887405.5717841303</v>
      </c>
      <c r="J417" s="49">
        <f>IF(J$2="",NA(),E417*$B417+J416)</f>
        <v>1343879.9001102822</v>
      </c>
      <c r="K417" s="49" t="e">
        <f>IF(K$2="",NA(),F417*$B417+K416)</f>
        <v>#N/A</v>
      </c>
    </row>
    <row r="418" spans="1:11" x14ac:dyDescent="0.4">
      <c r="A418" s="49">
        <v>415</v>
      </c>
      <c r="B418" s="49">
        <f>A418/$B$1</f>
        <v>17.291666666666668</v>
      </c>
      <c r="C418" s="49">
        <f>(('Input and Output'!B$23*'Input and Output'!$B$10)+('Input and Output'!B$24*Calculations!$C$5)+('Input and Output'!B$25*Calculations!$C$6)+('Input and Output'!B$26*(IF('Input and Output'!D$7="Detritus",Calculations!$C$4,G418))-(SUM('Input and Output'!B$27:B$32))*H417))</f>
        <v>9.7321985229955317</v>
      </c>
      <c r="D418" s="49">
        <f>(('Input and Output'!C$23*'Input and Output'!$B$10)+('Input and Output'!C$24*Calculations!$C$5)+('Input and Output'!C$25*Calculations!$C$6)+('Input and Output'!C$26*(IF('Input and Output'!E$7="Detritus",Calculations!$C$4,H418))-(SUM('Input and Output'!C$27:C$32))*I417))</f>
        <v>82.895059370689523</v>
      </c>
      <c r="E418" s="49">
        <f>(('Input and Output'!D$23*'Input and Output'!$B$10)+('Input and Output'!D$24*Calculations!$C$5)+('Input and Output'!D$25*Calculations!$C$6)+('Input and Output'!D$26*(IF('Input and Output'!F$7="Detritus",Calculations!$C$4,I418))-(SUM('Input and Output'!D$27:D$32))*J417))</f>
        <v>36.827530388156447</v>
      </c>
      <c r="F418" s="49" t="e">
        <f>(('Input and Output'!E$23*'Input and Output'!$B$10)+('Input and Output'!E$24*Calculations!$C$5)+('Input and Output'!E$25*Calculations!$C$6)+('Input and Output'!E$26*(IF('Input and Output'!G$7="Detritus",Calculations!$C$4,J418))-(SUM('Input and Output'!E$27:E$32))*K417))</f>
        <v>#N/A</v>
      </c>
      <c r="H418" s="49">
        <f>IF(H$2="",NA(),C418*$B418+H417)</f>
        <v>314554.61617264204</v>
      </c>
      <c r="I418" s="49">
        <f>IF(I$2="",NA(),D418*$B418+I417)</f>
        <v>2888838.9655190818</v>
      </c>
      <c r="J418" s="49">
        <f>IF(J$2="",NA(),E418*$B418+J417)</f>
        <v>1344516.7094899109</v>
      </c>
      <c r="K418" s="49" t="e">
        <f>IF(K$2="",NA(),F418*$B418+K417)</f>
        <v>#N/A</v>
      </c>
    </row>
    <row r="419" spans="1:11" x14ac:dyDescent="0.4">
      <c r="A419" s="49">
        <v>416</v>
      </c>
      <c r="B419" s="49">
        <f>A419/$B$1</f>
        <v>17.333333333333332</v>
      </c>
      <c r="C419" s="49">
        <f>(('Input and Output'!B$23*'Input and Output'!$B$10)+('Input and Output'!B$24*Calculations!$C$5)+('Input and Output'!B$25*Calculations!$C$6)+('Input and Output'!B$26*(IF('Input and Output'!D$7="Detritus",Calculations!$C$4,G419))-(SUM('Input and Output'!B$27:B$32))*H418))</f>
        <v>9.5699516818976917</v>
      </c>
      <c r="D419" s="49">
        <f>(('Input and Output'!C$23*'Input and Output'!$B$10)+('Input and Output'!C$24*Calculations!$C$5)+('Input and Output'!C$25*Calculations!$C$6)+('Input and Output'!C$26*(IF('Input and Output'!E$7="Detritus",Calculations!$C$4,H419))-(SUM('Input and Output'!C$27:C$32))*I418))</f>
        <v>81.508820754012049</v>
      </c>
      <c r="E419" s="49">
        <f>(('Input and Output'!D$23*'Input and Output'!$B$10)+('Input and Output'!D$24*Calculations!$C$5)+('Input and Output'!D$25*Calculations!$C$6)+('Input and Output'!D$26*(IF('Input and Output'!F$7="Detritus",Calculations!$C$4,I419))-(SUM('Input and Output'!D$27:D$32))*J418))</f>
        <v>36.209971616019175</v>
      </c>
      <c r="F419" s="49" t="e">
        <f>(('Input and Output'!E$23*'Input and Output'!$B$10)+('Input and Output'!E$24*Calculations!$C$5)+('Input and Output'!E$25*Calculations!$C$6)+('Input and Output'!E$26*(IF('Input and Output'!G$7="Detritus",Calculations!$C$4,J419))-(SUM('Input and Output'!E$27:E$32))*K418))</f>
        <v>#N/A</v>
      </c>
      <c r="H419" s="49">
        <f>IF(H$2="",NA(),C419*$B419+H418)</f>
        <v>314720.49533512827</v>
      </c>
      <c r="I419" s="49">
        <f>IF(I$2="",NA(),D419*$B419+I418)</f>
        <v>2890251.785078818</v>
      </c>
      <c r="J419" s="49">
        <f>IF(J$2="",NA(),E419*$B419+J418)</f>
        <v>1345144.3489979219</v>
      </c>
      <c r="K419" s="49" t="e">
        <f>IF(K$2="",NA(),F419*$B419+K418)</f>
        <v>#N/A</v>
      </c>
    </row>
    <row r="420" spans="1:11" x14ac:dyDescent="0.4">
      <c r="A420" s="49">
        <v>417</v>
      </c>
      <c r="B420" s="49">
        <f>A420/$B$1</f>
        <v>17.375</v>
      </c>
      <c r="C420" s="49">
        <f>(('Input and Output'!B$23*'Input and Output'!$B$10)+('Input and Output'!B$24*Calculations!$C$5)+('Input and Output'!B$25*Calculations!$C$6)+('Input and Output'!B$26*(IF('Input and Output'!D$7="Detritus",Calculations!$C$4,G420))-(SUM('Input and Output'!B$27:B$32))*H419))</f>
        <v>9.4100252419950721</v>
      </c>
      <c r="D420" s="49">
        <f>(('Input and Output'!C$23*'Input and Output'!$B$10)+('Input and Output'!C$24*Calculations!$C$5)+('Input and Output'!C$25*Calculations!$C$6)+('Input and Output'!C$26*(IF('Input and Output'!E$7="Detritus",Calculations!$C$4,H420))-(SUM('Input and Output'!C$27:C$32))*I419))</f>
        <v>80.142499427489383</v>
      </c>
      <c r="E420" s="49">
        <f>(('Input and Output'!D$23*'Input and Output'!$B$10)+('Input and Output'!D$24*Calculations!$C$5)+('Input and Output'!D$25*Calculations!$C$6)+('Input and Output'!D$26*(IF('Input and Output'!F$7="Detritus",Calculations!$C$4,I420))-(SUM('Input and Output'!D$27:D$32))*J419))</f>
        <v>35.601319477023935</v>
      </c>
      <c r="F420" s="49" t="e">
        <f>(('Input and Output'!E$23*'Input and Output'!$B$10)+('Input and Output'!E$24*Calculations!$C$5)+('Input and Output'!E$25*Calculations!$C$6)+('Input and Output'!E$26*(IF('Input and Output'!G$7="Detritus",Calculations!$C$4,J420))-(SUM('Input and Output'!E$27:E$32))*K419))</f>
        <v>#N/A</v>
      </c>
      <c r="H420" s="49">
        <f>IF(H$2="",NA(),C420*$B420+H419)</f>
        <v>314883.99452370795</v>
      </c>
      <c r="I420" s="49">
        <f>IF(I$2="",NA(),D420*$B420+I419)</f>
        <v>2891644.2610063707</v>
      </c>
      <c r="J420" s="49">
        <f>IF(J$2="",NA(),E420*$B420+J419)</f>
        <v>1345762.9219238353</v>
      </c>
      <c r="K420" s="49" t="e">
        <f>IF(K$2="",NA(),F420*$B420+K419)</f>
        <v>#N/A</v>
      </c>
    </row>
    <row r="421" spans="1:11" x14ac:dyDescent="0.4">
      <c r="A421" s="49">
        <v>418</v>
      </c>
      <c r="B421" s="49">
        <f>A421/$B$1</f>
        <v>17.416666666666668</v>
      </c>
      <c r="C421" s="49">
        <f>(('Input and Output'!B$23*'Input and Output'!$B$10)+('Input and Output'!B$24*Calculations!$C$5)+('Input and Output'!B$25*Calculations!$C$6)+('Input and Output'!B$26*(IF('Input and Output'!D$7="Detritus",Calculations!$C$4,G421))-(SUM('Input and Output'!B$27:B$32))*H420))</f>
        <v>9.2523933684998951</v>
      </c>
      <c r="D421" s="49">
        <f>(('Input and Output'!C$23*'Input and Output'!$B$10)+('Input and Output'!C$24*Calculations!$C$5)+('Input and Output'!C$25*Calculations!$C$6)+('Input and Output'!C$26*(IF('Input and Output'!E$7="Detritus",Calculations!$C$4,H421))-(SUM('Input and Output'!C$27:C$32))*I420))</f>
        <v>78.79587154489036</v>
      </c>
      <c r="E421" s="49">
        <f>(('Input and Output'!D$23*'Input and Output'!$B$10)+('Input and Output'!D$24*Calculations!$C$5)+('Input and Output'!D$25*Calculations!$C$6)+('Input and Output'!D$26*(IF('Input and Output'!F$7="Detritus",Calculations!$C$4,I421))-(SUM('Input and Output'!D$27:D$32))*J420))</f>
        <v>35.001473229047406</v>
      </c>
      <c r="F421" s="49" t="e">
        <f>(('Input and Output'!E$23*'Input and Output'!$B$10)+('Input and Output'!E$24*Calculations!$C$5)+('Input and Output'!E$25*Calculations!$C$6)+('Input and Output'!E$26*(IF('Input and Output'!G$7="Detritus",Calculations!$C$4,J421))-(SUM('Input and Output'!E$27:E$32))*K420))</f>
        <v>#N/A</v>
      </c>
      <c r="H421" s="49">
        <f>IF(H$2="",NA(),C421*$B421+H420)</f>
        <v>315045.14037487598</v>
      </c>
      <c r="I421" s="49">
        <f>IF(I$2="",NA(),D421*$B421+I420)</f>
        <v>2893016.6224357774</v>
      </c>
      <c r="J421" s="49">
        <f>IF(J$2="",NA(),E421*$B421+J420)</f>
        <v>1346372.5309159078</v>
      </c>
      <c r="K421" s="49" t="e">
        <f>IF(K$2="",NA(),F421*$B421+K420)</f>
        <v>#N/A</v>
      </c>
    </row>
    <row r="422" spans="1:11" x14ac:dyDescent="0.4">
      <c r="A422" s="49">
        <v>419</v>
      </c>
      <c r="B422" s="49">
        <f>A422/$B$1</f>
        <v>17.458333333333332</v>
      </c>
      <c r="C422" s="49">
        <f>(('Input and Output'!B$23*'Input and Output'!$B$10)+('Input and Output'!B$24*Calculations!$C$5)+('Input and Output'!B$25*Calculations!$C$6)+('Input and Output'!B$26*(IF('Input and Output'!D$7="Detritus",Calculations!$C$4,G422))-(SUM('Input and Output'!B$27:B$32))*H421))</f>
        <v>9.0970303807918071</v>
      </c>
      <c r="D422" s="49">
        <f>(('Input and Output'!C$23*'Input and Output'!$B$10)+('Input and Output'!C$24*Calculations!$C$5)+('Input and Output'!C$25*Calculations!$C$6)+('Input and Output'!C$26*(IF('Input and Output'!E$7="Detritus",Calculations!$C$4,H422))-(SUM('Input and Output'!C$27:C$32))*I421))</f>
        <v>77.46871465428012</v>
      </c>
      <c r="E422" s="49">
        <f>(('Input and Output'!D$23*'Input and Output'!$B$10)+('Input and Output'!D$24*Calculations!$C$5)+('Input and Output'!D$25*Calculations!$C$6)+('Input and Output'!D$26*(IF('Input and Output'!F$7="Detritus",Calculations!$C$4,I422))-(SUM('Input and Output'!D$27:D$32))*J421))</f>
        <v>34.410332770192326</v>
      </c>
      <c r="F422" s="49" t="e">
        <f>(('Input and Output'!E$23*'Input and Output'!$B$10)+('Input and Output'!E$24*Calculations!$C$5)+('Input and Output'!E$25*Calculations!$C$6)+('Input and Output'!E$26*(IF('Input and Output'!G$7="Detritus",Calculations!$C$4,J422))-(SUM('Input and Output'!E$27:E$32))*K421))</f>
        <v>#N/A</v>
      </c>
      <c r="H422" s="49">
        <f>IF(H$2="",NA(),C422*$B422+H421)</f>
        <v>315203.95936360728</v>
      </c>
      <c r="I422" s="49">
        <f>IF(I$2="",NA(),D422*$B422+I421)</f>
        <v>2894369.0970791169</v>
      </c>
      <c r="J422" s="49">
        <f>IF(J$2="",NA(),E422*$B422+J421)</f>
        <v>1346973.2779755208</v>
      </c>
      <c r="K422" s="49" t="e">
        <f>IF(K$2="",NA(),F422*$B422+K421)</f>
        <v>#N/A</v>
      </c>
    </row>
    <row r="423" spans="1:11" x14ac:dyDescent="0.4">
      <c r="A423" s="49">
        <v>420</v>
      </c>
      <c r="B423" s="49">
        <f>A423/$B$1</f>
        <v>17.5</v>
      </c>
      <c r="C423" s="49">
        <f>(('Input and Output'!B$23*'Input and Output'!$B$10)+('Input and Output'!B$24*Calculations!$C$5)+('Input and Output'!B$25*Calculations!$C$6)+('Input and Output'!B$26*(IF('Input and Output'!D$7="Detritus",Calculations!$C$4,G423))-(SUM('Input and Output'!B$27:B$32))*H422))</f>
        <v>8.9439107539740803</v>
      </c>
      <c r="D423" s="49">
        <f>(('Input and Output'!C$23*'Input and Output'!$B$10)+('Input and Output'!C$24*Calculations!$C$5)+('Input and Output'!C$25*Calculations!$C$6)+('Input and Output'!C$26*(IF('Input and Output'!E$7="Detritus",Calculations!$C$4,H423))-(SUM('Input and Output'!C$27:C$32))*I422))</f>
        <v>76.160807709439723</v>
      </c>
      <c r="E423" s="49">
        <f>(('Input and Output'!D$23*'Input and Output'!$B$10)+('Input and Output'!D$24*Calculations!$C$5)+('Input and Output'!D$25*Calculations!$C$6)+('Input and Output'!D$26*(IF('Input and Output'!F$7="Detritus",Calculations!$C$4,I423))-(SUM('Input and Output'!D$27:D$32))*J422))</f>
        <v>33.82779864373515</v>
      </c>
      <c r="F423" s="49" t="e">
        <f>(('Input and Output'!E$23*'Input and Output'!$B$10)+('Input and Output'!E$24*Calculations!$C$5)+('Input and Output'!E$25*Calculations!$C$6)+('Input and Output'!E$26*(IF('Input and Output'!G$7="Detritus",Calculations!$C$4,J423))-(SUM('Input and Output'!E$27:E$32))*K422))</f>
        <v>#N/A</v>
      </c>
      <c r="H423" s="49">
        <f>IF(H$2="",NA(),C423*$B423+H422)</f>
        <v>315360.47780180181</v>
      </c>
      <c r="I423" s="49">
        <f>IF(I$2="",NA(),D423*$B423+I422)</f>
        <v>2895701.9112140322</v>
      </c>
      <c r="J423" s="49">
        <f>IF(J$2="",NA(),E423*$B423+J422)</f>
        <v>1347565.2644517862</v>
      </c>
      <c r="K423" s="49" t="e">
        <f>IF(K$2="",NA(),F423*$B423+K422)</f>
        <v>#N/A</v>
      </c>
    </row>
    <row r="424" spans="1:11" x14ac:dyDescent="0.4">
      <c r="A424" s="49">
        <v>421</v>
      </c>
      <c r="B424" s="49">
        <f>A424/$B$1</f>
        <v>17.541666666666668</v>
      </c>
      <c r="C424" s="49">
        <f>(('Input and Output'!B$23*'Input and Output'!$B$10)+('Input and Output'!B$24*Calculations!$C$5)+('Input and Output'!B$25*Calculations!$C$6)+('Input and Output'!B$26*(IF('Input and Output'!D$7="Detritus",Calculations!$C$4,G424))-(SUM('Input and Output'!B$27:B$32))*H423))</f>
        <v>8.7930091203729148</v>
      </c>
      <c r="D424" s="49">
        <f>(('Input and Output'!C$23*'Input and Output'!$B$10)+('Input and Output'!C$24*Calculations!$C$5)+('Input and Output'!C$25*Calculations!$C$6)+('Input and Output'!C$26*(IF('Input and Output'!E$7="Detritus",Calculations!$C$4,H424))-(SUM('Input and Output'!C$27:C$32))*I423))</f>
        <v>74.871931080851027</v>
      </c>
      <c r="E424" s="49">
        <f>(('Input and Output'!D$23*'Input and Output'!$B$10)+('Input and Output'!D$24*Calculations!$C$5)+('Input and Output'!D$25*Calculations!$C$6)+('Input and Output'!D$26*(IF('Input and Output'!F$7="Detritus",Calculations!$C$4,I424))-(SUM('Input and Output'!D$27:D$32))*J423))</f>
        <v>33.253772042768105</v>
      </c>
      <c r="F424" s="49" t="e">
        <f>(('Input and Output'!E$23*'Input and Output'!$B$10)+('Input and Output'!E$24*Calculations!$C$5)+('Input and Output'!E$25*Calculations!$C$6)+('Input and Output'!E$26*(IF('Input and Output'!G$7="Detritus",Calculations!$C$4,J424))-(SUM('Input and Output'!E$27:E$32))*K423))</f>
        <v>#N/A</v>
      </c>
      <c r="H424" s="49">
        <f>IF(H$2="",NA(),C424*$B424+H423)</f>
        <v>315514.72183678835</v>
      </c>
      <c r="I424" s="49">
        <f>IF(I$2="",NA(),D424*$B424+I423)</f>
        <v>2897015.2896717424</v>
      </c>
      <c r="J424" s="49">
        <f>IF(J$2="",NA(),E424*$B424+J423)</f>
        <v>1348148.5910363698</v>
      </c>
      <c r="K424" s="49" t="e">
        <f>IF(K$2="",NA(),F424*$B424+K423)</f>
        <v>#N/A</v>
      </c>
    </row>
    <row r="425" spans="1:11" x14ac:dyDescent="0.4">
      <c r="A425" s="49">
        <v>422</v>
      </c>
      <c r="B425" s="49">
        <f>A425/$B$1</f>
        <v>17.583333333333332</v>
      </c>
      <c r="C425" s="49">
        <f>(('Input and Output'!B$23*'Input and Output'!$B$10)+('Input and Output'!B$24*Calculations!$C$5)+('Input and Output'!B$25*Calculations!$C$6)+('Input and Output'!B$26*(IF('Input and Output'!D$7="Detritus",Calculations!$C$4,G425))-(SUM('Input and Output'!B$27:B$32))*H424))</f>
        <v>8.6443002709798407</v>
      </c>
      <c r="D425" s="49">
        <f>(('Input and Output'!C$23*'Input and Output'!$B$10)+('Input and Output'!C$24*Calculations!$C$5)+('Input and Output'!C$25*Calculations!$C$6)+('Input and Output'!C$26*(IF('Input and Output'!E$7="Detritus",Calculations!$C$4,H425))-(SUM('Input and Output'!C$27:C$32))*I424))</f>
        <v>73.601866566245917</v>
      </c>
      <c r="E425" s="49">
        <f>(('Input and Output'!D$23*'Input and Output'!$B$10)+('Input and Output'!D$24*Calculations!$C$5)+('Input and Output'!D$25*Calculations!$C$6)+('Input and Output'!D$26*(IF('Input and Output'!F$7="Detritus",Calculations!$C$4,I425))-(SUM('Input and Output'!D$27:D$32))*J424))</f>
        <v>32.688154814506561</v>
      </c>
      <c r="F425" s="49" t="e">
        <f>(('Input and Output'!E$23*'Input and Output'!$B$10)+('Input and Output'!E$24*Calculations!$C$5)+('Input and Output'!E$25*Calculations!$C$6)+('Input and Output'!E$26*(IF('Input and Output'!G$7="Detritus",Calculations!$C$4,J425))-(SUM('Input and Output'!E$27:E$32))*K424))</f>
        <v>#N/A</v>
      </c>
      <c r="H425" s="49">
        <f>IF(H$2="",NA(),C425*$B425+H424)</f>
        <v>315666.71744988643</v>
      </c>
      <c r="I425" s="49">
        <f>IF(I$2="",NA(),D425*$B425+I424)</f>
        <v>2898309.4558255323</v>
      </c>
      <c r="J425" s="49">
        <f>IF(J$2="",NA(),E425*$B425+J424)</f>
        <v>1348723.3577585248</v>
      </c>
      <c r="K425" s="49" t="e">
        <f>IF(K$2="",NA(),F425*$B425+K424)</f>
        <v>#N/A</v>
      </c>
    </row>
    <row r="426" spans="1:11" x14ac:dyDescent="0.4">
      <c r="A426" s="49">
        <v>423</v>
      </c>
      <c r="B426" s="49">
        <f>A426/$B$1</f>
        <v>17.625</v>
      </c>
      <c r="C426" s="49">
        <f>(('Input and Output'!B$23*'Input and Output'!$B$10)+('Input and Output'!B$24*Calculations!$C$5)+('Input and Output'!B$25*Calculations!$C$6)+('Input and Output'!B$26*(IF('Input and Output'!D$7="Detritus",Calculations!$C$4,G426))-(SUM('Input and Output'!B$27:B$32))*H425))</f>
        <v>8.4977591568383559</v>
      </c>
      <c r="D426" s="49">
        <f>(('Input and Output'!C$23*'Input and Output'!$B$10)+('Input and Output'!C$24*Calculations!$C$5)+('Input and Output'!C$25*Calculations!$C$6)+('Input and Output'!C$26*(IF('Input and Output'!E$7="Detritus",Calculations!$C$4,H426))-(SUM('Input and Output'!C$27:C$32))*I425))</f>
        <v>72.35039740072807</v>
      </c>
      <c r="E426" s="49">
        <f>(('Input and Output'!D$23*'Input and Output'!$B$10)+('Input and Output'!D$24*Calculations!$C$5)+('Input and Output'!D$25*Calculations!$C$6)+('Input and Output'!D$26*(IF('Input and Output'!F$7="Detritus",Calculations!$C$4,I426))-(SUM('Input and Output'!D$27:D$32))*J425))</f>
        <v>32.130849464916537</v>
      </c>
      <c r="F426" s="49" t="e">
        <f>(('Input and Output'!E$23*'Input and Output'!$B$10)+('Input and Output'!E$24*Calculations!$C$5)+('Input and Output'!E$25*Calculations!$C$6)+('Input and Output'!E$26*(IF('Input and Output'!G$7="Detritus",Calculations!$C$4,J426))-(SUM('Input and Output'!E$27:E$32))*K425))</f>
        <v>#N/A</v>
      </c>
      <c r="H426" s="49">
        <f>IF(H$2="",NA(),C426*$B426+H425)</f>
        <v>315816.49045502569</v>
      </c>
      <c r="I426" s="49">
        <f>IF(I$2="",NA(),D426*$B426+I425)</f>
        <v>2899584.6315797199</v>
      </c>
      <c r="J426" s="49">
        <f>IF(J$2="",NA(),E426*$B426+J425)</f>
        <v>1349289.6639803441</v>
      </c>
      <c r="K426" s="49" t="e">
        <f>IF(K$2="",NA(),F426*$B426+K425)</f>
        <v>#N/A</v>
      </c>
    </row>
    <row r="427" spans="1:11" x14ac:dyDescent="0.4">
      <c r="A427" s="49">
        <v>424</v>
      </c>
      <c r="B427" s="49">
        <f>A427/$B$1</f>
        <v>17.666666666666668</v>
      </c>
      <c r="C427" s="49">
        <f>(('Input and Output'!B$23*'Input and Output'!$B$10)+('Input and Output'!B$24*Calculations!$C$5)+('Input and Output'!B$25*Calculations!$C$6)+('Input and Output'!B$26*(IF('Input and Output'!D$7="Detritus",Calculations!$C$4,G427))-(SUM('Input and Output'!B$27:B$32))*H426))</f>
        <v>8.3533608903748018</v>
      </c>
      <c r="D427" s="49">
        <f>(('Input and Output'!C$23*'Input and Output'!$B$10)+('Input and Output'!C$24*Calculations!$C$5)+('Input and Output'!C$25*Calculations!$C$6)+('Input and Output'!C$26*(IF('Input and Output'!E$7="Detritus",Calculations!$C$4,H427))-(SUM('Input and Output'!C$27:C$32))*I426))</f>
        <v>71.11730826648909</v>
      </c>
      <c r="E427" s="49">
        <f>(('Input and Output'!D$23*'Input and Output'!$B$10)+('Input and Output'!D$24*Calculations!$C$5)+('Input and Output'!D$25*Calculations!$C$6)+('Input and Output'!D$26*(IF('Input and Output'!F$7="Detritus",Calculations!$C$4,I427))-(SUM('Input and Output'!D$27:D$32))*J426))</f>
        <v>31.58175916248365</v>
      </c>
      <c r="F427" s="49" t="e">
        <f>(('Input and Output'!E$23*'Input and Output'!$B$10)+('Input and Output'!E$24*Calculations!$C$5)+('Input and Output'!E$25*Calculations!$C$6)+('Input and Output'!E$26*(IF('Input and Output'!G$7="Detritus",Calculations!$C$4,J427))-(SUM('Input and Output'!E$27:E$32))*K426))</f>
        <v>#N/A</v>
      </c>
      <c r="H427" s="49">
        <f>IF(H$2="",NA(),C427*$B427+H426)</f>
        <v>315964.06649742229</v>
      </c>
      <c r="I427" s="49">
        <f>IF(I$2="",NA(),D427*$B427+I426)</f>
        <v>2900841.0373590947</v>
      </c>
      <c r="J427" s="49">
        <f>IF(J$2="",NA(),E427*$B427+J426)</f>
        <v>1349847.6083922146</v>
      </c>
      <c r="K427" s="49" t="e">
        <f>IF(K$2="",NA(),F427*$B427+K426)</f>
        <v>#N/A</v>
      </c>
    </row>
    <row r="428" spans="1:11" x14ac:dyDescent="0.4">
      <c r="A428" s="49">
        <v>425</v>
      </c>
      <c r="B428" s="49">
        <f>A428/$B$1</f>
        <v>17.708333333333332</v>
      </c>
      <c r="C428" s="49">
        <f>(('Input and Output'!B$23*'Input and Output'!$B$10)+('Input and Output'!B$24*Calculations!$C$5)+('Input and Output'!B$25*Calculations!$C$6)+('Input and Output'!B$26*(IF('Input and Output'!D$7="Detritus",Calculations!$C$4,G428))-(SUM('Input and Output'!B$27:B$32))*H427))</f>
        <v>8.211080746674611</v>
      </c>
      <c r="D428" s="49">
        <f>(('Input and Output'!C$23*'Input and Output'!$B$10)+('Input and Output'!C$24*Calculations!$C$5)+('Input and Output'!C$25*Calculations!$C$6)+('Input and Output'!C$26*(IF('Input and Output'!E$7="Detritus",Calculations!$C$4,H428))-(SUM('Input and Output'!C$27:C$32))*I427))</f>
        <v>69.902385302076254</v>
      </c>
      <c r="E428" s="49">
        <f>(('Input and Output'!D$23*'Input and Output'!$B$10)+('Input and Output'!D$24*Calculations!$C$5)+('Input and Output'!D$25*Calculations!$C$6)+('Input and Output'!D$26*(IF('Input and Output'!F$7="Detritus",Calculations!$C$4,I428))-(SUM('Input and Output'!D$27:D$32))*J427))</f>
        <v>31.040787742345856</v>
      </c>
      <c r="F428" s="49" t="e">
        <f>(('Input and Output'!E$23*'Input and Output'!$B$10)+('Input and Output'!E$24*Calculations!$C$5)+('Input and Output'!E$25*Calculations!$C$6)+('Input and Output'!E$26*(IF('Input and Output'!G$7="Detritus",Calculations!$C$4,J428))-(SUM('Input and Output'!E$27:E$32))*K427))</f>
        <v>#N/A</v>
      </c>
      <c r="H428" s="49">
        <f>IF(H$2="",NA(),C428*$B428+H427)</f>
        <v>316109.4710523113</v>
      </c>
      <c r="I428" s="49">
        <f>IF(I$2="",NA(),D428*$B428+I427)</f>
        <v>2902078.8920988189</v>
      </c>
      <c r="J428" s="49">
        <f>IF(J$2="",NA(),E428*$B428+J427)</f>
        <v>1350397.2890084854</v>
      </c>
      <c r="K428" s="49" t="e">
        <f>IF(K$2="",NA(),F428*$B428+K427)</f>
        <v>#N/A</v>
      </c>
    </row>
    <row r="429" spans="1:11" x14ac:dyDescent="0.4">
      <c r="A429" s="49">
        <v>426</v>
      </c>
      <c r="B429" s="49">
        <f>A429/$B$1</f>
        <v>17.75</v>
      </c>
      <c r="C429" s="49">
        <f>(('Input and Output'!B$23*'Input and Output'!$B$10)+('Input and Output'!B$24*Calculations!$C$5)+('Input and Output'!B$25*Calculations!$C$6)+('Input and Output'!B$26*(IF('Input and Output'!D$7="Detritus",Calculations!$C$4,G429))-(SUM('Input and Output'!B$27:B$32))*H428))</f>
        <v>8.0708941647044412</v>
      </c>
      <c r="D429" s="49">
        <f>(('Input and Output'!C$23*'Input and Output'!$B$10)+('Input and Output'!C$24*Calculations!$C$5)+('Input and Output'!C$25*Calculations!$C$6)+('Input and Output'!C$26*(IF('Input and Output'!E$7="Detritus",Calculations!$C$4,H429))-(SUM('Input and Output'!C$27:C$32))*I428))</f>
        <v>68.705416111275554</v>
      </c>
      <c r="E429" s="49">
        <f>(('Input and Output'!D$23*'Input and Output'!$B$10)+('Input and Output'!D$24*Calculations!$C$5)+('Input and Output'!D$25*Calculations!$C$6)+('Input and Output'!D$26*(IF('Input and Output'!F$7="Detritus",Calculations!$C$4,I429))-(SUM('Input and Output'!D$27:D$32))*J428))</f>
        <v>30.507839709902328</v>
      </c>
      <c r="F429" s="49" t="e">
        <f>(('Input and Output'!E$23*'Input and Output'!$B$10)+('Input and Output'!E$24*Calculations!$C$5)+('Input and Output'!E$25*Calculations!$C$6)+('Input and Output'!E$26*(IF('Input and Output'!G$7="Detritus",Calculations!$C$4,J429))-(SUM('Input and Output'!E$27:E$32))*K428))</f>
        <v>#N/A</v>
      </c>
      <c r="H429" s="49">
        <f>IF(H$2="",NA(),C429*$B429+H428)</f>
        <v>316252.72942373483</v>
      </c>
      <c r="I429" s="49">
        <f>IF(I$2="",NA(),D429*$B429+I428)</f>
        <v>2903298.413234794</v>
      </c>
      <c r="J429" s="49">
        <f>IF(J$2="",NA(),E429*$B429+J428)</f>
        <v>1350938.8031633361</v>
      </c>
      <c r="K429" s="49" t="e">
        <f>IF(K$2="",NA(),F429*$B429+K428)</f>
        <v>#N/A</v>
      </c>
    </row>
    <row r="430" spans="1:11" x14ac:dyDescent="0.4">
      <c r="A430" s="49">
        <v>427</v>
      </c>
      <c r="B430" s="49">
        <f>A430/$B$1</f>
        <v>17.791666666666668</v>
      </c>
      <c r="C430" s="49">
        <f>(('Input and Output'!B$23*'Input and Output'!$B$10)+('Input and Output'!B$24*Calculations!$C$5)+('Input and Output'!B$25*Calculations!$C$6)+('Input and Output'!B$26*(IF('Input and Output'!D$7="Detritus",Calculations!$C$4,G430))-(SUM('Input and Output'!B$27:B$32))*H429))</f>
        <v>7.9327767484803644</v>
      </c>
      <c r="D430" s="49">
        <f>(('Input and Output'!C$23*'Input and Output'!$B$10)+('Input and Output'!C$24*Calculations!$C$5)+('Input and Output'!C$25*Calculations!$C$6)+('Input and Output'!C$26*(IF('Input and Output'!E$7="Detritus",Calculations!$C$4,H430))-(SUM('Input and Output'!C$27:C$32))*I429))</f>
        <v>67.526189771554527</v>
      </c>
      <c r="E430" s="49">
        <f>(('Input and Output'!D$23*'Input and Output'!$B$10)+('Input and Output'!D$24*Calculations!$C$5)+('Input and Output'!D$25*Calculations!$C$6)+('Input and Output'!D$26*(IF('Input and Output'!F$7="Detritus",Calculations!$C$4,I430))-(SUM('Input and Output'!D$27:D$32))*J429))</f>
        <v>29.982820244465984</v>
      </c>
      <c r="F430" s="49" t="e">
        <f>(('Input and Output'!E$23*'Input and Output'!$B$10)+('Input and Output'!E$24*Calculations!$C$5)+('Input and Output'!E$25*Calculations!$C$6)+('Input and Output'!E$26*(IF('Input and Output'!G$7="Detritus",Calculations!$C$4,J430))-(SUM('Input and Output'!E$27:E$32))*K429))</f>
        <v>#N/A</v>
      </c>
      <c r="H430" s="49">
        <f>IF(H$2="",NA(),C430*$B430+H429)</f>
        <v>316393.86674338486</v>
      </c>
      <c r="I430" s="49">
        <f>IF(I$2="",NA(),D430*$B430+I429)</f>
        <v>2904499.8166944794</v>
      </c>
      <c r="J430" s="49">
        <f>IF(J$2="",NA(),E430*$B430+J429)</f>
        <v>1351472.2475068523</v>
      </c>
      <c r="K430" s="49" t="e">
        <f>IF(K$2="",NA(),F430*$B430+K429)</f>
        <v>#N/A</v>
      </c>
    </row>
    <row r="431" spans="1:11" x14ac:dyDescent="0.4">
      <c r="A431" s="49">
        <v>428</v>
      </c>
      <c r="B431" s="49">
        <f>A431/$B$1</f>
        <v>17.833333333333332</v>
      </c>
      <c r="C431" s="49">
        <f>(('Input and Output'!B$23*'Input and Output'!$B$10)+('Input and Output'!B$24*Calculations!$C$5)+('Input and Output'!B$25*Calculations!$C$6)+('Input and Output'!B$26*(IF('Input and Output'!D$7="Detritus",Calculations!$C$4,G431))-(SUM('Input and Output'!B$27:B$32))*H430))</f>
        <v>7.7967042681837597</v>
      </c>
      <c r="D431" s="49">
        <f>(('Input and Output'!C$23*'Input and Output'!$B$10)+('Input and Output'!C$24*Calculations!$C$5)+('Input and Output'!C$25*Calculations!$C$6)+('Input and Output'!C$26*(IF('Input and Output'!E$7="Detritus",Calculations!$C$4,H431))-(SUM('Input and Output'!C$27:C$32))*I430))</f>
        <v>66.364496842111294</v>
      </c>
      <c r="E431" s="49">
        <f>(('Input and Output'!D$23*'Input and Output'!$B$10)+('Input and Output'!D$24*Calculations!$C$5)+('Input and Output'!D$25*Calculations!$C$6)+('Input and Output'!D$26*(IF('Input and Output'!F$7="Detritus",Calculations!$C$4,I431))-(SUM('Input and Output'!D$27:D$32))*J430))</f>
        <v>29.465635202523117</v>
      </c>
      <c r="F431" s="49" t="e">
        <f>(('Input and Output'!E$23*'Input and Output'!$B$10)+('Input and Output'!E$24*Calculations!$C$5)+('Input and Output'!E$25*Calculations!$C$6)+('Input and Output'!E$26*(IF('Input and Output'!G$7="Detritus",Calculations!$C$4,J431))-(SUM('Input and Output'!E$27:E$32))*K430))</f>
        <v>#N/A</v>
      </c>
      <c r="H431" s="49">
        <f>IF(H$2="",NA(),C431*$B431+H430)</f>
        <v>316532.90796950081</v>
      </c>
      <c r="I431" s="49">
        <f>IF(I$2="",NA(),D431*$B431+I430)</f>
        <v>2905683.3168881638</v>
      </c>
      <c r="J431" s="49">
        <f>IF(J$2="",NA(),E431*$B431+J430)</f>
        <v>1351997.7180012972</v>
      </c>
      <c r="K431" s="49" t="e">
        <f>IF(K$2="",NA(),F431*$B431+K430)</f>
        <v>#N/A</v>
      </c>
    </row>
    <row r="432" spans="1:11" x14ac:dyDescent="0.4">
      <c r="A432" s="49">
        <v>429</v>
      </c>
      <c r="B432" s="49">
        <f>A432/$B$1</f>
        <v>17.875</v>
      </c>
      <c r="C432" s="49">
        <f>(('Input and Output'!B$23*'Input and Output'!$B$10)+('Input and Output'!B$24*Calculations!$C$5)+('Input and Output'!B$25*Calculations!$C$6)+('Input and Output'!B$26*(IF('Input and Output'!D$7="Detritus",Calculations!$C$4,G432))-(SUM('Input and Output'!B$27:B$32))*H431))</f>
        <v>7.6626526612240013</v>
      </c>
      <c r="D432" s="49">
        <f>(('Input and Output'!C$23*'Input and Output'!$B$10)+('Input and Output'!C$24*Calculations!$C$5)+('Input and Output'!C$25*Calculations!$C$6)+('Input and Output'!C$26*(IF('Input and Output'!E$7="Detritus",Calculations!$C$4,H432))-(SUM('Input and Output'!C$27:C$32))*I431))</f>
        <v>65.220129371517032</v>
      </c>
      <c r="E432" s="49">
        <f>(('Input and Output'!D$23*'Input and Output'!$B$10)+('Input and Output'!D$24*Calculations!$C$5)+('Input and Output'!D$25*Calculations!$C$6)+('Input and Output'!D$26*(IF('Input and Output'!F$7="Detritus",Calculations!$C$4,I432))-(SUM('Input and Output'!D$27:D$32))*J431))</f>
        <v>28.956191120963922</v>
      </c>
      <c r="F432" s="49" t="e">
        <f>(('Input and Output'!E$23*'Input and Output'!$B$10)+('Input and Output'!E$24*Calculations!$C$5)+('Input and Output'!E$25*Calculations!$C$6)+('Input and Output'!E$26*(IF('Input and Output'!G$7="Detritus",Calculations!$C$4,J432))-(SUM('Input and Output'!E$27:E$32))*K431))</f>
        <v>#N/A</v>
      </c>
      <c r="H432" s="49">
        <f>IF(H$2="",NA(),C432*$B432+H431)</f>
        <v>316669.87788582017</v>
      </c>
      <c r="I432" s="49">
        <f>IF(I$2="",NA(),D432*$B432+I431)</f>
        <v>2906849.1267006798</v>
      </c>
      <c r="J432" s="49">
        <f>IF(J$2="",NA(),E432*$B432+J431)</f>
        <v>1352515.3099175845</v>
      </c>
      <c r="K432" s="49" t="e">
        <f>IF(K$2="",NA(),F432*$B432+K431)</f>
        <v>#N/A</v>
      </c>
    </row>
    <row r="433" spans="1:11" x14ac:dyDescent="0.4">
      <c r="A433" s="49">
        <v>430</v>
      </c>
      <c r="B433" s="49">
        <f>A433/$B$1</f>
        <v>17.916666666666668</v>
      </c>
      <c r="C433" s="49">
        <f>(('Input and Output'!B$23*'Input and Output'!$B$10)+('Input and Output'!B$24*Calculations!$C$5)+('Input and Output'!B$25*Calculations!$C$6)+('Input and Output'!B$26*(IF('Input and Output'!D$7="Detritus",Calculations!$C$4,G433))-(SUM('Input and Output'!B$27:B$32))*H432))</f>
        <v>7.5305980332502713</v>
      </c>
      <c r="D433" s="49">
        <f>(('Input and Output'!C$23*'Input and Output'!$B$10)+('Input and Output'!C$24*Calculations!$C$5)+('Input and Output'!C$25*Calculations!$C$6)+('Input and Output'!C$26*(IF('Input and Output'!E$7="Detritus",Calculations!$C$4,H433))-(SUM('Input and Output'!C$27:C$32))*I432))</f>
        <v>64.092880904960111</v>
      </c>
      <c r="E433" s="49">
        <f>(('Input and Output'!D$23*'Input and Output'!$B$10)+('Input and Output'!D$24*Calculations!$C$5)+('Input and Output'!D$25*Calculations!$C$6)+('Input and Output'!D$26*(IF('Input and Output'!F$7="Detritus",Calculations!$C$4,I433))-(SUM('Input and Output'!D$27:D$32))*J432))</f>
        <v>28.454395220167498</v>
      </c>
      <c r="F433" s="49" t="e">
        <f>(('Input and Output'!E$23*'Input and Output'!$B$10)+('Input and Output'!E$24*Calculations!$C$5)+('Input and Output'!E$25*Calculations!$C$6)+('Input and Output'!E$26*(IF('Input and Output'!G$7="Detritus",Calculations!$C$4,J433))-(SUM('Input and Output'!E$27:E$32))*K432))</f>
        <v>#N/A</v>
      </c>
      <c r="H433" s="49">
        <f>IF(H$2="",NA(),C433*$B433+H432)</f>
        <v>316804.80110058258</v>
      </c>
      <c r="I433" s="49">
        <f>IF(I$2="",NA(),D433*$B433+I432)</f>
        <v>2907997.4574835603</v>
      </c>
      <c r="J433" s="49">
        <f>IF(J$2="",NA(),E433*$B433+J432)</f>
        <v>1353025.1178319459</v>
      </c>
      <c r="K433" s="49" t="e">
        <f>IF(K$2="",NA(),F433*$B433+K432)</f>
        <v>#N/A</v>
      </c>
    </row>
    <row r="434" spans="1:11" x14ac:dyDescent="0.4">
      <c r="A434" s="49">
        <v>431</v>
      </c>
      <c r="B434" s="49">
        <f>A434/$B$1</f>
        <v>17.958333333333332</v>
      </c>
      <c r="C434" s="49">
        <f>(('Input and Output'!B$23*'Input and Output'!$B$10)+('Input and Output'!B$24*Calculations!$C$5)+('Input and Output'!B$25*Calculations!$C$6)+('Input and Output'!B$26*(IF('Input and Output'!D$7="Detritus",Calculations!$C$4,G434))-(SUM('Input and Output'!B$27:B$32))*H433))</f>
        <v>7.4005166591116449</v>
      </c>
      <c r="D434" s="49">
        <f>(('Input and Output'!C$23*'Input and Output'!$B$10)+('Input and Output'!C$24*Calculations!$C$5)+('Input and Output'!C$25*Calculations!$C$6)+('Input and Output'!C$26*(IF('Input and Output'!E$7="Detritus",Calculations!$C$4,H434))-(SUM('Input and Output'!C$27:C$32))*I433))</f>
        <v>62.98254649107912</v>
      </c>
      <c r="E434" s="49">
        <f>(('Input and Output'!D$23*'Input and Output'!$B$10)+('Input and Output'!D$24*Calculations!$C$5)+('Input and Output'!D$25*Calculations!$C$6)+('Input and Output'!D$26*(IF('Input and Output'!F$7="Detritus",Calculations!$C$4,I434))-(SUM('Input and Output'!D$27:D$32))*J433))</f>
        <v>27.960155406693957</v>
      </c>
      <c r="F434" s="49" t="e">
        <f>(('Input and Output'!E$23*'Input and Output'!$B$10)+('Input and Output'!E$24*Calculations!$C$5)+('Input and Output'!E$25*Calculations!$C$6)+('Input and Output'!E$26*(IF('Input and Output'!G$7="Detritus",Calculations!$C$4,J434))-(SUM('Input and Output'!E$27:E$32))*K433))</f>
        <v>#N/A</v>
      </c>
      <c r="H434" s="49">
        <f>IF(H$2="",NA(),C434*$B434+H433)</f>
        <v>316937.70204558579</v>
      </c>
      <c r="I434" s="49">
        <f>IF(I$2="",NA(),D434*$B434+I433)</f>
        <v>2909128.5190476291</v>
      </c>
      <c r="J434" s="49">
        <f>IF(J$2="",NA(),E434*$B434+J433)</f>
        <v>1353527.2356227911</v>
      </c>
      <c r="K434" s="49" t="e">
        <f>IF(K$2="",NA(),F434*$B434+K433)</f>
        <v>#N/A</v>
      </c>
    </row>
    <row r="435" spans="1:11" x14ac:dyDescent="0.4">
      <c r="A435" s="49">
        <v>432</v>
      </c>
      <c r="B435" s="49">
        <f>A435/$B$1</f>
        <v>18</v>
      </c>
      <c r="C435" s="49">
        <f>(('Input and Output'!B$23*'Input and Output'!$B$10)+('Input and Output'!B$24*Calculations!$C$5)+('Input and Output'!B$25*Calculations!$C$6)+('Input and Output'!B$26*(IF('Input and Output'!D$7="Detritus",Calculations!$C$4,G435))-(SUM('Input and Output'!B$27:B$32))*H434))</f>
        <v>7.2723849837674379</v>
      </c>
      <c r="D435" s="49">
        <f>(('Input and Output'!C$23*'Input and Output'!$B$10)+('Input and Output'!C$24*Calculations!$C$5)+('Input and Output'!C$25*Calculations!$C$6)+('Input and Output'!C$26*(IF('Input and Output'!E$7="Detritus",Calculations!$C$4,H435))-(SUM('Input and Output'!C$27:C$32))*I434))</f>
        <v>61.888922688415732</v>
      </c>
      <c r="E435" s="49">
        <f>(('Input and Output'!D$23*'Input and Output'!$B$10)+('Input and Output'!D$24*Calculations!$C$5)+('Input and Output'!D$25*Calculations!$C$6)+('Input and Output'!D$26*(IF('Input and Output'!F$7="Detritus",Calculations!$C$4,I435))-(SUM('Input and Output'!D$27:D$32))*J434))</f>
        <v>27.473380276078387</v>
      </c>
      <c r="F435" s="49" t="e">
        <f>(('Input and Output'!E$23*'Input and Output'!$B$10)+('Input and Output'!E$24*Calculations!$C$5)+('Input and Output'!E$25*Calculations!$C$6)+('Input and Output'!E$26*(IF('Input and Output'!G$7="Detritus",Calculations!$C$4,J435))-(SUM('Input and Output'!E$27:E$32))*K434))</f>
        <v>#N/A</v>
      </c>
      <c r="H435" s="49">
        <f>IF(H$2="",NA(),C435*$B435+H434)</f>
        <v>317068.60497529362</v>
      </c>
      <c r="I435" s="49">
        <f>IF(I$2="",NA(),D435*$B435+I434)</f>
        <v>2910242.5196560207</v>
      </c>
      <c r="J435" s="49">
        <f>IF(J$2="",NA(),E435*$B435+J434)</f>
        <v>1354021.7564677605</v>
      </c>
      <c r="K435" s="49" t="e">
        <f>IF(K$2="",NA(),F435*$B435+K434)</f>
        <v>#N/A</v>
      </c>
    </row>
    <row r="436" spans="1:11" x14ac:dyDescent="0.4">
      <c r="A436" s="49">
        <v>433</v>
      </c>
      <c r="B436" s="49">
        <f>A436/$B$1</f>
        <v>18.041666666666668</v>
      </c>
      <c r="C436" s="49">
        <f>(('Input and Output'!B$23*'Input and Output'!$B$10)+('Input and Output'!B$24*Calculations!$C$5)+('Input and Output'!B$25*Calculations!$C$6)+('Input and Output'!B$26*(IF('Input and Output'!D$7="Detritus",Calculations!$C$4,G436))-(SUM('Input and Output'!B$27:B$32))*H435))</f>
        <v>7.1461796231469634</v>
      </c>
      <c r="D436" s="49">
        <f>(('Input and Output'!C$23*'Input and Output'!$B$10)+('Input and Output'!C$24*Calculations!$C$5)+('Input and Output'!C$25*Calculations!$C$6)+('Input and Output'!C$26*(IF('Input and Output'!E$7="Detritus",Calculations!$C$4,H436))-(SUM('Input and Output'!C$27:C$32))*I435))</f>
        <v>60.811807571478312</v>
      </c>
      <c r="E436" s="49">
        <f>(('Input and Output'!D$23*'Input and Output'!$B$10)+('Input and Output'!D$24*Calculations!$C$5)+('Input and Output'!D$25*Calculations!$C$6)+('Input and Output'!D$26*(IF('Input and Output'!F$7="Detritus",Calculations!$C$4,I436))-(SUM('Input and Output'!D$27:D$32))*J435))</f>
        <v>26.993979115202819</v>
      </c>
      <c r="F436" s="49" t="e">
        <f>(('Input and Output'!E$23*'Input and Output'!$B$10)+('Input and Output'!E$24*Calculations!$C$5)+('Input and Output'!E$25*Calculations!$C$6)+('Input and Output'!E$26*(IF('Input and Output'!G$7="Detritus",Calculations!$C$4,J436))-(SUM('Input and Output'!E$27:E$32))*K435))</f>
        <v>#N/A</v>
      </c>
      <c r="H436" s="49">
        <f>IF(H$2="",NA(),C436*$B436+H435)</f>
        <v>317197.53396599455</v>
      </c>
      <c r="I436" s="49">
        <f>IF(I$2="",NA(),D436*$B436+I435)</f>
        <v>2911339.6660176227</v>
      </c>
      <c r="J436" s="49">
        <f>IF(J$2="",NA(),E436*$B436+J435)</f>
        <v>1354508.7728409639</v>
      </c>
      <c r="K436" s="49" t="e">
        <f>IF(K$2="",NA(),F436*$B436+K435)</f>
        <v>#N/A</v>
      </c>
    </row>
    <row r="437" spans="1:11" x14ac:dyDescent="0.4">
      <c r="A437" s="49">
        <v>434</v>
      </c>
      <c r="B437" s="49">
        <f>A437/$B$1</f>
        <v>18.083333333333332</v>
      </c>
      <c r="C437" s="49">
        <f>(('Input and Output'!B$23*'Input and Output'!$B$10)+('Input and Output'!B$24*Calculations!$C$5)+('Input and Output'!B$25*Calculations!$C$6)+('Input and Output'!B$26*(IF('Input and Output'!D$7="Detritus",Calculations!$C$4,G437))-(SUM('Input and Output'!B$27:B$32))*H436))</f>
        <v>7.0218773649610284</v>
      </c>
      <c r="D437" s="49">
        <f>(('Input and Output'!C$23*'Input and Output'!$B$10)+('Input and Output'!C$24*Calculations!$C$5)+('Input and Output'!C$25*Calculations!$C$6)+('Input and Output'!C$26*(IF('Input and Output'!E$7="Detritus",Calculations!$C$4,H437))-(SUM('Input and Output'!C$27:C$32))*I436))</f>
        <v>59.751000736417154</v>
      </c>
      <c r="E437" s="49">
        <f>(('Input and Output'!D$23*'Input and Output'!$B$10)+('Input and Output'!D$24*Calculations!$C$5)+('Input and Output'!D$25*Calculations!$C$6)+('Input and Output'!D$26*(IF('Input and Output'!F$7="Detritus",Calculations!$C$4,I437))-(SUM('Input and Output'!D$27:D$32))*J436))</f>
        <v>26.521861904711841</v>
      </c>
      <c r="F437" s="49" t="e">
        <f>(('Input and Output'!E$23*'Input and Output'!$B$10)+('Input and Output'!E$24*Calculations!$C$5)+('Input and Output'!E$25*Calculations!$C$6)+('Input and Output'!E$26*(IF('Input and Output'!G$7="Detritus",Calculations!$C$4,J437))-(SUM('Input and Output'!E$27:E$32))*K436))</f>
        <v>#N/A</v>
      </c>
      <c r="H437" s="49">
        <f>IF(H$2="",NA(),C437*$B437+H436)</f>
        <v>317324.51291501091</v>
      </c>
      <c r="I437" s="49">
        <f>IF(I$2="",NA(),D437*$B437+I436)</f>
        <v>2912420.1632809397</v>
      </c>
      <c r="J437" s="49">
        <f>IF(J$2="",NA(),E437*$B437+J436)</f>
        <v>1354988.3765104075</v>
      </c>
      <c r="K437" s="49" t="e">
        <f>IF(K$2="",NA(),F437*$B437+K436)</f>
        <v>#N/A</v>
      </c>
    </row>
    <row r="438" spans="1:11" x14ac:dyDescent="0.4">
      <c r="A438" s="49">
        <v>435</v>
      </c>
      <c r="B438" s="49">
        <f>A438/$B$1</f>
        <v>18.125</v>
      </c>
      <c r="C438" s="49">
        <f>(('Input and Output'!B$23*'Input and Output'!$B$10)+('Input and Output'!B$24*Calculations!$C$5)+('Input and Output'!B$25*Calculations!$C$6)+('Input and Output'!B$26*(IF('Input and Output'!D$7="Detritus",Calculations!$C$4,G438))-(SUM('Input and Output'!B$27:B$32))*H437))</f>
        <v>6.8994551694640336</v>
      </c>
      <c r="D438" s="49">
        <f>(('Input and Output'!C$23*'Input and Output'!$B$10)+('Input and Output'!C$24*Calculations!$C$5)+('Input and Output'!C$25*Calculations!$C$6)+('Input and Output'!C$26*(IF('Input and Output'!E$7="Detritus",Calculations!$C$4,H438))-(SUM('Input and Output'!C$27:C$32))*I437))</f>
        <v>58.706303306320478</v>
      </c>
      <c r="E438" s="49">
        <f>(('Input and Output'!D$23*'Input and Output'!$B$10)+('Input and Output'!D$24*Calculations!$C$5)+('Input and Output'!D$25*Calculations!$C$6)+('Input and Output'!D$26*(IF('Input and Output'!F$7="Detritus",Calculations!$C$4,I438))-(SUM('Input and Output'!D$27:D$32))*J437))</f>
        <v>26.056939321078971</v>
      </c>
      <c r="F438" s="49" t="e">
        <f>(('Input and Output'!E$23*'Input and Output'!$B$10)+('Input and Output'!E$24*Calculations!$C$5)+('Input and Output'!E$25*Calculations!$C$6)+('Input and Output'!E$26*(IF('Input and Output'!G$7="Detritus",Calculations!$C$4,J438))-(SUM('Input and Output'!E$27:E$32))*K437))</f>
        <v>#N/A</v>
      </c>
      <c r="H438" s="49">
        <f>IF(H$2="",NA(),C438*$B438+H437)</f>
        <v>317449.56553995743</v>
      </c>
      <c r="I438" s="49">
        <f>IF(I$2="",NA(),D438*$B438+I437)</f>
        <v>2913484.2150283665</v>
      </c>
      <c r="J438" s="49">
        <f>IF(J$2="",NA(),E438*$B438+J437)</f>
        <v>1355460.658535602</v>
      </c>
      <c r="K438" s="49" t="e">
        <f>IF(K$2="",NA(),F438*$B438+K437)</f>
        <v>#N/A</v>
      </c>
    </row>
    <row r="439" spans="1:11" x14ac:dyDescent="0.4">
      <c r="A439" s="49">
        <v>436</v>
      </c>
      <c r="B439" s="49">
        <f>A439/$B$1</f>
        <v>18.166666666666668</v>
      </c>
      <c r="C439" s="49">
        <f>(('Input and Output'!B$23*'Input and Output'!$B$10)+('Input and Output'!B$24*Calculations!$C$5)+('Input and Output'!B$25*Calculations!$C$6)+('Input and Output'!B$26*(IF('Input and Output'!D$7="Detritus",Calculations!$C$4,G439))-(SUM('Input and Output'!B$27:B$32))*H438))</f>
        <v>6.7788901701692339</v>
      </c>
      <c r="D439" s="49">
        <f>(('Input and Output'!C$23*'Input and Output'!$B$10)+('Input and Output'!C$24*Calculations!$C$5)+('Input and Output'!C$25*Calculations!$C$6)+('Input and Output'!C$26*(IF('Input and Output'!E$7="Detritus",Calculations!$C$4,H439))-(SUM('Input and Output'!C$27:C$32))*I438))</f>
        <v>57.677517936133881</v>
      </c>
      <c r="E439" s="49">
        <f>(('Input and Output'!D$23*'Input and Output'!$B$10)+('Input and Output'!D$24*Calculations!$C$5)+('Input and Output'!D$25*Calculations!$C$6)+('Input and Output'!D$26*(IF('Input and Output'!F$7="Detritus",Calculations!$C$4,I439))-(SUM('Input and Output'!D$27:D$32))*J438))</f>
        <v>25.599122738673032</v>
      </c>
      <c r="F439" s="49" t="e">
        <f>(('Input and Output'!E$23*'Input and Output'!$B$10)+('Input and Output'!E$24*Calculations!$C$5)+('Input and Output'!E$25*Calculations!$C$6)+('Input and Output'!E$26*(IF('Input and Output'!G$7="Detritus",Calculations!$C$4,J439))-(SUM('Input and Output'!E$27:E$32))*K438))</f>
        <v>#N/A</v>
      </c>
      <c r="H439" s="49">
        <f>IF(H$2="",NA(),C439*$B439+H438)</f>
        <v>317572.71537804883</v>
      </c>
      <c r="I439" s="49">
        <f>IF(I$2="",NA(),D439*$B439+I438)</f>
        <v>2914532.0232708729</v>
      </c>
      <c r="J439" s="49">
        <f>IF(J$2="",NA(),E439*$B439+J438)</f>
        <v>1355925.7092653546</v>
      </c>
      <c r="K439" s="49" t="e">
        <f>IF(K$2="",NA(),F439*$B439+K438)</f>
        <v>#N/A</v>
      </c>
    </row>
    <row r="440" spans="1:11" x14ac:dyDescent="0.4">
      <c r="A440" s="49">
        <v>437</v>
      </c>
      <c r="B440" s="49">
        <f>A440/$B$1</f>
        <v>18.208333333333332</v>
      </c>
      <c r="C440" s="49">
        <f>(('Input and Output'!B$23*'Input and Output'!$B$10)+('Input and Output'!B$24*Calculations!$C$5)+('Input and Output'!B$25*Calculations!$C$6)+('Input and Output'!B$26*(IF('Input and Output'!D$7="Detritus",Calculations!$C$4,G440))-(SUM('Input and Output'!B$27:B$32))*H439))</f>
        <v>6.6601596745159668</v>
      </c>
      <c r="D440" s="49">
        <f>(('Input and Output'!C$23*'Input and Output'!$B$10)+('Input and Output'!C$24*Calculations!$C$5)+('Input and Output'!C$25*Calculations!$C$6)+('Input and Output'!C$26*(IF('Input and Output'!E$7="Detritus",Calculations!$C$4,H440))-(SUM('Input and Output'!C$27:C$32))*I439))</f>
        <v>56.664448817204175</v>
      </c>
      <c r="E440" s="49">
        <f>(('Input and Output'!D$23*'Input and Output'!$B$10)+('Input and Output'!D$24*Calculations!$C$5)+('Input and Output'!D$25*Calculations!$C$6)+('Input and Output'!D$26*(IF('Input and Output'!F$7="Detritus",Calculations!$C$4,I440))-(SUM('Input and Output'!D$27:D$32))*J439))</f>
        <v>25.148324231504375</v>
      </c>
      <c r="F440" s="49" t="e">
        <f>(('Input and Output'!E$23*'Input and Output'!$B$10)+('Input and Output'!E$24*Calculations!$C$5)+('Input and Output'!E$25*Calculations!$C$6)+('Input and Output'!E$26*(IF('Input and Output'!G$7="Detritus",Calculations!$C$4,J440))-(SUM('Input and Output'!E$27:E$32))*K439))</f>
        <v>#N/A</v>
      </c>
      <c r="H440" s="49">
        <f>IF(H$2="",NA(),C440*$B440+H439)</f>
        <v>317693.98578545562</v>
      </c>
      <c r="I440" s="49">
        <f>IF(I$2="",NA(),D440*$B440+I439)</f>
        <v>2915563.7884430862</v>
      </c>
      <c r="J440" s="49">
        <f>IF(J$2="",NA(),E440*$B440+J439)</f>
        <v>1356383.6183357364</v>
      </c>
      <c r="K440" s="49" t="e">
        <f>IF(K$2="",NA(),F440*$B440+K439)</f>
        <v>#N/A</v>
      </c>
    </row>
    <row r="441" spans="1:11" x14ac:dyDescent="0.4">
      <c r="A441" s="49">
        <v>438</v>
      </c>
      <c r="B441" s="49">
        <f>A441/$B$1</f>
        <v>18.25</v>
      </c>
      <c r="C441" s="49">
        <f>(('Input and Output'!B$23*'Input and Output'!$B$10)+('Input and Output'!B$24*Calculations!$C$5)+('Input and Output'!B$25*Calculations!$C$6)+('Input and Output'!B$26*(IF('Input and Output'!D$7="Detritus",Calculations!$C$4,G441))-(SUM('Input and Output'!B$27:B$32))*H440))</f>
        <v>6.543241164490837</v>
      </c>
      <c r="D441" s="49">
        <f>(('Input and Output'!C$23*'Input and Output'!$B$10)+('Input and Output'!C$24*Calculations!$C$5)+('Input and Output'!C$25*Calculations!$C$6)+('Input and Output'!C$26*(IF('Input and Output'!E$7="Detritus",Calculations!$C$4,H441))-(SUM('Input and Output'!C$27:C$32))*I440))</f>
        <v>55.666901681466697</v>
      </c>
      <c r="E441" s="49">
        <f>(('Input and Output'!D$23*'Input and Output'!$B$10)+('Input and Output'!D$24*Calculations!$C$5)+('Input and Output'!D$25*Calculations!$C$6)+('Input and Output'!D$26*(IF('Input and Output'!F$7="Detritus",Calculations!$C$4,I441))-(SUM('Input and Output'!D$27:D$32))*J440))</f>
        <v>24.704456574869255</v>
      </c>
      <c r="F441" s="49" t="e">
        <f>(('Input and Output'!E$23*'Input and Output'!$B$10)+('Input and Output'!E$24*Calculations!$C$5)+('Input and Output'!E$25*Calculations!$C$6)+('Input and Output'!E$26*(IF('Input and Output'!G$7="Detritus",Calculations!$C$4,J441))-(SUM('Input and Output'!E$27:E$32))*K440))</f>
        <v>#N/A</v>
      </c>
      <c r="H441" s="49">
        <f>IF(H$2="",NA(),C441*$B441+H440)</f>
        <v>317813.39993670757</v>
      </c>
      <c r="I441" s="49">
        <f>IF(I$2="",NA(),D441*$B441+I440)</f>
        <v>2916579.709398773</v>
      </c>
      <c r="J441" s="49">
        <f>IF(J$2="",NA(),E441*$B441+J440)</f>
        <v>1356834.4746682278</v>
      </c>
      <c r="K441" s="49" t="e">
        <f>IF(K$2="",NA(),F441*$B441+K440)</f>
        <v>#N/A</v>
      </c>
    </row>
    <row r="442" spans="1:11" x14ac:dyDescent="0.4">
      <c r="A442" s="49">
        <v>439</v>
      </c>
      <c r="B442" s="49">
        <f>A442/$B$1</f>
        <v>18.291666666666668</v>
      </c>
      <c r="C442" s="49">
        <f>(('Input and Output'!B$23*'Input and Output'!$B$10)+('Input and Output'!B$24*Calculations!$C$5)+('Input and Output'!B$25*Calculations!$C$6)+('Input and Output'!B$26*(IF('Input and Output'!D$7="Detritus",Calculations!$C$4,G442))-(SUM('Input and Output'!B$27:B$32))*H441))</f>
        <v>6.4281122972028584</v>
      </c>
      <c r="D442" s="49">
        <f>(('Input and Output'!C$23*'Input and Output'!$B$10)+('Input and Output'!C$24*Calculations!$C$5)+('Input and Output'!C$25*Calculations!$C$6)+('Input and Output'!C$26*(IF('Input and Output'!E$7="Detritus",Calculations!$C$4,H442))-(SUM('Input and Output'!C$27:C$32))*I441))</f>
        <v>54.684683805262466</v>
      </c>
      <c r="E442" s="49">
        <f>(('Input and Output'!D$23*'Input and Output'!$B$10)+('Input and Output'!D$24*Calculations!$C$5)+('Input and Output'!D$25*Calculations!$C$6)+('Input and Output'!D$26*(IF('Input and Output'!F$7="Detritus",Calculations!$C$4,I442))-(SUM('Input and Output'!D$27:D$32))*J441))</f>
        <v>24.267433246906876</v>
      </c>
      <c r="F442" s="49" t="e">
        <f>(('Input and Output'!E$23*'Input and Output'!$B$10)+('Input and Output'!E$24*Calculations!$C$5)+('Input and Output'!E$25*Calculations!$C$6)+('Input and Output'!E$26*(IF('Input and Output'!G$7="Detritus",Calculations!$C$4,J442))-(SUM('Input and Output'!E$27:E$32))*K441))</f>
        <v>#N/A</v>
      </c>
      <c r="H442" s="49">
        <f>IF(H$2="",NA(),C442*$B442+H441)</f>
        <v>317930.98082414392</v>
      </c>
      <c r="I442" s="49">
        <f>IF(I$2="",NA(),D442*$B442+I441)</f>
        <v>2917579.9834067109</v>
      </c>
      <c r="J442" s="49">
        <f>IF(J$2="",NA(),E442*$B442+J441)</f>
        <v>1357278.3664680358</v>
      </c>
      <c r="K442" s="49" t="e">
        <f>IF(K$2="",NA(),F442*$B442+K441)</f>
        <v>#N/A</v>
      </c>
    </row>
    <row r="443" spans="1:11" x14ac:dyDescent="0.4">
      <c r="A443" s="49">
        <v>440</v>
      </c>
      <c r="B443" s="49">
        <f>A443/$B$1</f>
        <v>18.333333333333332</v>
      </c>
      <c r="C443" s="49">
        <f>(('Input and Output'!B$23*'Input and Output'!$B$10)+('Input and Output'!B$24*Calculations!$C$5)+('Input and Output'!B$25*Calculations!$C$6)+('Input and Output'!B$26*(IF('Input and Output'!D$7="Detritus",Calculations!$C$4,G443))-(SUM('Input and Output'!B$27:B$32))*H442))</f>
        <v>6.3147509054135753</v>
      </c>
      <c r="D443" s="49">
        <f>(('Input and Output'!C$23*'Input and Output'!$B$10)+('Input and Output'!C$24*Calculations!$C$5)+('Input and Output'!C$25*Calculations!$C$6)+('Input and Output'!C$26*(IF('Input and Output'!E$7="Detritus",Calculations!$C$4,H443))-(SUM('Input and Output'!C$27:C$32))*I442))</f>
        <v>53.71760401280153</v>
      </c>
      <c r="E443" s="49">
        <f>(('Input and Output'!D$23*'Input and Output'!$B$10)+('Input and Output'!D$24*Calculations!$C$5)+('Input and Output'!D$25*Calculations!$C$6)+('Input and Output'!D$26*(IF('Input and Output'!F$7="Detritus",Calculations!$C$4,I443))-(SUM('Input and Output'!D$27:D$32))*J442))</f>
        <v>23.837168429996382</v>
      </c>
      <c r="F443" s="49" t="e">
        <f>(('Input and Output'!E$23*'Input and Output'!$B$10)+('Input and Output'!E$24*Calculations!$C$5)+('Input and Output'!E$25*Calculations!$C$6)+('Input and Output'!E$26*(IF('Input and Output'!G$7="Detritus",Calculations!$C$4,J443))-(SUM('Input and Output'!E$27:E$32))*K442))</f>
        <v>#N/A</v>
      </c>
      <c r="H443" s="49">
        <f>IF(H$2="",NA(),C443*$B443+H442)</f>
        <v>318046.75125740981</v>
      </c>
      <c r="I443" s="49">
        <f>IF(I$2="",NA(),D443*$B443+I442)</f>
        <v>2918564.8061469458</v>
      </c>
      <c r="J443" s="49">
        <f>IF(J$2="",NA(),E443*$B443+J442)</f>
        <v>1357715.3812225857</v>
      </c>
      <c r="K443" s="49" t="e">
        <f>IF(K$2="",NA(),F443*$B443+K442)</f>
        <v>#N/A</v>
      </c>
    </row>
    <row r="444" spans="1:11" x14ac:dyDescent="0.4">
      <c r="A444" s="49">
        <v>441</v>
      </c>
      <c r="B444" s="49">
        <f>A444/$B$1</f>
        <v>18.375</v>
      </c>
      <c r="C444" s="49">
        <f>(('Input and Output'!B$23*'Input and Output'!$B$10)+('Input and Output'!B$24*Calculations!$C$5)+('Input and Output'!B$25*Calculations!$C$6)+('Input and Output'!B$26*(IF('Input and Output'!D$7="Detritus",Calculations!$C$4,G444))-(SUM('Input and Output'!B$27:B$32))*H443))</f>
        <v>6.2031349980223354</v>
      </c>
      <c r="D444" s="49">
        <f>(('Input and Output'!C$23*'Input and Output'!$B$10)+('Input and Output'!C$24*Calculations!$C$5)+('Input and Output'!C$25*Calculations!$C$6)+('Input and Output'!C$26*(IF('Input and Output'!E$7="Detritus",Calculations!$C$4,H444))-(SUM('Input and Output'!C$27:C$32))*I443))</f>
        <v>52.765472679260711</v>
      </c>
      <c r="E444" s="49">
        <f>(('Input and Output'!D$23*'Input and Output'!$B$10)+('Input and Output'!D$24*Calculations!$C$5)+('Input and Output'!D$25*Calculations!$C$6)+('Input and Output'!D$26*(IF('Input and Output'!F$7="Detritus",Calculations!$C$4,I444))-(SUM('Input and Output'!D$27:D$32))*J443))</f>
        <v>23.413577011659072</v>
      </c>
      <c r="F444" s="49" t="e">
        <f>(('Input and Output'!E$23*'Input and Output'!$B$10)+('Input and Output'!E$24*Calculations!$C$5)+('Input and Output'!E$25*Calculations!$C$6)+('Input and Output'!E$26*(IF('Input and Output'!G$7="Detritus",Calculations!$C$4,J444))-(SUM('Input and Output'!E$27:E$32))*K443))</f>
        <v>#N/A</v>
      </c>
      <c r="H444" s="49">
        <f>IF(H$2="",NA(),C444*$B444+H443)</f>
        <v>318160.73386299849</v>
      </c>
      <c r="I444" s="49">
        <f>IF(I$2="",NA(),D444*$B444+I443)</f>
        <v>2919534.3717074273</v>
      </c>
      <c r="J444" s="49">
        <f>IF(J$2="",NA(),E444*$B444+J443)</f>
        <v>1358145.6057001748</v>
      </c>
      <c r="K444" s="49" t="e">
        <f>IF(K$2="",NA(),F444*$B444+K443)</f>
        <v>#N/A</v>
      </c>
    </row>
    <row r="445" spans="1:11" x14ac:dyDescent="0.4">
      <c r="A445" s="49">
        <v>442</v>
      </c>
      <c r="B445" s="49">
        <f>A445/$B$1</f>
        <v>18.416666666666668</v>
      </c>
      <c r="C445" s="49">
        <f>(('Input and Output'!B$23*'Input and Output'!$B$10)+('Input and Output'!B$24*Calculations!$C$5)+('Input and Output'!B$25*Calculations!$C$6)+('Input and Output'!B$26*(IF('Input and Output'!D$7="Detritus",Calculations!$C$4,G445))-(SUM('Input and Output'!B$27:B$32))*H444))</f>
        <v>6.0932427605079624</v>
      </c>
      <c r="D445" s="49">
        <f>(('Input and Output'!C$23*'Input and Output'!$B$10)+('Input and Output'!C$24*Calculations!$C$5)+('Input and Output'!C$25*Calculations!$C$6)+('Input and Output'!C$26*(IF('Input and Output'!E$7="Detritus",Calculations!$C$4,H445))-(SUM('Input and Output'!C$27:C$32))*I444))</f>
        <v>51.828101733558469</v>
      </c>
      <c r="E445" s="49">
        <f>(('Input and Output'!D$23*'Input and Output'!$B$10)+('Input and Output'!D$24*Calculations!$C$5)+('Input and Output'!D$25*Calculations!$C$6)+('Input and Output'!D$26*(IF('Input and Output'!F$7="Detritus",Calculations!$C$4,I445))-(SUM('Input and Output'!D$27:D$32))*J444))</f>
        <v>22.996574585940834</v>
      </c>
      <c r="F445" s="49" t="e">
        <f>(('Input and Output'!E$23*'Input and Output'!$B$10)+('Input and Output'!E$24*Calculations!$C$5)+('Input and Output'!E$25*Calculations!$C$6)+('Input and Output'!E$26*(IF('Input and Output'!G$7="Detritus",Calculations!$C$4,J445))-(SUM('Input and Output'!E$27:E$32))*K444))</f>
        <v>#N/A</v>
      </c>
      <c r="H445" s="49">
        <f>IF(H$2="",NA(),C445*$B445+H444)</f>
        <v>318272.95108383783</v>
      </c>
      <c r="I445" s="49">
        <f>IF(I$2="",NA(),D445*$B445+I444)</f>
        <v>2920488.8725810205</v>
      </c>
      <c r="J445" s="49">
        <f>IF(J$2="",NA(),E445*$B445+J444)</f>
        <v>1358569.1259487993</v>
      </c>
      <c r="K445" s="49" t="e">
        <f>IF(K$2="",NA(),F445*$B445+K444)</f>
        <v>#N/A</v>
      </c>
    </row>
    <row r="446" spans="1:11" x14ac:dyDescent="0.4">
      <c r="A446" s="49">
        <v>443</v>
      </c>
      <c r="B446" s="49">
        <f>A446/$B$1</f>
        <v>18.458333333333332</v>
      </c>
      <c r="C446" s="49">
        <f>(('Input and Output'!B$23*'Input and Output'!$B$10)+('Input and Output'!B$24*Calculations!$C$5)+('Input and Output'!B$25*Calculations!$C$6)+('Input and Output'!B$26*(IF('Input and Output'!D$7="Detritus",Calculations!$C$4,G446))-(SUM('Input and Output'!B$27:B$32))*H445))</f>
        <v>5.9850525553271723</v>
      </c>
      <c r="D446" s="49">
        <f>(('Input and Output'!C$23*'Input and Output'!$B$10)+('Input and Output'!C$24*Calculations!$C$5)+('Input and Output'!C$25*Calculations!$C$6)+('Input and Output'!C$26*(IF('Input and Output'!E$7="Detritus",Calculations!$C$4,H446))-(SUM('Input and Output'!C$27:C$32))*I445))</f>
        <v>50.905304660758702</v>
      </c>
      <c r="E446" s="49">
        <f>(('Input and Output'!D$23*'Input and Output'!$B$10)+('Input and Output'!D$24*Calculations!$C$5)+('Input and Output'!D$25*Calculations!$C$6)+('Input and Output'!D$26*(IF('Input and Output'!F$7="Detritus",Calculations!$C$4,I446))-(SUM('Input and Output'!D$27:D$32))*J445))</f>
        <v>22.586077454008773</v>
      </c>
      <c r="F446" s="49" t="e">
        <f>(('Input and Output'!E$23*'Input and Output'!$B$10)+('Input and Output'!E$24*Calculations!$C$5)+('Input and Output'!E$25*Calculations!$C$6)+('Input and Output'!E$26*(IF('Input and Output'!G$7="Detritus",Calculations!$C$4,J446))-(SUM('Input and Output'!E$27:E$32))*K445))</f>
        <v>#N/A</v>
      </c>
      <c r="H446" s="49">
        <f>IF(H$2="",NA(),C446*$B446+H445)</f>
        <v>318383.42517892161</v>
      </c>
      <c r="I446" s="49">
        <f>IF(I$2="",NA(),D446*$B446+I445)</f>
        <v>2921428.4996628836</v>
      </c>
      <c r="J446" s="49">
        <f>IF(J$2="",NA(),E446*$B446+J445)</f>
        <v>1358986.027295138</v>
      </c>
      <c r="K446" s="49" t="e">
        <f>IF(K$2="",NA(),F446*$B446+K445)</f>
        <v>#N/A</v>
      </c>
    </row>
    <row r="447" spans="1:11" x14ac:dyDescent="0.4">
      <c r="A447" s="49">
        <v>444</v>
      </c>
      <c r="B447" s="49">
        <f>A447/$B$1</f>
        <v>18.5</v>
      </c>
      <c r="C447" s="49">
        <f>(('Input and Output'!B$23*'Input and Output'!$B$10)+('Input and Output'!B$24*Calculations!$C$5)+('Input and Output'!B$25*Calculations!$C$6)+('Input and Output'!B$26*(IF('Input and Output'!D$7="Detritus",Calculations!$C$4,G447))-(SUM('Input and Output'!B$27:B$32))*H446))</f>
        <v>5.878542922270185</v>
      </c>
      <c r="D447" s="49">
        <f>(('Input and Output'!C$23*'Input and Output'!$B$10)+('Input and Output'!C$24*Calculations!$C$5)+('Input and Output'!C$25*Calculations!$C$6)+('Input and Output'!C$26*(IF('Input and Output'!E$7="Detritus",Calculations!$C$4,H447))-(SUM('Input and Output'!C$27:C$32))*I446))</f>
        <v>49.996896504148026</v>
      </c>
      <c r="E447" s="49">
        <f>(('Input and Output'!D$23*'Input and Output'!$B$10)+('Input and Output'!D$24*Calculations!$C$5)+('Input and Output'!D$25*Calculations!$C$6)+('Input and Output'!D$26*(IF('Input and Output'!F$7="Detritus",Calculations!$C$4,I447))-(SUM('Input and Output'!D$27:D$32))*J446))</f>
        <v>22.182002625082532</v>
      </c>
      <c r="F447" s="49" t="e">
        <f>(('Input and Output'!E$23*'Input and Output'!$B$10)+('Input and Output'!E$24*Calculations!$C$5)+('Input and Output'!E$25*Calculations!$C$6)+('Input and Output'!E$26*(IF('Input and Output'!G$7="Detritus",Calculations!$C$4,J447))-(SUM('Input and Output'!E$27:E$32))*K446))</f>
        <v>#N/A</v>
      </c>
      <c r="H447" s="49">
        <f>IF(H$2="",NA(),C447*$B447+H446)</f>
        <v>318492.17822298361</v>
      </c>
      <c r="I447" s="49">
        <f>IF(I$2="",NA(),D447*$B447+I446)</f>
        <v>2922353.4422482103</v>
      </c>
      <c r="J447" s="49">
        <f>IF(J$2="",NA(),E447*$B447+J446)</f>
        <v>1359396.3943437021</v>
      </c>
      <c r="K447" s="49" t="e">
        <f>IF(K$2="",NA(),F447*$B447+K446)</f>
        <v>#N/A</v>
      </c>
    </row>
    <row r="448" spans="1:11" x14ac:dyDescent="0.4">
      <c r="A448" s="49">
        <v>445</v>
      </c>
      <c r="B448" s="49">
        <f>A448/$B$1</f>
        <v>18.541666666666668</v>
      </c>
      <c r="C448" s="49">
        <f>(('Input and Output'!B$23*'Input and Output'!$B$10)+('Input and Output'!B$24*Calculations!$C$5)+('Input and Output'!B$25*Calculations!$C$6)+('Input and Output'!B$26*(IF('Input and Output'!D$7="Detritus",Calculations!$C$4,G448))-(SUM('Input and Output'!B$27:B$32))*H447))</f>
        <v>5.7736925787748419</v>
      </c>
      <c r="D448" s="49">
        <f>(('Input and Output'!C$23*'Input and Output'!$B$10)+('Input and Output'!C$24*Calculations!$C$5)+('Input and Output'!C$25*Calculations!$C$6)+('Input and Output'!C$26*(IF('Input and Output'!E$7="Detritus",Calculations!$C$4,H448))-(SUM('Input and Output'!C$27:C$32))*I447))</f>
        <v>49.102693866982008</v>
      </c>
      <c r="E448" s="49">
        <f>(('Input and Output'!D$23*'Input and Output'!$B$10)+('Input and Output'!D$24*Calculations!$C$5)+('Input and Output'!D$25*Calculations!$C$6)+('Input and Output'!D$26*(IF('Input and Output'!F$7="Detritus",Calculations!$C$4,I448))-(SUM('Input and Output'!D$27:D$32))*J447))</f>
        <v>21.784267816870852</v>
      </c>
      <c r="F448" s="49" t="e">
        <f>(('Input and Output'!E$23*'Input and Output'!$B$10)+('Input and Output'!E$24*Calculations!$C$5)+('Input and Output'!E$25*Calculations!$C$6)+('Input and Output'!E$26*(IF('Input and Output'!G$7="Detritus",Calculations!$C$4,J448))-(SUM('Input and Output'!E$27:E$32))*K447))</f>
        <v>#N/A</v>
      </c>
      <c r="H448" s="49">
        <f>IF(H$2="",NA(),C448*$B448+H447)</f>
        <v>318599.23210621509</v>
      </c>
      <c r="I448" s="49">
        <f>IF(I$2="",NA(),D448*$B448+I447)</f>
        <v>2923263.8880303274</v>
      </c>
      <c r="J448" s="49">
        <f>IF(J$2="",NA(),E448*$B448+J447)</f>
        <v>1359800.31097614</v>
      </c>
      <c r="K448" s="49" t="e">
        <f>IF(K$2="",NA(),F448*$B448+K447)</f>
        <v>#N/A</v>
      </c>
    </row>
    <row r="449" spans="1:11" x14ac:dyDescent="0.4">
      <c r="A449" s="49">
        <v>446</v>
      </c>
      <c r="B449" s="49">
        <f>A449/$B$1</f>
        <v>18.583333333333332</v>
      </c>
      <c r="C449" s="49">
        <f>(('Input and Output'!B$23*'Input and Output'!$B$10)+('Input and Output'!B$24*Calculations!$C$5)+('Input and Output'!B$25*Calculations!$C$6)+('Input and Output'!B$26*(IF('Input and Output'!D$7="Detritus",Calculations!$C$4,G449))-(SUM('Input and Output'!B$27:B$32))*H448))</f>
        <v>5.6704804201989418</v>
      </c>
      <c r="D449" s="49">
        <f>(('Input and Output'!C$23*'Input and Output'!$B$10)+('Input and Output'!C$24*Calculations!$C$5)+('Input and Output'!C$25*Calculations!$C$6)+('Input and Output'!C$26*(IF('Input and Output'!E$7="Detritus",Calculations!$C$4,H449))-(SUM('Input and Output'!C$27:C$32))*I448))</f>
        <v>48.222514913897612</v>
      </c>
      <c r="E449" s="49">
        <f>(('Input and Output'!D$23*'Input and Output'!$B$10)+('Input and Output'!D$24*Calculations!$C$5)+('Input and Output'!D$25*Calculations!$C$6)+('Input and Output'!D$26*(IF('Input and Output'!F$7="Detritus",Calculations!$C$4,I449))-(SUM('Input and Output'!D$27:D$32))*J448))</f>
        <v>21.392791456008126</v>
      </c>
      <c r="F449" s="49" t="e">
        <f>(('Input and Output'!E$23*'Input and Output'!$B$10)+('Input and Output'!E$24*Calculations!$C$5)+('Input and Output'!E$25*Calculations!$C$6)+('Input and Output'!E$26*(IF('Input and Output'!G$7="Detritus",Calculations!$C$4,J449))-(SUM('Input and Output'!E$27:E$32))*K448))</f>
        <v>#N/A</v>
      </c>
      <c r="H449" s="49">
        <f>IF(H$2="",NA(),C449*$B449+H448)</f>
        <v>318704.60853402381</v>
      </c>
      <c r="I449" s="49">
        <f>IF(I$2="",NA(),D449*$B449+I448)</f>
        <v>2924160.023099144</v>
      </c>
      <c r="J449" s="49">
        <f>IF(J$2="",NA(),E449*$B449+J448)</f>
        <v>1360197.8603506975</v>
      </c>
      <c r="K449" s="49" t="e">
        <f>IF(K$2="",NA(),F449*$B449+K448)</f>
        <v>#N/A</v>
      </c>
    </row>
    <row r="450" spans="1:11" x14ac:dyDescent="0.4">
      <c r="A450" s="49">
        <v>447</v>
      </c>
      <c r="B450" s="49">
        <f>A450/$B$1</f>
        <v>18.625</v>
      </c>
      <c r="C450" s="49">
        <f>(('Input and Output'!B$23*'Input and Output'!$B$10)+('Input and Output'!B$24*Calculations!$C$5)+('Input and Output'!B$25*Calculations!$C$6)+('Input and Output'!B$26*(IF('Input and Output'!D$7="Detritus",Calculations!$C$4,G450))-(SUM('Input and Output'!B$27:B$32))*H449))</f>
        <v>5.5688855200529019</v>
      </c>
      <c r="D450" s="49">
        <f>(('Input and Output'!C$23*'Input and Output'!$B$10)+('Input and Output'!C$24*Calculations!$C$5)+('Input and Output'!C$25*Calculations!$C$6)+('Input and Output'!C$26*(IF('Input and Output'!E$7="Detritus",Calculations!$C$4,H450))-(SUM('Input and Output'!C$27:C$32))*I449))</f>
        <v>47.356179372001861</v>
      </c>
      <c r="E450" s="49">
        <f>(('Input and Output'!D$23*'Input and Output'!$B$10)+('Input and Output'!D$24*Calculations!$C$5)+('Input and Output'!D$25*Calculations!$C$6)+('Input and Output'!D$26*(IF('Input and Output'!F$7="Detritus",Calculations!$C$4,I450))-(SUM('Input and Output'!D$27:D$32))*J449))</f>
        <v>21.007492678359995</v>
      </c>
      <c r="F450" s="49" t="e">
        <f>(('Input and Output'!E$23*'Input and Output'!$B$10)+('Input and Output'!E$24*Calculations!$C$5)+('Input and Output'!E$25*Calculations!$C$6)+('Input and Output'!E$26*(IF('Input and Output'!G$7="Detritus",Calculations!$C$4,J450))-(SUM('Input and Output'!E$27:E$32))*K449))</f>
        <v>#N/A</v>
      </c>
      <c r="H450" s="49">
        <f>IF(H$2="",NA(),C450*$B450+H449)</f>
        <v>318808.32902683481</v>
      </c>
      <c r="I450" s="49">
        <f>IF(I$2="",NA(),D450*$B450+I449)</f>
        <v>2925042.0319399475</v>
      </c>
      <c r="J450" s="49">
        <f>IF(J$2="",NA(),E450*$B450+J449)</f>
        <v>1360589.1249018321</v>
      </c>
      <c r="K450" s="49" t="e">
        <f>IF(K$2="",NA(),F450*$B450+K449)</f>
        <v>#N/A</v>
      </c>
    </row>
    <row r="451" spans="1:11" x14ac:dyDescent="0.4">
      <c r="A451" s="49">
        <v>448</v>
      </c>
      <c r="B451" s="49">
        <f>A451/$B$1</f>
        <v>18.666666666666668</v>
      </c>
      <c r="C451" s="49">
        <f>(('Input and Output'!B$23*'Input and Output'!$B$10)+('Input and Output'!B$24*Calculations!$C$5)+('Input and Output'!B$25*Calculations!$C$6)+('Input and Output'!B$26*(IF('Input and Output'!D$7="Detritus",Calculations!$C$4,G451))-(SUM('Input and Output'!B$27:B$32))*H450))</f>
        <v>5.4688871301913196</v>
      </c>
      <c r="D451" s="49">
        <f>(('Input and Output'!C$23*'Input and Output'!$B$10)+('Input and Output'!C$24*Calculations!$C$5)+('Input and Output'!C$25*Calculations!$C$6)+('Input and Output'!C$26*(IF('Input and Output'!E$7="Detritus",Calculations!$C$4,H451))-(SUM('Input and Output'!C$27:C$32))*I450))</f>
        <v>46.503508531638545</v>
      </c>
      <c r="E451" s="49">
        <f>(('Input and Output'!D$23*'Input and Output'!$B$10)+('Input and Output'!D$24*Calculations!$C$5)+('Input and Output'!D$25*Calculations!$C$6)+('Input and Output'!D$26*(IF('Input and Output'!F$7="Detritus",Calculations!$C$4,I451))-(SUM('Input and Output'!D$27:D$32))*J450))</f>
        <v>20.628291329358035</v>
      </c>
      <c r="F451" s="49" t="e">
        <f>(('Input and Output'!E$23*'Input and Output'!$B$10)+('Input and Output'!E$24*Calculations!$C$5)+('Input and Output'!E$25*Calculations!$C$6)+('Input and Output'!E$26*(IF('Input and Output'!G$7="Detritus",Calculations!$C$4,J451))-(SUM('Input and Output'!E$27:E$32))*K450))</f>
        <v>#N/A</v>
      </c>
      <c r="H451" s="49">
        <f>IF(H$2="",NA(),C451*$B451+H450)</f>
        <v>318910.41491993173</v>
      </c>
      <c r="I451" s="49">
        <f>IF(I$2="",NA(),D451*$B451+I450)</f>
        <v>2925910.0974325379</v>
      </c>
      <c r="J451" s="49">
        <f>IF(J$2="",NA(),E451*$B451+J450)</f>
        <v>1360974.18633998</v>
      </c>
      <c r="K451" s="49" t="e">
        <f>IF(K$2="",NA(),F451*$B451+K450)</f>
        <v>#N/A</v>
      </c>
    </row>
    <row r="452" spans="1:11" x14ac:dyDescent="0.4">
      <c r="A452" s="49">
        <v>449</v>
      </c>
      <c r="B452" s="49">
        <f>A452/$B$1</f>
        <v>18.708333333333332</v>
      </c>
      <c r="C452" s="49">
        <f>(('Input and Output'!B$23*'Input and Output'!$B$10)+('Input and Output'!B$24*Calculations!$C$5)+('Input and Output'!B$25*Calculations!$C$6)+('Input and Output'!B$26*(IF('Input and Output'!D$7="Detritus",Calculations!$C$4,G452))-(SUM('Input and Output'!B$27:B$32))*H451))</f>
        <v>5.3704646809664496</v>
      </c>
      <c r="D452" s="49">
        <f>(('Input and Output'!C$23*'Input and Output'!$B$10)+('Input and Output'!C$24*Calculations!$C$5)+('Input and Output'!C$25*Calculations!$C$6)+('Input and Output'!C$26*(IF('Input and Output'!E$7="Detritus",Calculations!$C$4,H452))-(SUM('Input and Output'!C$27:C$32))*I451))</f>
        <v>45.664325246846602</v>
      </c>
      <c r="E452" s="49">
        <f>(('Input and Output'!D$23*'Input and Output'!$B$10)+('Input and Output'!D$24*Calculations!$C$5)+('Input and Output'!D$25*Calculations!$C$6)+('Input and Output'!D$26*(IF('Input and Output'!F$7="Detritus",Calculations!$C$4,I452))-(SUM('Input and Output'!D$27:D$32))*J451))</f>
        <v>20.255107963621413</v>
      </c>
      <c r="F452" s="49" t="e">
        <f>(('Input and Output'!E$23*'Input and Output'!$B$10)+('Input and Output'!E$24*Calculations!$C$5)+('Input and Output'!E$25*Calculations!$C$6)+('Input and Output'!E$26*(IF('Input and Output'!G$7="Detritus",Calculations!$C$4,J452))-(SUM('Input and Output'!E$27:E$32))*K451))</f>
        <v>#N/A</v>
      </c>
      <c r="H452" s="49">
        <f>IF(H$2="",NA(),C452*$B452+H451)</f>
        <v>319010.88736333814</v>
      </c>
      <c r="I452" s="49">
        <f>IF(I$2="",NA(),D452*$B452+I451)</f>
        <v>2926764.4008506979</v>
      </c>
      <c r="J452" s="49">
        <f>IF(J$2="",NA(),E452*$B452+J451)</f>
        <v>1361353.125651466</v>
      </c>
      <c r="K452" s="49" t="e">
        <f>IF(K$2="",NA(),F452*$B452+K451)</f>
        <v>#N/A</v>
      </c>
    </row>
    <row r="453" spans="1:11" x14ac:dyDescent="0.4">
      <c r="A453" s="49">
        <v>450</v>
      </c>
      <c r="B453" s="49">
        <f>A453/$B$1</f>
        <v>18.75</v>
      </c>
      <c r="C453" s="49">
        <f>(('Input and Output'!B$23*'Input and Output'!$B$10)+('Input and Output'!B$24*Calculations!$C$5)+('Input and Output'!B$25*Calculations!$C$6)+('Input and Output'!B$26*(IF('Input and Output'!D$7="Detritus",Calculations!$C$4,G453))-(SUM('Input and Output'!B$27:B$32))*H452))</f>
        <v>5.2735977813421755</v>
      </c>
      <c r="D453" s="49">
        <f>(('Input and Output'!C$23*'Input and Output'!$B$10)+('Input and Output'!C$24*Calculations!$C$5)+('Input and Output'!C$25*Calculations!$C$6)+('Input and Output'!C$26*(IF('Input and Output'!E$7="Detritus",Calculations!$C$4,H453))-(SUM('Input and Output'!C$27:C$32))*I452))</f>
        <v>44.838453935497455</v>
      </c>
      <c r="E453" s="49">
        <f>(('Input and Output'!D$23*'Input and Output'!$B$10)+('Input and Output'!D$24*Calculations!$C$5)+('Input and Output'!D$25*Calculations!$C$6)+('Input and Output'!D$26*(IF('Input and Output'!F$7="Detritus",Calculations!$C$4,I453))-(SUM('Input and Output'!D$27:D$32))*J452))</f>
        <v>19.887863845204265</v>
      </c>
      <c r="F453" s="49" t="e">
        <f>(('Input and Output'!E$23*'Input and Output'!$B$10)+('Input and Output'!E$24*Calculations!$C$5)+('Input and Output'!E$25*Calculations!$C$6)+('Input and Output'!E$26*(IF('Input and Output'!G$7="Detritus",Calculations!$C$4,J453))-(SUM('Input and Output'!E$27:E$32))*K452))</f>
        <v>#N/A</v>
      </c>
      <c r="H453" s="49">
        <f>IF(H$2="",NA(),C453*$B453+H452)</f>
        <v>319109.7673217383</v>
      </c>
      <c r="I453" s="49">
        <f>IF(I$2="",NA(),D453*$B453+I452)</f>
        <v>2927605.1218619887</v>
      </c>
      <c r="J453" s="49">
        <f>IF(J$2="",NA(),E453*$B453+J452)</f>
        <v>1361726.0230985635</v>
      </c>
      <c r="K453" s="49" t="e">
        <f>IF(K$2="",NA(),F453*$B453+K452)</f>
        <v>#N/A</v>
      </c>
    </row>
    <row r="454" spans="1:11" x14ac:dyDescent="0.4">
      <c r="A454" s="49">
        <v>451</v>
      </c>
      <c r="B454" s="49">
        <f>A454/$B$1</f>
        <v>18.791666666666668</v>
      </c>
      <c r="C454" s="49">
        <f>(('Input and Output'!B$23*'Input and Output'!$B$10)+('Input and Output'!B$24*Calculations!$C$5)+('Input and Output'!B$25*Calculations!$C$6)+('Input and Output'!B$26*(IF('Input and Output'!D$7="Detritus",Calculations!$C$4,G454))-(SUM('Input and Output'!B$27:B$32))*H453))</f>
        <v>5.1782662189709185</v>
      </c>
      <c r="D454" s="49">
        <f>(('Input and Output'!C$23*'Input and Output'!$B$10)+('Input and Output'!C$24*Calculations!$C$5)+('Input and Output'!C$25*Calculations!$C$6)+('Input and Output'!C$26*(IF('Input and Output'!E$7="Detritus",Calculations!$C$4,H454))-(SUM('Input and Output'!C$27:C$32))*I453))</f>
        <v>44.025720579144945</v>
      </c>
      <c r="E454" s="49">
        <f>(('Input and Output'!D$23*'Input and Output'!$B$10)+('Input and Output'!D$24*Calculations!$C$5)+('Input and Output'!D$25*Calculations!$C$6)+('Input and Output'!D$26*(IF('Input and Output'!F$7="Detritus",Calculations!$C$4,I454))-(SUM('Input and Output'!D$27:D$32))*J453))</f>
        <v>19.526480947013624</v>
      </c>
      <c r="F454" s="49" t="e">
        <f>(('Input and Output'!E$23*'Input and Output'!$B$10)+('Input and Output'!E$24*Calculations!$C$5)+('Input and Output'!E$25*Calculations!$C$6)+('Input and Output'!E$26*(IF('Input and Output'!G$7="Detritus",Calculations!$C$4,J454))-(SUM('Input and Output'!E$27:E$32))*K453))</f>
        <v>#N/A</v>
      </c>
      <c r="H454" s="49">
        <f>IF(H$2="",NA(),C454*$B454+H453)</f>
        <v>319207.07557443646</v>
      </c>
      <c r="I454" s="49">
        <f>IF(I$2="",NA(),D454*$B454+I453)</f>
        <v>2928432.4385278719</v>
      </c>
      <c r="J454" s="49">
        <f>IF(J$2="",NA(),E454*$B454+J453)</f>
        <v>1362092.9582196928</v>
      </c>
      <c r="K454" s="49" t="e">
        <f>IF(K$2="",NA(),F454*$B454+K453)</f>
        <v>#N/A</v>
      </c>
    </row>
    <row r="455" spans="1:11" x14ac:dyDescent="0.4">
      <c r="A455" s="49">
        <v>452</v>
      </c>
      <c r="B455" s="49">
        <f>A455/$B$1</f>
        <v>18.833333333333332</v>
      </c>
      <c r="C455" s="49">
        <f>(('Input and Output'!B$23*'Input and Output'!$B$10)+('Input and Output'!B$24*Calculations!$C$5)+('Input and Output'!B$25*Calculations!$C$6)+('Input and Output'!B$26*(IF('Input and Output'!D$7="Detritus",Calculations!$C$4,G455))-(SUM('Input and Output'!B$27:B$32))*H454))</f>
        <v>5.0844499602322344</v>
      </c>
      <c r="D455" s="49">
        <f>(('Input and Output'!C$23*'Input and Output'!$B$10)+('Input and Output'!C$24*Calculations!$C$5)+('Input and Output'!C$25*Calculations!$C$6)+('Input and Output'!C$26*(IF('Input and Output'!E$7="Detritus",Calculations!$C$4,H455))-(SUM('Input and Output'!C$27:C$32))*I454))</f>
        <v>43.225952722565125</v>
      </c>
      <c r="E455" s="49">
        <f>(('Input and Output'!D$23*'Input and Output'!$B$10)+('Input and Output'!D$24*Calculations!$C$5)+('Input and Output'!D$25*Calculations!$C$6)+('Input and Output'!D$26*(IF('Input and Output'!F$7="Detritus",Calculations!$C$4,I455))-(SUM('Input and Output'!D$27:D$32))*J454))</f>
        <v>19.170881950794865</v>
      </c>
      <c r="F455" s="49" t="e">
        <f>(('Input and Output'!E$23*'Input and Output'!$B$10)+('Input and Output'!E$24*Calculations!$C$5)+('Input and Output'!E$25*Calculations!$C$6)+('Input and Output'!E$26*(IF('Input and Output'!G$7="Detritus",Calculations!$C$4,J455))-(SUM('Input and Output'!E$27:E$32))*K454))</f>
        <v>#N/A</v>
      </c>
      <c r="H455" s="49">
        <f>IF(H$2="",NA(),C455*$B455+H454)</f>
        <v>319302.83271535416</v>
      </c>
      <c r="I455" s="49">
        <f>IF(I$2="",NA(),D455*$B455+I454)</f>
        <v>2929246.5273041469</v>
      </c>
      <c r="J455" s="49">
        <f>IF(J$2="",NA(),E455*$B455+J454)</f>
        <v>1362454.0098297661</v>
      </c>
      <c r="K455" s="49" t="e">
        <f>IF(K$2="",NA(),F455*$B455+K454)</f>
        <v>#N/A</v>
      </c>
    </row>
    <row r="456" spans="1:11" x14ac:dyDescent="0.4">
      <c r="A456" s="49">
        <v>453</v>
      </c>
      <c r="B456" s="49">
        <f>A456/$B$1</f>
        <v>18.875</v>
      </c>
      <c r="C456" s="49">
        <f>(('Input and Output'!B$23*'Input and Output'!$B$10)+('Input and Output'!B$24*Calculations!$C$5)+('Input and Output'!B$25*Calculations!$C$6)+('Input and Output'!B$26*(IF('Input and Output'!D$7="Detritus",Calculations!$C$4,G456))-(SUM('Input and Output'!B$27:B$32))*H455))</f>
        <v>4.9921291502360532</v>
      </c>
      <c r="D456" s="49">
        <f>(('Input and Output'!C$23*'Input and Output'!$B$10)+('Input and Output'!C$24*Calculations!$C$5)+('Input and Output'!C$25*Calculations!$C$6)+('Input and Output'!C$26*(IF('Input and Output'!E$7="Detritus",Calculations!$C$4,H456))-(SUM('Input and Output'!C$27:C$32))*I455))</f>
        <v>42.438979472992287</v>
      </c>
      <c r="E456" s="49">
        <f>(('Input and Output'!D$23*'Input and Output'!$B$10)+('Input and Output'!D$24*Calculations!$C$5)+('Input and Output'!D$25*Calculations!$C$6)+('Input and Output'!D$26*(IF('Input and Output'!F$7="Detritus",Calculations!$C$4,I456))-(SUM('Input and Output'!D$27:D$32))*J455))</f>
        <v>18.820990246156725</v>
      </c>
      <c r="F456" s="49" t="e">
        <f>(('Input and Output'!E$23*'Input and Output'!$B$10)+('Input and Output'!E$24*Calculations!$C$5)+('Input and Output'!E$25*Calculations!$C$6)+('Input and Output'!E$26*(IF('Input and Output'!G$7="Detritus",Calculations!$C$4,J456))-(SUM('Input and Output'!E$27:E$32))*K455))</f>
        <v>#N/A</v>
      </c>
      <c r="H456" s="49">
        <f>IF(H$2="",NA(),C456*$B456+H455)</f>
        <v>319397.05915306485</v>
      </c>
      <c r="I456" s="49">
        <f>IF(I$2="",NA(),D456*$B456+I455)</f>
        <v>2930047.5630416996</v>
      </c>
      <c r="J456" s="49">
        <f>IF(J$2="",NA(),E456*$B456+J455)</f>
        <v>1362809.2560206624</v>
      </c>
      <c r="K456" s="49" t="e">
        <f>IF(K$2="",NA(),F456*$B456+K455)</f>
        <v>#N/A</v>
      </c>
    </row>
    <row r="457" spans="1:11" x14ac:dyDescent="0.4">
      <c r="A457" s="49">
        <v>454</v>
      </c>
      <c r="B457" s="49">
        <f>A457/$B$1</f>
        <v>18.916666666666668</v>
      </c>
      <c r="C457" s="49">
        <f>(('Input and Output'!B$23*'Input and Output'!$B$10)+('Input and Output'!B$24*Calculations!$C$5)+('Input and Output'!B$25*Calculations!$C$6)+('Input and Output'!B$26*(IF('Input and Output'!D$7="Detritus",Calculations!$C$4,G457))-(SUM('Input and Output'!B$27:B$32))*H456))</f>
        <v>4.9012841127888009</v>
      </c>
      <c r="D457" s="49">
        <f>(('Input and Output'!C$23*'Input and Output'!$B$10)+('Input and Output'!C$24*Calculations!$C$5)+('Input and Output'!C$25*Calculations!$C$6)+('Input and Output'!C$26*(IF('Input and Output'!E$7="Detritus",Calculations!$C$4,H457))-(SUM('Input and Output'!C$27:C$32))*I456))</f>
        <v>41.664631499087591</v>
      </c>
      <c r="E457" s="49">
        <f>(('Input and Output'!D$23*'Input and Output'!$B$10)+('Input and Output'!D$24*Calculations!$C$5)+('Input and Output'!D$25*Calculations!$C$6)+('Input and Output'!D$26*(IF('Input and Output'!F$7="Detritus",Calculations!$C$4,I457))-(SUM('Input and Output'!D$27:D$32))*J456))</f>
        <v>18.476729930309375</v>
      </c>
      <c r="F457" s="49" t="e">
        <f>(('Input and Output'!E$23*'Input and Output'!$B$10)+('Input and Output'!E$24*Calculations!$C$5)+('Input and Output'!E$25*Calculations!$C$6)+('Input and Output'!E$26*(IF('Input and Output'!G$7="Detritus",Calculations!$C$4,J457))-(SUM('Input and Output'!E$27:E$32))*K456))</f>
        <v>#N/A</v>
      </c>
      <c r="H457" s="49">
        <f>IF(H$2="",NA(),C457*$B457+H456)</f>
        <v>319489.77511086513</v>
      </c>
      <c r="I457" s="49">
        <f>IF(I$2="",NA(),D457*$B457+I456)</f>
        <v>2930835.7189875571</v>
      </c>
      <c r="J457" s="49">
        <f>IF(J$2="",NA(),E457*$B457+J456)</f>
        <v>1363158.774161844</v>
      </c>
      <c r="K457" s="49" t="e">
        <f>IF(K$2="",NA(),F457*$B457+K456)</f>
        <v>#N/A</v>
      </c>
    </row>
    <row r="458" spans="1:11" x14ac:dyDescent="0.4">
      <c r="A458" s="49">
        <v>455</v>
      </c>
      <c r="B458" s="49">
        <f>A458/$B$1</f>
        <v>18.958333333333332</v>
      </c>
      <c r="C458" s="49">
        <f>(('Input and Output'!B$23*'Input and Output'!$B$10)+('Input and Output'!B$24*Calculations!$C$5)+('Input and Output'!B$25*Calculations!$C$6)+('Input and Output'!B$26*(IF('Input and Output'!D$7="Detritus",Calculations!$C$4,G458))-(SUM('Input and Output'!B$27:B$32))*H457))</f>
        <v>4.8118953503251305</v>
      </c>
      <c r="D458" s="49">
        <f>(('Input and Output'!C$23*'Input and Output'!$B$10)+('Input and Output'!C$24*Calculations!$C$5)+('Input and Output'!C$25*Calculations!$C$6)+('Input and Output'!C$26*(IF('Input and Output'!E$7="Detritus",Calculations!$C$4,H458))-(SUM('Input and Output'!C$27:C$32))*I457))</f>
        <v>40.902741029600293</v>
      </c>
      <c r="E458" s="49">
        <f>(('Input and Output'!D$23*'Input and Output'!$B$10)+('Input and Output'!D$24*Calculations!$C$5)+('Input and Output'!D$25*Calculations!$C$6)+('Input and Output'!D$26*(IF('Input and Output'!F$7="Detritus",Calculations!$C$4,I458))-(SUM('Input and Output'!D$27:D$32))*J457))</f>
        <v>18.138025807089434</v>
      </c>
      <c r="F458" s="49" t="e">
        <f>(('Input and Output'!E$23*'Input and Output'!$B$10)+('Input and Output'!E$24*Calculations!$C$5)+('Input and Output'!E$25*Calculations!$C$6)+('Input and Output'!E$26*(IF('Input and Output'!G$7="Detritus",Calculations!$C$4,J458))-(SUM('Input and Output'!E$27:E$32))*K457))</f>
        <v>#N/A</v>
      </c>
      <c r="H458" s="49">
        <f>IF(H$2="",NA(),C458*$B458+H457)</f>
        <v>319581.00062688172</v>
      </c>
      <c r="I458" s="49">
        <f>IF(I$2="",NA(),D458*$B458+I457)</f>
        <v>2931611.1667862432</v>
      </c>
      <c r="J458" s="49">
        <f>IF(J$2="",NA(),E458*$B458+J457)</f>
        <v>1363502.6409011034</v>
      </c>
      <c r="K458" s="49" t="e">
        <f>IF(K$2="",NA(),F458*$B458+K457)</f>
        <v>#N/A</v>
      </c>
    </row>
    <row r="459" spans="1:11" x14ac:dyDescent="0.4">
      <c r="A459" s="49">
        <v>456</v>
      </c>
      <c r="B459" s="49">
        <f>A459/$B$1</f>
        <v>19</v>
      </c>
      <c r="C459" s="49">
        <f>(('Input and Output'!B$23*'Input and Output'!$B$10)+('Input and Output'!B$24*Calculations!$C$5)+('Input and Output'!B$25*Calculations!$C$6)+('Input and Output'!B$26*(IF('Input and Output'!D$7="Detritus",Calculations!$C$4,G459))-(SUM('Input and Output'!B$27:B$32))*H458))</f>
        <v>4.7239435438043529</v>
      </c>
      <c r="D459" s="49">
        <f>(('Input and Output'!C$23*'Input and Output'!$B$10)+('Input and Output'!C$24*Calculations!$C$5)+('Input and Output'!C$25*Calculations!$C$6)+('Input and Output'!C$26*(IF('Input and Output'!E$7="Detritus",Calculations!$C$4,H459))-(SUM('Input and Output'!C$27:C$32))*I458))</f>
        <v>40.153141851767032</v>
      </c>
      <c r="E459" s="49">
        <f>(('Input and Output'!D$23*'Input and Output'!$B$10)+('Input and Output'!D$24*Calculations!$C$5)+('Input and Output'!D$25*Calculations!$C$6)+('Input and Output'!D$26*(IF('Input and Output'!F$7="Detritus",Calculations!$C$4,I459))-(SUM('Input and Output'!D$27:D$32))*J458))</f>
        <v>17.804803385984997</v>
      </c>
      <c r="F459" s="49" t="e">
        <f>(('Input and Output'!E$23*'Input and Output'!$B$10)+('Input and Output'!E$24*Calculations!$C$5)+('Input and Output'!E$25*Calculations!$C$6)+('Input and Output'!E$26*(IF('Input and Output'!G$7="Detritus",Calculations!$C$4,J459))-(SUM('Input and Output'!E$27:E$32))*K458))</f>
        <v>#N/A</v>
      </c>
      <c r="H459" s="49">
        <f>IF(H$2="",NA(),C459*$B459+H458)</f>
        <v>319670.755554214</v>
      </c>
      <c r="I459" s="49">
        <f>IF(I$2="",NA(),D459*$B459+I458)</f>
        <v>2932374.0764814266</v>
      </c>
      <c r="J459" s="49">
        <f>IF(J$2="",NA(),E459*$B459+J458)</f>
        <v>1363840.9321654371</v>
      </c>
      <c r="K459" s="49" t="e">
        <f>IF(K$2="",NA(),F459*$B459+K458)</f>
        <v>#N/A</v>
      </c>
    </row>
    <row r="460" spans="1:11" x14ac:dyDescent="0.4">
      <c r="A460" s="49">
        <v>457</v>
      </c>
      <c r="B460" s="49">
        <f>A460/$B$1</f>
        <v>19.041666666666668</v>
      </c>
      <c r="C460" s="49">
        <f>(('Input and Output'!B$23*'Input and Output'!$B$10)+('Input and Output'!B$24*Calculations!$C$5)+('Input and Output'!B$25*Calculations!$C$6)+('Input and Output'!B$26*(IF('Input and Output'!D$7="Detritus",Calculations!$C$4,G460))-(SUM('Input and Output'!B$27:B$32))*H459))</f>
        <v>4.6374095525735015</v>
      </c>
      <c r="D460" s="49">
        <f>(('Input and Output'!C$23*'Input and Output'!$B$10)+('Input and Output'!C$24*Calculations!$C$5)+('Input and Output'!C$25*Calculations!$C$6)+('Input and Output'!C$26*(IF('Input and Output'!E$7="Detritus",Calculations!$C$4,H460))-(SUM('Input and Output'!C$27:C$32))*I459))</f>
        <v>39.415669309432815</v>
      </c>
      <c r="E460" s="49">
        <f>(('Input and Output'!D$23*'Input and Output'!$B$10)+('Input and Output'!D$24*Calculations!$C$5)+('Input and Output'!D$25*Calculations!$C$6)+('Input and Output'!D$26*(IF('Input and Output'!F$7="Detritus",Calculations!$C$4,I460))-(SUM('Input and Output'!D$27:D$32))*J459))</f>
        <v>17.476988881378929</v>
      </c>
      <c r="F460" s="49" t="e">
        <f>(('Input and Output'!E$23*'Input and Output'!$B$10)+('Input and Output'!E$24*Calculations!$C$5)+('Input and Output'!E$25*Calculations!$C$6)+('Input and Output'!E$26*(IF('Input and Output'!G$7="Detritus",Calculations!$C$4,J460))-(SUM('Input and Output'!E$27:E$32))*K459))</f>
        <v>#N/A</v>
      </c>
      <c r="H460" s="49">
        <f>IF(H$2="",NA(),C460*$B460+H459)</f>
        <v>319759.05956111092</v>
      </c>
      <c r="I460" s="49">
        <f>IF(I$2="",NA(),D460*$B460+I459)</f>
        <v>2933124.6165178604</v>
      </c>
      <c r="J460" s="49">
        <f>IF(J$2="",NA(),E460*$B460+J459)</f>
        <v>1364173.7231620534</v>
      </c>
      <c r="K460" s="49" t="e">
        <f>IF(K$2="",NA(),F460*$B460+K459)</f>
        <v>#N/A</v>
      </c>
    </row>
    <row r="461" spans="1:11" x14ac:dyDescent="0.4">
      <c r="A461" s="49">
        <v>458</v>
      </c>
      <c r="B461" s="49">
        <f>A461/$B$1</f>
        <v>19.083333333333332</v>
      </c>
      <c r="C461" s="49">
        <f>(('Input and Output'!B$23*'Input and Output'!$B$10)+('Input and Output'!B$24*Calculations!$C$5)+('Input and Output'!B$25*Calculations!$C$6)+('Input and Output'!B$26*(IF('Input and Output'!D$7="Detritus",Calculations!$C$4,G461))-(SUM('Input and Output'!B$27:B$32))*H460))</f>
        <v>4.5522744141962903</v>
      </c>
      <c r="D461" s="49">
        <f>(('Input and Output'!C$23*'Input and Output'!$B$10)+('Input and Output'!C$24*Calculations!$C$5)+('Input and Output'!C$25*Calculations!$C$6)+('Input and Output'!C$26*(IF('Input and Output'!E$7="Detritus",Calculations!$C$4,H461))-(SUM('Input and Output'!C$27:C$32))*I460))</f>
        <v>38.690160300888238</v>
      </c>
      <c r="E461" s="49">
        <f>(('Input and Output'!D$23*'Input and Output'!$B$10)+('Input and Output'!D$24*Calculations!$C$5)+('Input and Output'!D$25*Calculations!$C$6)+('Input and Output'!D$26*(IF('Input and Output'!F$7="Detritus",Calculations!$C$4,I461))-(SUM('Input and Output'!D$27:D$32))*J460))</f>
        <v>17.154509211195546</v>
      </c>
      <c r="F461" s="49" t="e">
        <f>(('Input and Output'!E$23*'Input and Output'!$B$10)+('Input and Output'!E$24*Calculations!$C$5)+('Input and Output'!E$25*Calculations!$C$6)+('Input and Output'!E$26*(IF('Input and Output'!G$7="Detritus",Calculations!$C$4,J461))-(SUM('Input and Output'!E$27:E$32))*K460))</f>
        <v>#N/A</v>
      </c>
      <c r="H461" s="49">
        <f>IF(H$2="",NA(),C461*$B461+H460)</f>
        <v>319845.93213118182</v>
      </c>
      <c r="I461" s="49">
        <f>IF(I$2="",NA(),D461*$B461+I460)</f>
        <v>2933862.9537436026</v>
      </c>
      <c r="J461" s="49">
        <f>IF(J$2="",NA(),E461*$B461+J460)</f>
        <v>1364501.0883795004</v>
      </c>
      <c r="K461" s="49" t="e">
        <f>IF(K$2="",NA(),F461*$B461+K460)</f>
        <v>#N/A</v>
      </c>
    </row>
    <row r="462" spans="1:11" x14ac:dyDescent="0.4">
      <c r="A462" s="49">
        <v>459</v>
      </c>
      <c r="B462" s="49">
        <f>A462/$B$1</f>
        <v>19.125</v>
      </c>
      <c r="C462" s="49">
        <f>(('Input and Output'!B$23*'Input and Output'!$B$10)+('Input and Output'!B$24*Calculations!$C$5)+('Input and Output'!B$25*Calculations!$C$6)+('Input and Output'!B$26*(IF('Input and Output'!D$7="Detritus",Calculations!$C$4,G462))-(SUM('Input and Output'!B$27:B$32))*H461))</f>
        <v>4.4685193442502396</v>
      </c>
      <c r="D462" s="49">
        <f>(('Input and Output'!C$23*'Input and Output'!$B$10)+('Input and Output'!C$24*Calculations!$C$5)+('Input and Output'!C$25*Calculations!$C$6)+('Input and Output'!C$26*(IF('Input and Output'!E$7="Detritus",Calculations!$C$4,H462))-(SUM('Input and Output'!C$27:C$32))*I461))</f>
        <v>37.9764532764666</v>
      </c>
      <c r="E462" s="49">
        <f>(('Input and Output'!D$23*'Input and Output'!$B$10)+('Input and Output'!D$24*Calculations!$C$5)+('Input and Output'!D$25*Calculations!$C$6)+('Input and Output'!D$26*(IF('Input and Output'!F$7="Detritus",Calculations!$C$4,I462))-(SUM('Input and Output'!D$27:D$32))*J461))</f>
        <v>16.837291995576379</v>
      </c>
      <c r="F462" s="49" t="e">
        <f>(('Input and Output'!E$23*'Input and Output'!$B$10)+('Input and Output'!E$24*Calculations!$C$5)+('Input and Output'!E$25*Calculations!$C$6)+('Input and Output'!E$26*(IF('Input and Output'!G$7="Detritus",Calculations!$C$4,J462))-(SUM('Input and Output'!E$27:E$32))*K461))</f>
        <v>#N/A</v>
      </c>
      <c r="H462" s="49">
        <f>IF(H$2="",NA(),C462*$B462+H461)</f>
        <v>319931.39256364061</v>
      </c>
      <c r="I462" s="49">
        <f>IF(I$2="",NA(),D462*$B462+I461)</f>
        <v>2934589.2534125149</v>
      </c>
      <c r="J462" s="49">
        <f>IF(J$2="",NA(),E462*$B462+J461)</f>
        <v>1364823.1015889158</v>
      </c>
      <c r="K462" s="49" t="e">
        <f>IF(K$2="",NA(),F462*$B462+K461)</f>
        <v>#N/A</v>
      </c>
    </row>
    <row r="463" spans="1:11" x14ac:dyDescent="0.4">
      <c r="A463" s="49">
        <v>460</v>
      </c>
      <c r="B463" s="49">
        <f>A463/$B$1</f>
        <v>19.166666666666668</v>
      </c>
      <c r="C463" s="49">
        <f>(('Input and Output'!B$23*'Input and Output'!$B$10)+('Input and Output'!B$24*Calculations!$C$5)+('Input and Output'!B$25*Calculations!$C$6)+('Input and Output'!B$26*(IF('Input and Output'!D$7="Detritus",Calculations!$C$4,G463))-(SUM('Input and Output'!B$27:B$32))*H462))</f>
        <v>4.3861257360910031</v>
      </c>
      <c r="D463" s="49">
        <f>(('Input and Output'!C$23*'Input and Output'!$B$10)+('Input and Output'!C$24*Calculations!$C$5)+('Input and Output'!C$25*Calculations!$C$6)+('Input and Output'!C$26*(IF('Input and Output'!E$7="Detritus",Calculations!$C$4,H463))-(SUM('Input and Output'!C$27:C$32))*I462))</f>
        <v>37.274388235862716</v>
      </c>
      <c r="E463" s="49">
        <f>(('Input and Output'!D$23*'Input and Output'!$B$10)+('Input and Output'!D$24*Calculations!$C$5)+('Input and Output'!D$25*Calculations!$C$6)+('Input and Output'!D$26*(IF('Input and Output'!F$7="Detritus",Calculations!$C$4,I463))-(SUM('Input and Output'!D$27:D$32))*J462))</f>
        <v>16.525265555847</v>
      </c>
      <c r="F463" s="49" t="e">
        <f>(('Input and Output'!E$23*'Input and Output'!$B$10)+('Input and Output'!E$24*Calculations!$C$5)+('Input and Output'!E$25*Calculations!$C$6)+('Input and Output'!E$26*(IF('Input and Output'!G$7="Detritus",Calculations!$C$4,J463))-(SUM('Input and Output'!E$27:E$32))*K462))</f>
        <v>#N/A</v>
      </c>
      <c r="H463" s="49">
        <f>IF(H$2="",NA(),C463*$B463+H462)</f>
        <v>320015.45997358236</v>
      </c>
      <c r="I463" s="49">
        <f>IF(I$2="",NA(),D463*$B463+I462)</f>
        <v>2935303.6791870357</v>
      </c>
      <c r="J463" s="49">
        <f>IF(J$2="",NA(),E463*$B463+J462)</f>
        <v>1365139.8358454029</v>
      </c>
      <c r="K463" s="49" t="e">
        <f>IF(K$2="",NA(),F463*$B463+K462)</f>
        <v>#N/A</v>
      </c>
    </row>
    <row r="464" spans="1:11" x14ac:dyDescent="0.4">
      <c r="A464" s="49">
        <v>461</v>
      </c>
      <c r="B464" s="49">
        <f>A464/$B$1</f>
        <v>19.208333333333332</v>
      </c>
      <c r="C464" s="49">
        <f>(('Input and Output'!B$23*'Input and Output'!$B$10)+('Input and Output'!B$24*Calculations!$C$5)+('Input and Output'!B$25*Calculations!$C$6)+('Input and Output'!B$26*(IF('Input and Output'!D$7="Detritus",Calculations!$C$4,G464))-(SUM('Input and Output'!B$27:B$32))*H463))</f>
        <v>4.3050751605858864</v>
      </c>
      <c r="D464" s="49">
        <f>(('Input and Output'!C$23*'Input and Output'!$B$10)+('Input and Output'!C$24*Calculations!$C$5)+('Input and Output'!C$25*Calculations!$C$6)+('Input and Output'!C$26*(IF('Input and Output'!E$7="Detritus",Calculations!$C$4,H464))-(SUM('Input and Output'!C$27:C$32))*I463))</f>
        <v>36.583806725194336</v>
      </c>
      <c r="E464" s="49">
        <f>(('Input and Output'!D$23*'Input and Output'!$B$10)+('Input and Output'!D$24*Calculations!$C$5)+('Input and Output'!D$25*Calculations!$C$6)+('Input and Output'!D$26*(IF('Input and Output'!F$7="Detritus",Calculations!$C$4,I464))-(SUM('Input and Output'!D$27:D$32))*J463))</f>
        <v>16.218358912668918</v>
      </c>
      <c r="F464" s="49" t="e">
        <f>(('Input and Output'!E$23*'Input and Output'!$B$10)+('Input and Output'!E$24*Calculations!$C$5)+('Input and Output'!E$25*Calculations!$C$6)+('Input and Output'!E$26*(IF('Input and Output'!G$7="Detritus",Calculations!$C$4,J464))-(SUM('Input and Output'!E$27:E$32))*K463))</f>
        <v>#N/A</v>
      </c>
      <c r="H464" s="49">
        <f>IF(H$2="",NA(),C464*$B464+H463)</f>
        <v>320098.15329229197</v>
      </c>
      <c r="I464" s="49">
        <f>IF(I$2="",NA(),D464*$B464+I463)</f>
        <v>2936006.3931412152</v>
      </c>
      <c r="J464" s="49">
        <f>IF(J$2="",NA(),E464*$B464+J463)</f>
        <v>1365451.363489517</v>
      </c>
      <c r="K464" s="49" t="e">
        <f>IF(K$2="",NA(),F464*$B464+K463)</f>
        <v>#N/A</v>
      </c>
    </row>
    <row r="465" spans="1:11" x14ac:dyDescent="0.4">
      <c r="A465" s="49">
        <v>462</v>
      </c>
      <c r="B465" s="49">
        <f>A465/$B$1</f>
        <v>19.25</v>
      </c>
      <c r="C465" s="49">
        <f>(('Input and Output'!B$23*'Input and Output'!$B$10)+('Input and Output'!B$24*Calculations!$C$5)+('Input and Output'!B$25*Calculations!$C$6)+('Input and Output'!B$26*(IF('Input and Output'!D$7="Detritus",Calculations!$C$4,G465))-(SUM('Input and Output'!B$27:B$32))*H464))</f>
        <v>4.2253493658161005</v>
      </c>
      <c r="D465" s="49">
        <f>(('Input and Output'!C$23*'Input and Output'!$B$10)+('Input and Output'!C$24*Calculations!$C$5)+('Input and Output'!C$25*Calculations!$C$6)+('Input and Output'!C$26*(IF('Input and Output'!E$7="Detritus",Calculations!$C$4,H465))-(SUM('Input and Output'!C$27:C$32))*I464))</f>
        <v>35.904551833846199</v>
      </c>
      <c r="E465" s="49">
        <f>(('Input and Output'!D$23*'Input and Output'!$B$10)+('Input and Output'!D$24*Calculations!$C$5)+('Input and Output'!D$25*Calculations!$C$6)+('Input and Output'!D$26*(IF('Input and Output'!F$7="Detritus",Calculations!$C$4,I465))-(SUM('Input and Output'!D$27:D$32))*J464))</f>
        <v>15.916501784642605</v>
      </c>
      <c r="F465" s="49" t="e">
        <f>(('Input and Output'!E$23*'Input and Output'!$B$10)+('Input and Output'!E$24*Calculations!$C$5)+('Input and Output'!E$25*Calculations!$C$6)+('Input and Output'!E$26*(IF('Input and Output'!G$7="Detritus",Calculations!$C$4,J465))-(SUM('Input and Output'!E$27:E$32))*K464))</f>
        <v>#N/A</v>
      </c>
      <c r="H465" s="49">
        <f>IF(H$2="",NA(),C465*$B465+H464)</f>
        <v>320179.49126758392</v>
      </c>
      <c r="I465" s="49">
        <f>IF(I$2="",NA(),D465*$B465+I464)</f>
        <v>2936697.5557640167</v>
      </c>
      <c r="J465" s="49">
        <f>IF(J$2="",NA(),E465*$B465+J464)</f>
        <v>1365757.7561488713</v>
      </c>
      <c r="K465" s="49" t="e">
        <f>IF(K$2="",NA(),F465*$B465+K464)</f>
        <v>#N/A</v>
      </c>
    </row>
    <row r="466" spans="1:11" x14ac:dyDescent="0.4">
      <c r="A466" s="49">
        <v>463</v>
      </c>
      <c r="B466" s="49">
        <f>A466/$B$1</f>
        <v>19.291666666666668</v>
      </c>
      <c r="C466" s="49">
        <f>(('Input and Output'!B$23*'Input and Output'!$B$10)+('Input and Output'!B$24*Calculations!$C$5)+('Input and Output'!B$25*Calculations!$C$6)+('Input and Output'!B$26*(IF('Input and Output'!D$7="Detritus",Calculations!$C$4,G466))-(SUM('Input and Output'!B$27:B$32))*H465))</f>
        <v>4.1469302767493446</v>
      </c>
      <c r="D466" s="49">
        <f>(('Input and Output'!C$23*'Input and Output'!$B$10)+('Input and Output'!C$24*Calculations!$C$5)+('Input and Output'!C$25*Calculations!$C$6)+('Input and Output'!C$26*(IF('Input and Output'!E$7="Detritus",Calculations!$C$4,H466))-(SUM('Input and Output'!C$27:C$32))*I465))</f>
        <v>35.23646819102305</v>
      </c>
      <c r="E466" s="49">
        <f>(('Input and Output'!D$23*'Input and Output'!$B$10)+('Input and Output'!D$24*Calculations!$C$5)+('Input and Output'!D$25*Calculations!$C$6)+('Input and Output'!D$26*(IF('Input and Output'!F$7="Detritus",Calculations!$C$4,I466))-(SUM('Input and Output'!D$27:D$32))*J465))</f>
        <v>15.619624586590362</v>
      </c>
      <c r="F466" s="49" t="e">
        <f>(('Input and Output'!E$23*'Input and Output'!$B$10)+('Input and Output'!E$24*Calculations!$C$5)+('Input and Output'!E$25*Calculations!$C$6)+('Input and Output'!E$26*(IF('Input and Output'!G$7="Detritus",Calculations!$C$4,J466))-(SUM('Input and Output'!E$27:E$32))*K465))</f>
        <v>#N/A</v>
      </c>
      <c r="H466" s="49">
        <f>IF(H$2="",NA(),C466*$B466+H465)</f>
        <v>320259.49246417289</v>
      </c>
      <c r="I466" s="49">
        <f>IF(I$2="",NA(),D466*$B466+I465)</f>
        <v>2937377.3259628685</v>
      </c>
      <c r="J466" s="49">
        <f>IF(J$2="",NA(),E466*$B466+J465)</f>
        <v>1366059.0847398543</v>
      </c>
      <c r="K466" s="49" t="e">
        <f>IF(K$2="",NA(),F466*$B466+K465)</f>
        <v>#N/A</v>
      </c>
    </row>
    <row r="467" spans="1:11" x14ac:dyDescent="0.4">
      <c r="A467" s="49">
        <v>464</v>
      </c>
      <c r="B467" s="49">
        <f>A467/$B$1</f>
        <v>19.333333333333332</v>
      </c>
      <c r="C467" s="49">
        <f>(('Input and Output'!B$23*'Input and Output'!$B$10)+('Input and Output'!B$24*Calculations!$C$5)+('Input and Output'!B$25*Calculations!$C$6)+('Input and Output'!B$26*(IF('Input and Output'!D$7="Detritus",Calculations!$C$4,G467))-(SUM('Input and Output'!B$27:B$32))*H466))</f>
        <v>4.0697999948823167</v>
      </c>
      <c r="D467" s="49">
        <f>(('Input and Output'!C$23*'Input and Output'!$B$10)+('Input and Output'!C$24*Calculations!$C$5)+('Input and Output'!C$25*Calculations!$C$6)+('Input and Output'!C$26*(IF('Input and Output'!E$7="Detritus",Calculations!$C$4,H467))-(SUM('Input and Output'!C$27:C$32))*I466))</f>
        <v>34.579401962100746</v>
      </c>
      <c r="E467" s="49">
        <f>(('Input and Output'!D$23*'Input and Output'!$B$10)+('Input and Output'!D$24*Calculations!$C$5)+('Input and Output'!D$25*Calculations!$C$6)+('Input and Output'!D$26*(IF('Input and Output'!F$7="Detritus",Calculations!$C$4,I467))-(SUM('Input and Output'!D$27:D$32))*J466))</f>
        <v>15.327658427606366</v>
      </c>
      <c r="F467" s="49" t="e">
        <f>(('Input and Output'!E$23*'Input and Output'!$B$10)+('Input and Output'!E$24*Calculations!$C$5)+('Input and Output'!E$25*Calculations!$C$6)+('Input and Output'!E$26*(IF('Input and Output'!G$7="Detritus",Calculations!$C$4,J467))-(SUM('Input and Output'!E$27:E$32))*K466))</f>
        <v>#N/A</v>
      </c>
      <c r="H467" s="49">
        <f>IF(H$2="",NA(),C467*$B467+H466)</f>
        <v>320338.17526407394</v>
      </c>
      <c r="I467" s="49">
        <f>IF(I$2="",NA(),D467*$B467+I466)</f>
        <v>2938045.8610674692</v>
      </c>
      <c r="J467" s="49">
        <f>IF(J$2="",NA(),E467*$B467+J466)</f>
        <v>1366355.4194694548</v>
      </c>
      <c r="K467" s="49" t="e">
        <f>IF(K$2="",NA(),F467*$B467+K466)</f>
        <v>#N/A</v>
      </c>
    </row>
    <row r="468" spans="1:11" x14ac:dyDescent="0.4">
      <c r="A468" s="49">
        <v>465</v>
      </c>
      <c r="B468" s="49">
        <f>A468/$B$1</f>
        <v>19.375</v>
      </c>
      <c r="C468" s="49">
        <f>(('Input and Output'!B$23*'Input and Output'!$B$10)+('Input and Output'!B$24*Calculations!$C$5)+('Input and Output'!B$25*Calculations!$C$6)+('Input and Output'!B$26*(IF('Input and Output'!D$7="Detritus",Calculations!$C$4,G468))-(SUM('Input and Output'!B$27:B$32))*H467))</f>
        <v>3.9939407978551458</v>
      </c>
      <c r="D468" s="49">
        <f>(('Input and Output'!C$23*'Input and Output'!$B$10)+('Input and Output'!C$24*Calculations!$C$5)+('Input and Output'!C$25*Calculations!$C$6)+('Input and Output'!C$26*(IF('Input and Output'!E$7="Detritus",Calculations!$C$4,H468))-(SUM('Input and Output'!C$27:C$32))*I467))</f>
        <v>33.933200844729981</v>
      </c>
      <c r="E468" s="49">
        <f>(('Input and Output'!D$23*'Input and Output'!$B$10)+('Input and Output'!D$24*Calculations!$C$5)+('Input and Output'!D$25*Calculations!$C$6)+('Input and Output'!D$26*(IF('Input and Output'!F$7="Detritus",Calculations!$C$4,I468))-(SUM('Input and Output'!D$27:D$32))*J467))</f>
        <v>15.040535109470511</v>
      </c>
      <c r="F468" s="49" t="e">
        <f>(('Input and Output'!E$23*'Input and Output'!$B$10)+('Input and Output'!E$24*Calculations!$C$5)+('Input and Output'!E$25*Calculations!$C$6)+('Input and Output'!E$26*(IF('Input and Output'!G$7="Detritus",Calculations!$C$4,J468))-(SUM('Input and Output'!E$27:E$32))*K467))</f>
        <v>#N/A</v>
      </c>
      <c r="H468" s="49">
        <f>IF(H$2="",NA(),C468*$B468+H467)</f>
        <v>320415.55786703236</v>
      </c>
      <c r="I468" s="49">
        <f>IF(I$2="",NA(),D468*$B468+I467)</f>
        <v>2938703.316833836</v>
      </c>
      <c r="J468" s="49">
        <f>IF(J$2="",NA(),E468*$B468+J467)</f>
        <v>1366646.8298372007</v>
      </c>
      <c r="K468" s="49" t="e">
        <f>IF(K$2="",NA(),F468*$B468+K467)</f>
        <v>#N/A</v>
      </c>
    </row>
    <row r="469" spans="1:11" x14ac:dyDescent="0.4">
      <c r="A469" s="49">
        <v>466</v>
      </c>
      <c r="B469" s="49">
        <f>A469/$B$1</f>
        <v>19.416666666666668</v>
      </c>
      <c r="C469" s="49">
        <f>(('Input and Output'!B$23*'Input and Output'!$B$10)+('Input and Output'!B$24*Calculations!$C$5)+('Input and Output'!B$25*Calculations!$C$6)+('Input and Output'!B$26*(IF('Input and Output'!D$7="Detritus",Calculations!$C$4,G469))-(SUM('Input and Output'!B$27:B$32))*H468))</f>
        <v>3.9193351390367184</v>
      </c>
      <c r="D469" s="49">
        <f>(('Input and Output'!C$23*'Input and Output'!$B$10)+('Input and Output'!C$24*Calculations!$C$5)+('Input and Output'!C$25*Calculations!$C$6)+('Input and Output'!C$26*(IF('Input and Output'!E$7="Detritus",Calculations!$C$4,H469))-(SUM('Input and Output'!C$27:C$32))*I468))</f>
        <v>33.297714064704451</v>
      </c>
      <c r="E469" s="49">
        <f>(('Input and Output'!D$23*'Input and Output'!$B$10)+('Input and Output'!D$24*Calculations!$C$5)+('Input and Output'!D$25*Calculations!$C$6)+('Input and Output'!D$26*(IF('Input and Output'!F$7="Detritus",Calculations!$C$4,I469))-(SUM('Input and Output'!D$27:D$32))*J468))</f>
        <v>14.758187124276446</v>
      </c>
      <c r="F469" s="49" t="e">
        <f>(('Input and Output'!E$23*'Input and Output'!$B$10)+('Input and Output'!E$24*Calculations!$C$5)+('Input and Output'!E$25*Calculations!$C$6)+('Input and Output'!E$26*(IF('Input and Output'!G$7="Detritus",Calculations!$C$4,J469))-(SUM('Input and Output'!E$27:E$32))*K468))</f>
        <v>#N/A</v>
      </c>
      <c r="H469" s="49">
        <f>IF(H$2="",NA(),C469*$B469+H468)</f>
        <v>320491.65829098201</v>
      </c>
      <c r="I469" s="49">
        <f>IF(I$2="",NA(),D469*$B469+I468)</f>
        <v>2939349.8474485925</v>
      </c>
      <c r="J469" s="49">
        <f>IF(J$2="",NA(),E469*$B469+J468)</f>
        <v>1366933.384637197</v>
      </c>
      <c r="K469" s="49" t="e">
        <f>IF(K$2="",NA(),F469*$B469+K468)</f>
        <v>#N/A</v>
      </c>
    </row>
    <row r="470" spans="1:11" x14ac:dyDescent="0.4">
      <c r="A470" s="49">
        <v>467</v>
      </c>
      <c r="B470" s="49">
        <f>A470/$B$1</f>
        <v>19.458333333333332</v>
      </c>
      <c r="C470" s="49">
        <f>(('Input and Output'!B$23*'Input and Output'!$B$10)+('Input and Output'!B$24*Calculations!$C$5)+('Input and Output'!B$25*Calculations!$C$6)+('Input and Output'!B$26*(IF('Input and Output'!D$7="Detritus",Calculations!$C$4,G470))-(SUM('Input and Output'!B$27:B$32))*H469))</f>
        <v>3.8459656470828349</v>
      </c>
      <c r="D470" s="49">
        <f>(('Input and Output'!C$23*'Input and Output'!$B$10)+('Input and Output'!C$24*Calculations!$C$5)+('Input and Output'!C$25*Calculations!$C$6)+('Input and Output'!C$26*(IF('Input and Output'!E$7="Detritus",Calculations!$C$4,H470))-(SUM('Input and Output'!C$27:C$32))*I469))</f>
        <v>32.672792371619835</v>
      </c>
      <c r="E470" s="49">
        <f>(('Input and Output'!D$23*'Input and Output'!$B$10)+('Input and Output'!D$24*Calculations!$C$5)+('Input and Output'!D$25*Calculations!$C$6)+('Input and Output'!D$26*(IF('Input and Output'!F$7="Detritus",Calculations!$C$4,I470))-(SUM('Input and Output'!D$27:D$32))*J469))</f>
        <v>14.48054765249617</v>
      </c>
      <c r="F470" s="49" t="e">
        <f>(('Input and Output'!E$23*'Input and Output'!$B$10)+('Input and Output'!E$24*Calculations!$C$5)+('Input and Output'!E$25*Calculations!$C$6)+('Input and Output'!E$26*(IF('Input and Output'!G$7="Detritus",Calculations!$C$4,J470))-(SUM('Input and Output'!E$27:E$32))*K469))</f>
        <v>#N/A</v>
      </c>
      <c r="H470" s="49">
        <f>IF(H$2="",NA(),C470*$B470+H469)</f>
        <v>320566.49437253148</v>
      </c>
      <c r="I470" s="49">
        <f>IF(I$2="",NA(),D470*$B470+I469)</f>
        <v>2939985.6055334904</v>
      </c>
      <c r="J470" s="49">
        <f>IF(J$2="",NA(),E470*$B470+J469)</f>
        <v>1367215.1519602686</v>
      </c>
      <c r="K470" s="49" t="e">
        <f>IF(K$2="",NA(),F470*$B470+K469)</f>
        <v>#N/A</v>
      </c>
    </row>
    <row r="471" spans="1:11" x14ac:dyDescent="0.4">
      <c r="A471" s="49">
        <v>468</v>
      </c>
      <c r="B471" s="49">
        <f>A471/$B$1</f>
        <v>19.5</v>
      </c>
      <c r="C471" s="49">
        <f>(('Input and Output'!B$23*'Input and Output'!$B$10)+('Input and Output'!B$24*Calculations!$C$5)+('Input and Output'!B$25*Calculations!$C$6)+('Input and Output'!B$26*(IF('Input and Output'!D$7="Detritus",Calculations!$C$4,G471))-(SUM('Input and Output'!B$27:B$32))*H470))</f>
        <v>3.7738151254677064</v>
      </c>
      <c r="D471" s="49">
        <f>(('Input and Output'!C$23*'Input and Output'!$B$10)+('Input and Output'!C$24*Calculations!$C$5)+('Input and Output'!C$25*Calculations!$C$6)+('Input and Output'!C$26*(IF('Input and Output'!E$7="Detritus",Calculations!$C$4,H471))-(SUM('Input and Output'!C$27:C$32))*I470))</f>
        <v>32.058288034293582</v>
      </c>
      <c r="E471" s="49">
        <f>(('Input and Output'!D$23*'Input and Output'!$B$10)+('Input and Output'!D$24*Calculations!$C$5)+('Input and Output'!D$25*Calculations!$C$6)+('Input and Output'!D$26*(IF('Input and Output'!F$7="Detritus",Calculations!$C$4,I471))-(SUM('Input and Output'!D$27:D$32))*J470))</f>
        <v>14.207550560811796</v>
      </c>
      <c r="F471" s="49" t="e">
        <f>(('Input and Output'!E$23*'Input and Output'!$B$10)+('Input and Output'!E$24*Calculations!$C$5)+('Input and Output'!E$25*Calculations!$C$6)+('Input and Output'!E$26*(IF('Input and Output'!G$7="Detritus",Calculations!$C$4,J471))-(SUM('Input and Output'!E$27:E$32))*K470))</f>
        <v>#N/A</v>
      </c>
      <c r="H471" s="49">
        <f>IF(H$2="",NA(),C471*$B471+H470)</f>
        <v>320640.08376747812</v>
      </c>
      <c r="I471" s="49">
        <f>IF(I$2="",NA(),D471*$B471+I470)</f>
        <v>2940610.7421501591</v>
      </c>
      <c r="J471" s="49">
        <f>IF(J$2="",NA(),E471*$B471+J470)</f>
        <v>1367492.1991962045</v>
      </c>
      <c r="K471" s="49" t="e">
        <f>IF(K$2="",NA(),F471*$B471+K470)</f>
        <v>#N/A</v>
      </c>
    </row>
    <row r="472" spans="1:11" x14ac:dyDescent="0.4">
      <c r="A472" s="49">
        <v>469</v>
      </c>
      <c r="B472" s="49">
        <f>A472/$B$1</f>
        <v>19.541666666666668</v>
      </c>
      <c r="C472" s="49">
        <f>(('Input and Output'!B$23*'Input and Output'!$B$10)+('Input and Output'!B$24*Calculations!$C$5)+('Input and Output'!B$25*Calculations!$C$6)+('Input and Output'!B$26*(IF('Input and Output'!D$7="Detritus",Calculations!$C$4,G472))-(SUM('Input and Output'!B$27:B$32))*H471))</f>
        <v>3.7028665519879951</v>
      </c>
      <c r="D472" s="49">
        <f>(('Input and Output'!C$23*'Input and Output'!$B$10)+('Input and Output'!C$24*Calculations!$C$5)+('Input and Output'!C$25*Calculations!$C$6)+('Input and Output'!C$26*(IF('Input and Output'!E$7="Detritus",Calculations!$C$4,H472))-(SUM('Input and Output'!C$27:C$32))*I471))</f>
        <v>31.454054835990064</v>
      </c>
      <c r="E472" s="49">
        <f>(('Input and Output'!D$23*'Input and Output'!$B$10)+('Input and Output'!D$24*Calculations!$C$5)+('Input and Output'!D$25*Calculations!$C$6)+('Input and Output'!D$26*(IF('Input and Output'!F$7="Detritus",Calculations!$C$4,I472))-(SUM('Input and Output'!D$27:D$32))*J471))</f>
        <v>13.939130399860005</v>
      </c>
      <c r="F472" s="49" t="e">
        <f>(('Input and Output'!E$23*'Input and Output'!$B$10)+('Input and Output'!E$24*Calculations!$C$5)+('Input and Output'!E$25*Calculations!$C$6)+('Input and Output'!E$26*(IF('Input and Output'!G$7="Detritus",Calculations!$C$4,J472))-(SUM('Input and Output'!E$27:E$32))*K471))</f>
        <v>#N/A</v>
      </c>
      <c r="H472" s="49">
        <f>IF(H$2="",NA(),C472*$B472+H471)</f>
        <v>320712.44395134819</v>
      </c>
      <c r="I472" s="49">
        <f>IF(I$2="",NA(),D472*$B472+I471)</f>
        <v>2941225.406805079</v>
      </c>
      <c r="J472" s="49">
        <f>IF(J$2="",NA(),E472*$B472+J471)</f>
        <v>1367764.5930361019</v>
      </c>
      <c r="K472" s="49" t="e">
        <f>IF(K$2="",NA(),F472*$B472+K471)</f>
        <v>#N/A</v>
      </c>
    </row>
    <row r="473" spans="1:11" x14ac:dyDescent="0.4">
      <c r="A473" s="49">
        <v>470</v>
      </c>
      <c r="B473" s="49">
        <f>A473/$B$1</f>
        <v>19.583333333333332</v>
      </c>
      <c r="C473" s="49">
        <f>(('Input and Output'!B$23*'Input and Output'!$B$10)+('Input and Output'!B$24*Calculations!$C$5)+('Input and Output'!B$25*Calculations!$C$6)+('Input and Output'!B$26*(IF('Input and Output'!D$7="Detritus",Calculations!$C$4,G473))-(SUM('Input and Output'!B$27:B$32))*H472))</f>
        <v>3.6331030782424705</v>
      </c>
      <c r="D473" s="49">
        <f>(('Input and Output'!C$23*'Input and Output'!$B$10)+('Input and Output'!C$24*Calculations!$C$5)+('Input and Output'!C$25*Calculations!$C$6)+('Input and Output'!C$26*(IF('Input and Output'!E$7="Detritus",Calculations!$C$4,H473))-(SUM('Input and Output'!C$27:C$32))*I472))</f>
        <v>30.859948069426537</v>
      </c>
      <c r="E473" s="49">
        <f>(('Input and Output'!D$23*'Input and Output'!$B$10)+('Input and Output'!D$24*Calculations!$C$5)+('Input and Output'!D$25*Calculations!$C$6)+('Input and Output'!D$26*(IF('Input and Output'!F$7="Detritus",Calculations!$C$4,I473))-(SUM('Input and Output'!D$27:D$32))*J472))</f>
        <v>13.675222401554493</v>
      </c>
      <c r="F473" s="49" t="e">
        <f>(('Input and Output'!E$23*'Input and Output'!$B$10)+('Input and Output'!E$24*Calculations!$C$5)+('Input and Output'!E$25*Calculations!$C$6)+('Input and Output'!E$26*(IF('Input and Output'!G$7="Detritus",Calculations!$C$4,J473))-(SUM('Input and Output'!E$27:E$32))*K472))</f>
        <v>#N/A</v>
      </c>
      <c r="H473" s="49">
        <f>IF(H$2="",NA(),C473*$B473+H472)</f>
        <v>320783.59221996379</v>
      </c>
      <c r="I473" s="49">
        <f>IF(I$2="",NA(),D473*$B473+I472)</f>
        <v>2941829.7474547718</v>
      </c>
      <c r="J473" s="49">
        <f>IF(J$2="",NA(),E473*$B473+J472)</f>
        <v>1368032.3994747989</v>
      </c>
      <c r="K473" s="49" t="e">
        <f>IF(K$2="",NA(),F473*$B473+K472)</f>
        <v>#N/A</v>
      </c>
    </row>
    <row r="474" spans="1:11" x14ac:dyDescent="0.4">
      <c r="A474" s="49">
        <v>471</v>
      </c>
      <c r="B474" s="49">
        <f>A474/$B$1</f>
        <v>19.625</v>
      </c>
      <c r="C474" s="49">
        <f>(('Input and Output'!B$23*'Input and Output'!$B$10)+('Input and Output'!B$24*Calculations!$C$5)+('Input and Output'!B$25*Calculations!$C$6)+('Input and Output'!B$26*(IF('Input and Output'!D$7="Detritus",Calculations!$C$4,G474))-(SUM('Input and Output'!B$27:B$32))*H473))</f>
        <v>3.5645080290851183</v>
      </c>
      <c r="D474" s="49">
        <f>(('Input and Output'!C$23*'Input and Output'!$B$10)+('Input and Output'!C$24*Calculations!$C$5)+('Input and Output'!C$25*Calculations!$C$6)+('Input and Output'!C$26*(IF('Input and Output'!E$7="Detritus",Calculations!$C$4,H474))-(SUM('Input and Output'!C$27:C$32))*I473))</f>
        <v>30.275824531572653</v>
      </c>
      <c r="E474" s="49">
        <f>(('Input and Output'!D$23*'Input and Output'!$B$10)+('Input and Output'!D$24*Calculations!$C$5)+('Input and Output'!D$25*Calculations!$C$6)+('Input and Output'!D$26*(IF('Input and Output'!F$7="Detritus",Calculations!$C$4,I474))-(SUM('Input and Output'!D$27:D$32))*J473))</f>
        <v>13.415762477005046</v>
      </c>
      <c r="F474" s="49" t="e">
        <f>(('Input and Output'!E$23*'Input and Output'!$B$10)+('Input and Output'!E$24*Calculations!$C$5)+('Input and Output'!E$25*Calculations!$C$6)+('Input and Output'!E$26*(IF('Input and Output'!G$7="Detritus",Calculations!$C$4,J474))-(SUM('Input and Output'!E$27:E$32))*K473))</f>
        <v>#N/A</v>
      </c>
      <c r="H474" s="49">
        <f>IF(H$2="",NA(),C474*$B474+H473)</f>
        <v>320853.54569003457</v>
      </c>
      <c r="I474" s="49">
        <f>IF(I$2="",NA(),D474*$B474+I473)</f>
        <v>2942423.910511204</v>
      </c>
      <c r="J474" s="49">
        <f>IF(J$2="",NA(),E474*$B474+J473)</f>
        <v>1368295.6838134101</v>
      </c>
      <c r="K474" s="49" t="e">
        <f>IF(K$2="",NA(),F474*$B474+K473)</f>
        <v>#N/A</v>
      </c>
    </row>
    <row r="475" spans="1:11" x14ac:dyDescent="0.4">
      <c r="A475" s="49">
        <v>472</v>
      </c>
      <c r="B475" s="49">
        <f>A475/$B$1</f>
        <v>19.666666666666668</v>
      </c>
      <c r="C475" s="49">
        <f>(('Input and Output'!B$23*'Input and Output'!$B$10)+('Input and Output'!B$24*Calculations!$C$5)+('Input and Output'!B$25*Calculations!$C$6)+('Input and Output'!B$26*(IF('Input and Output'!D$7="Detritus",Calculations!$C$4,G475))-(SUM('Input and Output'!B$27:B$32))*H474))</f>
        <v>3.4970649020547171</v>
      </c>
      <c r="D475" s="49">
        <f>(('Input and Output'!C$23*'Input and Output'!$B$10)+('Input and Output'!C$24*Calculations!$C$5)+('Input and Output'!C$25*Calculations!$C$6)+('Input and Output'!C$26*(IF('Input and Output'!E$7="Detritus",Calculations!$C$4,H475))-(SUM('Input and Output'!C$27:C$32))*I474))</f>
        <v>29.701542518248061</v>
      </c>
      <c r="E475" s="49">
        <f>(('Input and Output'!D$23*'Input and Output'!$B$10)+('Input and Output'!D$24*Calculations!$C$5)+('Input and Output'!D$25*Calculations!$C$6)+('Input and Output'!D$26*(IF('Input and Output'!F$7="Detritus",Calculations!$C$4,I475))-(SUM('Input and Output'!D$27:D$32))*J474))</f>
        <v>13.16068721359261</v>
      </c>
      <c r="F475" s="49" t="e">
        <f>(('Input and Output'!E$23*'Input and Output'!$B$10)+('Input and Output'!E$24*Calculations!$C$5)+('Input and Output'!E$25*Calculations!$C$6)+('Input and Output'!E$26*(IF('Input and Output'!G$7="Detritus",Calculations!$C$4,J475))-(SUM('Input and Output'!E$27:E$32))*K474))</f>
        <v>#N/A</v>
      </c>
      <c r="H475" s="49">
        <f>IF(H$2="",NA(),C475*$B475+H474)</f>
        <v>320922.32129977498</v>
      </c>
      <c r="I475" s="49">
        <f>IF(I$2="",NA(),D475*$B475+I474)</f>
        <v>2943008.0408473965</v>
      </c>
      <c r="J475" s="49">
        <f>IF(J$2="",NA(),E475*$B475+J474)</f>
        <v>1368554.510661944</v>
      </c>
      <c r="K475" s="49" t="e">
        <f>IF(K$2="",NA(),F475*$B475+K474)</f>
        <v>#N/A</v>
      </c>
    </row>
    <row r="476" spans="1:11" x14ac:dyDescent="0.4">
      <c r="A476" s="49">
        <v>473</v>
      </c>
      <c r="B476" s="49">
        <f>A476/$B$1</f>
        <v>19.708333333333332</v>
      </c>
      <c r="C476" s="49">
        <f>(('Input and Output'!B$23*'Input and Output'!$B$10)+('Input and Output'!B$24*Calculations!$C$5)+('Input and Output'!B$25*Calculations!$C$6)+('Input and Output'!B$26*(IF('Input and Output'!D$7="Detritus",Calculations!$C$4,G476))-(SUM('Input and Output'!B$27:B$32))*H475))</f>
        <v>3.4307573667798579</v>
      </c>
      <c r="D476" s="49">
        <f>(('Input and Output'!C$23*'Input and Output'!$B$10)+('Input and Output'!C$24*Calculations!$C$5)+('Input and Output'!C$25*Calculations!$C$6)+('Input and Output'!C$26*(IF('Input and Output'!E$7="Detritus",Calculations!$C$4,H476))-(SUM('Input and Output'!C$27:C$32))*I475))</f>
        <v>29.136961818553573</v>
      </c>
      <c r="E476" s="49">
        <f>(('Input and Output'!D$23*'Input and Output'!$B$10)+('Input and Output'!D$24*Calculations!$C$5)+('Input and Output'!D$25*Calculations!$C$6)+('Input and Output'!D$26*(IF('Input and Output'!F$7="Detritus",Calculations!$C$4,I476))-(SUM('Input and Output'!D$27:D$32))*J475))</f>
        <v>12.909933872699185</v>
      </c>
      <c r="F476" s="49" t="e">
        <f>(('Input and Output'!E$23*'Input and Output'!$B$10)+('Input and Output'!E$24*Calculations!$C$5)+('Input and Output'!E$25*Calculations!$C$6)+('Input and Output'!E$26*(IF('Input and Output'!G$7="Detritus",Calculations!$C$4,J476))-(SUM('Input and Output'!E$27:E$32))*K475))</f>
        <v>#N/A</v>
      </c>
      <c r="H476" s="49">
        <f>IF(H$2="",NA(),C476*$B476+H475)</f>
        <v>320989.93580954528</v>
      </c>
      <c r="I476" s="49">
        <f>IF(I$2="",NA(),D476*$B476+I475)</f>
        <v>2943582.2818032373</v>
      </c>
      <c r="J476" s="49">
        <f>IF(J$2="",NA(),E476*$B476+J475)</f>
        <v>1368808.9439420186</v>
      </c>
      <c r="K476" s="49" t="e">
        <f>IF(K$2="",NA(),F476*$B476+K475)</f>
        <v>#N/A</v>
      </c>
    </row>
    <row r="477" spans="1:11" x14ac:dyDescent="0.4">
      <c r="A477" s="49">
        <v>474</v>
      </c>
      <c r="B477" s="49">
        <f>A477/$B$1</f>
        <v>19.75</v>
      </c>
      <c r="C477" s="49">
        <f>(('Input and Output'!B$23*'Input and Output'!$B$10)+('Input and Output'!B$24*Calculations!$C$5)+('Input and Output'!B$25*Calculations!$C$6)+('Input and Output'!B$26*(IF('Input and Output'!D$7="Detritus",Calculations!$C$4,G477))-(SUM('Input and Output'!B$27:B$32))*H476))</f>
        <v>3.3655692643609427</v>
      </c>
      <c r="D477" s="49">
        <f>(('Input and Output'!C$23*'Input and Output'!$B$10)+('Input and Output'!C$24*Calculations!$C$5)+('Input and Output'!C$25*Calculations!$C$6)+('Input and Output'!C$26*(IF('Input and Output'!E$7="Detritus",Calculations!$C$4,H477))-(SUM('Input and Output'!C$27:C$32))*I476))</f>
        <v>28.58194370905494</v>
      </c>
      <c r="E477" s="49">
        <f>(('Input and Output'!D$23*'Input and Output'!$B$10)+('Input and Output'!D$24*Calculations!$C$5)+('Input and Output'!D$25*Calculations!$C$6)+('Input and Output'!D$26*(IF('Input and Output'!F$7="Detritus",Calculations!$C$4,I477))-(SUM('Input and Output'!D$27:D$32))*J476))</f>
        <v>12.663440386477305</v>
      </c>
      <c r="F477" s="49" t="e">
        <f>(('Input and Output'!E$23*'Input and Output'!$B$10)+('Input and Output'!E$24*Calculations!$C$5)+('Input and Output'!E$25*Calculations!$C$6)+('Input and Output'!E$26*(IF('Input and Output'!G$7="Detritus",Calculations!$C$4,J477))-(SUM('Input and Output'!E$27:E$32))*K476))</f>
        <v>#N/A</v>
      </c>
      <c r="H477" s="49">
        <f>IF(H$2="",NA(),C477*$B477+H476)</f>
        <v>321056.40580251638</v>
      </c>
      <c r="I477" s="49">
        <f>IF(I$2="",NA(),D477*$B477+I476)</f>
        <v>2944146.775191491</v>
      </c>
      <c r="J477" s="49">
        <f>IF(J$2="",NA(),E477*$B477+J476)</f>
        <v>1369059.0468896516</v>
      </c>
      <c r="K477" s="49" t="e">
        <f>IF(K$2="",NA(),F477*$B477+K476)</f>
        <v>#N/A</v>
      </c>
    </row>
    <row r="478" spans="1:11" x14ac:dyDescent="0.4">
      <c r="A478" s="49">
        <v>475</v>
      </c>
      <c r="B478" s="49">
        <f>A478/$B$1</f>
        <v>19.791666666666668</v>
      </c>
      <c r="C478" s="49">
        <f>(('Input and Output'!B$23*'Input and Output'!$B$10)+('Input and Output'!B$24*Calculations!$C$5)+('Input and Output'!B$25*Calculations!$C$6)+('Input and Output'!B$26*(IF('Input and Output'!D$7="Detritus",Calculations!$C$4,G478))-(SUM('Input and Output'!B$27:B$32))*H477))</f>
        <v>3.3014846067288772</v>
      </c>
      <c r="D478" s="49">
        <f>(('Input and Output'!C$23*'Input and Output'!$B$10)+('Input and Output'!C$24*Calculations!$C$5)+('Input and Output'!C$25*Calculations!$C$6)+('Input and Output'!C$26*(IF('Input and Output'!E$7="Detritus",Calculations!$C$4,H478))-(SUM('Input and Output'!C$27:C$32))*I477))</f>
        <v>28.036350947844767</v>
      </c>
      <c r="E478" s="49">
        <f>(('Input and Output'!D$23*'Input and Output'!$B$10)+('Input and Output'!D$24*Calculations!$C$5)+('Input and Output'!D$25*Calculations!$C$6)+('Input and Output'!D$26*(IF('Input and Output'!F$7="Detritus",Calculations!$C$4,I478))-(SUM('Input and Output'!D$27:D$32))*J477))</f>
        <v>12.421145355652698</v>
      </c>
      <c r="F478" s="49" t="e">
        <f>(('Input and Output'!E$23*'Input and Output'!$B$10)+('Input and Output'!E$24*Calculations!$C$5)+('Input and Output'!E$25*Calculations!$C$6)+('Input and Output'!E$26*(IF('Input and Output'!G$7="Detritus",Calculations!$C$4,J478))-(SUM('Input and Output'!E$27:E$32))*K477))</f>
        <v>#N/A</v>
      </c>
      <c r="H478" s="49">
        <f>IF(H$2="",NA(),C478*$B478+H477)</f>
        <v>321121.74768535787</v>
      </c>
      <c r="I478" s="49">
        <f>IF(I$2="",NA(),D478*$B478+I477)</f>
        <v>2944701.6613040003</v>
      </c>
      <c r="J478" s="49">
        <f>IF(J$2="",NA(),E478*$B478+J477)</f>
        <v>1369304.882058149</v>
      </c>
      <c r="K478" s="49" t="e">
        <f>IF(K$2="",NA(),F478*$B478+K477)</f>
        <v>#N/A</v>
      </c>
    </row>
    <row r="479" spans="1:11" x14ac:dyDescent="0.4">
      <c r="A479" s="49">
        <v>476</v>
      </c>
      <c r="B479" s="49">
        <f>A479/$B$1</f>
        <v>19.833333333333332</v>
      </c>
      <c r="C479" s="49">
        <f>(('Input and Output'!B$23*'Input and Output'!$B$10)+('Input and Output'!B$24*Calculations!$C$5)+('Input and Output'!B$25*Calculations!$C$6)+('Input and Output'!B$26*(IF('Input and Output'!D$7="Detritus",Calculations!$C$4,G479))-(SUM('Input and Output'!B$27:B$32))*H478))</f>
        <v>3.2384875759822194</v>
      </c>
      <c r="D479" s="49">
        <f>(('Input and Output'!C$23*'Input and Output'!$B$10)+('Input and Output'!C$24*Calculations!$C$5)+('Input and Output'!C$25*Calculations!$C$6)+('Input and Output'!C$26*(IF('Input and Output'!E$7="Detritus",Calculations!$C$4,H479))-(SUM('Input and Output'!C$27:C$32))*I478))</f>
        <v>27.500047768382501</v>
      </c>
      <c r="E479" s="49">
        <f>(('Input and Output'!D$23*'Input and Output'!$B$10)+('Input and Output'!D$24*Calculations!$C$5)+('Input and Output'!D$25*Calculations!$C$6)+('Input and Output'!D$26*(IF('Input and Output'!F$7="Detritus",Calculations!$C$4,I479))-(SUM('Input and Output'!D$27:D$32))*J478))</f>
        <v>12.182988046031824</v>
      </c>
      <c r="F479" s="49" t="e">
        <f>(('Input and Output'!E$23*'Input and Output'!$B$10)+('Input and Output'!E$24*Calculations!$C$5)+('Input and Output'!E$25*Calculations!$C$6)+('Input and Output'!E$26*(IF('Input and Output'!G$7="Detritus",Calculations!$C$4,J479))-(SUM('Input and Output'!E$27:E$32))*K478))</f>
        <v>#N/A</v>
      </c>
      <c r="H479" s="49">
        <f>IF(H$2="",NA(),C479*$B479+H478)</f>
        <v>321185.97768894816</v>
      </c>
      <c r="I479" s="49">
        <f>IF(I$2="",NA(),D479*$B479+I478)</f>
        <v>2945247.0789180733</v>
      </c>
      <c r="J479" s="49">
        <f>IF(J$2="",NA(),E479*$B479+J478)</f>
        <v>1369546.511321062</v>
      </c>
      <c r="K479" s="49" t="e">
        <f>IF(K$2="",NA(),F479*$B479+K478)</f>
        <v>#N/A</v>
      </c>
    </row>
    <row r="480" spans="1:11" x14ac:dyDescent="0.4">
      <c r="A480" s="49">
        <v>477</v>
      </c>
      <c r="B480" s="49">
        <f>A480/$B$1</f>
        <v>19.875</v>
      </c>
      <c r="C480" s="49">
        <f>(('Input and Output'!B$23*'Input and Output'!$B$10)+('Input and Output'!B$24*Calculations!$C$5)+('Input and Output'!B$25*Calculations!$C$6)+('Input and Output'!B$26*(IF('Input and Output'!D$7="Detritus",Calculations!$C$4,G480))-(SUM('Input and Output'!B$27:B$32))*H479))</f>
        <v>3.1765625237022164</v>
      </c>
      <c r="D480" s="49">
        <f>(('Input and Output'!C$23*'Input and Output'!$B$10)+('Input and Output'!C$24*Calculations!$C$5)+('Input and Output'!C$25*Calculations!$C$6)+('Input and Output'!C$26*(IF('Input and Output'!E$7="Detritus",Calculations!$C$4,H480))-(SUM('Input and Output'!C$27:C$32))*I479))</f>
        <v>26.972899873163442</v>
      </c>
      <c r="E480" s="49">
        <f>(('Input and Output'!D$23*'Input and Output'!$B$10)+('Input and Output'!D$24*Calculations!$C$5)+('Input and Output'!D$25*Calculations!$C$6)+('Input and Output'!D$26*(IF('Input and Output'!F$7="Detritus",Calculations!$C$4,I480))-(SUM('Input and Output'!D$27:D$32))*J479))</f>
        <v>11.94890838594074</v>
      </c>
      <c r="F480" s="49" t="e">
        <f>(('Input and Output'!E$23*'Input and Output'!$B$10)+('Input and Output'!E$24*Calculations!$C$5)+('Input and Output'!E$25*Calculations!$C$6)+('Input and Output'!E$26*(IF('Input and Output'!G$7="Detritus",Calculations!$C$4,J480))-(SUM('Input and Output'!E$27:E$32))*K479))</f>
        <v>#N/A</v>
      </c>
      <c r="H480" s="49">
        <f>IF(H$2="",NA(),C480*$B480+H479)</f>
        <v>321249.11186910677</v>
      </c>
      <c r="I480" s="49">
        <f>IF(I$2="",NA(),D480*$B480+I479)</f>
        <v>2945783.1653030524</v>
      </c>
      <c r="J480" s="49">
        <f>IF(J$2="",NA(),E480*$B480+J479)</f>
        <v>1369783.9958752326</v>
      </c>
      <c r="K480" s="49" t="e">
        <f>IF(K$2="",NA(),F480*$B480+K479)</f>
        <v>#N/A</v>
      </c>
    </row>
    <row r="481" spans="1:11" x14ac:dyDescent="0.4">
      <c r="A481" s="49">
        <v>478</v>
      </c>
      <c r="B481" s="49">
        <f>A481/$B$1</f>
        <v>19.916666666666668</v>
      </c>
      <c r="C481" s="49">
        <f>(('Input and Output'!B$23*'Input and Output'!$B$10)+('Input and Output'!B$24*Calculations!$C$5)+('Input and Output'!B$25*Calculations!$C$6)+('Input and Output'!B$26*(IF('Input and Output'!D$7="Detritus",Calculations!$C$4,G481))-(SUM('Input and Output'!B$27:B$32))*H480))</f>
        <v>3.1156939702467525</v>
      </c>
      <c r="D481" s="49">
        <f>(('Input and Output'!C$23*'Input and Output'!$B$10)+('Input and Output'!C$24*Calculations!$C$5)+('Input and Output'!C$25*Calculations!$C$6)+('Input and Output'!C$26*(IF('Input and Output'!E$7="Detritus",Calculations!$C$4,H481))-(SUM('Input and Output'!C$27:C$32))*I480))</f>
        <v>26.454774427244047</v>
      </c>
      <c r="E481" s="49">
        <f>(('Input and Output'!D$23*'Input and Output'!$B$10)+('Input and Output'!D$24*Calculations!$C$5)+('Input and Output'!D$25*Calculations!$C$6)+('Input and Output'!D$26*(IF('Input and Output'!F$7="Detritus",Calculations!$C$4,I481))-(SUM('Input and Output'!D$27:D$32))*J480))</f>
        <v>11.718846962965472</v>
      </c>
      <c r="F481" s="49" t="e">
        <f>(('Input and Output'!E$23*'Input and Output'!$B$10)+('Input and Output'!E$24*Calculations!$C$5)+('Input and Output'!E$25*Calculations!$C$6)+('Input and Output'!E$26*(IF('Input and Output'!G$7="Detritus",Calculations!$C$4,J481))-(SUM('Input and Output'!E$27:E$32))*K480))</f>
        <v>#N/A</v>
      </c>
      <c r="H481" s="49">
        <f>IF(H$2="",NA(),C481*$B481+H480)</f>
        <v>321311.16610734753</v>
      </c>
      <c r="I481" s="49">
        <f>IF(I$2="",NA(),D481*$B481+I480)</f>
        <v>2946310.0562270619</v>
      </c>
      <c r="J481" s="49">
        <f>IF(J$2="",NA(),E481*$B481+J480)</f>
        <v>1370017.3962439117</v>
      </c>
      <c r="K481" s="49" t="e">
        <f>IF(K$2="",NA(),F481*$B481+K480)</f>
        <v>#N/A</v>
      </c>
    </row>
    <row r="482" spans="1:11" x14ac:dyDescent="0.4">
      <c r="A482" s="49">
        <v>479</v>
      </c>
      <c r="B482" s="49">
        <f>A482/$B$1</f>
        <v>19.958333333333332</v>
      </c>
      <c r="C482" s="49">
        <f>(('Input and Output'!B$23*'Input and Output'!$B$10)+('Input and Output'!B$24*Calculations!$C$5)+('Input and Output'!B$25*Calculations!$C$6)+('Input and Output'!B$26*(IF('Input and Output'!D$7="Detritus",Calculations!$C$4,G482))-(SUM('Input and Output'!B$27:B$32))*H481))</f>
        <v>3.0558666040244589</v>
      </c>
      <c r="D482" s="49">
        <f>(('Input and Output'!C$23*'Input and Output'!$B$10)+('Input and Output'!C$24*Calculations!$C$5)+('Input and Output'!C$25*Calculations!$C$6)+('Input and Output'!C$26*(IF('Input and Output'!E$7="Detritus",Calculations!$C$4,H482))-(SUM('Input and Output'!C$27:C$32))*I481))</f>
        <v>25.945540051558055</v>
      </c>
      <c r="E482" s="49">
        <f>(('Input and Output'!D$23*'Input and Output'!$B$10)+('Input and Output'!D$24*Calculations!$C$5)+('Input and Output'!D$25*Calculations!$C$6)+('Input and Output'!D$26*(IF('Input and Output'!F$7="Detritus",Calculations!$C$4,I482))-(SUM('Input and Output'!D$27:D$32))*J481))</f>
        <v>11.492745020968869</v>
      </c>
      <c r="F482" s="49" t="e">
        <f>(('Input and Output'!E$23*'Input and Output'!$B$10)+('Input and Output'!E$24*Calculations!$C$5)+('Input and Output'!E$25*Calculations!$C$6)+('Input and Output'!E$26*(IF('Input and Output'!G$7="Detritus",Calculations!$C$4,J482))-(SUM('Input and Output'!E$27:E$32))*K481))</f>
        <v>#N/A</v>
      </c>
      <c r="H482" s="49">
        <f>IF(H$2="",NA(),C482*$B482+H481)</f>
        <v>321372.15611165285</v>
      </c>
      <c r="I482" s="49">
        <f>IF(I$2="",NA(),D482*$B482+I481)</f>
        <v>2946827.8859639242</v>
      </c>
      <c r="J482" s="49">
        <f>IF(J$2="",NA(),E482*$B482+J481)</f>
        <v>1370246.7722799552</v>
      </c>
      <c r="K482" s="49" t="e">
        <f>IF(K$2="",NA(),F482*$B482+K481)</f>
        <v>#N/A</v>
      </c>
    </row>
    <row r="483" spans="1:11" x14ac:dyDescent="0.4">
      <c r="A483" s="49">
        <v>480</v>
      </c>
      <c r="B483" s="49">
        <f>A483/$B$1</f>
        <v>20</v>
      </c>
      <c r="C483" s="49">
        <f>(('Input and Output'!B$23*'Input and Output'!$B$10)+('Input and Output'!B$24*Calculations!$C$5)+('Input and Output'!B$25*Calculations!$C$6)+('Input and Output'!B$26*(IF('Input and Output'!D$7="Detritus",Calculations!$C$4,G483))-(SUM('Input and Output'!B$27:B$32))*H482))</f>
        <v>2.9970652807479041</v>
      </c>
      <c r="D483" s="49">
        <f>(('Input and Output'!C$23*'Input and Output'!$B$10)+('Input and Output'!C$24*Calculations!$C$5)+('Input and Output'!C$25*Calculations!$C$6)+('Input and Output'!C$26*(IF('Input and Output'!E$7="Detritus",Calculations!$C$4,H483))-(SUM('Input and Output'!C$27:C$32))*I482))</f>
        <v>25.445066816112558</v>
      </c>
      <c r="E483" s="49">
        <f>(('Input and Output'!D$23*'Input and Output'!$B$10)+('Input and Output'!D$24*Calculations!$C$5)+('Input and Output'!D$25*Calculations!$C$6)+('Input and Output'!D$26*(IF('Input and Output'!F$7="Detritus",Calculations!$C$4,I483))-(SUM('Input and Output'!D$27:D$32))*J482))</f>
        <v>11.27054445686008</v>
      </c>
      <c r="F483" s="49" t="e">
        <f>(('Input and Output'!E$23*'Input and Output'!$B$10)+('Input and Output'!E$24*Calculations!$C$5)+('Input and Output'!E$25*Calculations!$C$6)+('Input and Output'!E$26*(IF('Input and Output'!G$7="Detritus",Calculations!$C$4,J483))-(SUM('Input and Output'!E$27:E$32))*K482))</f>
        <v>#N/A</v>
      </c>
      <c r="H483" s="49">
        <f>IF(H$2="",NA(),C483*$B483+H482)</f>
        <v>321432.0974172678</v>
      </c>
      <c r="I483" s="49">
        <f>IF(I$2="",NA(),D483*$B483+I482)</f>
        <v>2947336.7873002463</v>
      </c>
      <c r="J483" s="49">
        <f>IF(J$2="",NA(),E483*$B483+J482)</f>
        <v>1370472.1831690925</v>
      </c>
      <c r="K483" s="49" t="e">
        <f>IF(K$2="",NA(),F483*$B483+K482)</f>
        <v>#N/A</v>
      </c>
    </row>
    <row r="484" spans="1:11" x14ac:dyDescent="0.4">
      <c r="A484" s="49">
        <v>481</v>
      </c>
      <c r="B484" s="49">
        <f>A484/$B$1</f>
        <v>20.041666666666668</v>
      </c>
      <c r="C484" s="49">
        <f>(('Input and Output'!B$23*'Input and Output'!$B$10)+('Input and Output'!B$24*Calculations!$C$5)+('Input and Output'!B$25*Calculations!$C$6)+('Input and Output'!B$26*(IF('Input and Output'!D$7="Detritus",Calculations!$C$4,G484))-(SUM('Input and Output'!B$27:B$32))*H483))</f>
        <v>2.939275022668312</v>
      </c>
      <c r="D484" s="49">
        <f>(('Input and Output'!C$23*'Input and Output'!$B$10)+('Input and Output'!C$24*Calculations!$C$5)+('Input and Output'!C$25*Calculations!$C$6)+('Input and Output'!C$26*(IF('Input and Output'!E$7="Detritus",Calculations!$C$4,H484))-(SUM('Input and Output'!C$27:C$32))*I483))</f>
        <v>24.953226232997622</v>
      </c>
      <c r="E484" s="49">
        <f>(('Input and Output'!D$23*'Input and Output'!$B$10)+('Input and Output'!D$24*Calculations!$C$5)+('Input and Output'!D$25*Calculations!$C$6)+('Input and Output'!D$26*(IF('Input and Output'!F$7="Detritus",Calculations!$C$4,I484))-(SUM('Input and Output'!D$27:D$32))*J483))</f>
        <v>11.05218781721851</v>
      </c>
      <c r="F484" s="49" t="e">
        <f>(('Input and Output'!E$23*'Input and Output'!$B$10)+('Input and Output'!E$24*Calculations!$C$5)+('Input and Output'!E$25*Calculations!$C$6)+('Input and Output'!E$26*(IF('Input and Output'!G$7="Detritus",Calculations!$C$4,J484))-(SUM('Input and Output'!E$27:E$32))*K483))</f>
        <v>#N/A</v>
      </c>
      <c r="H484" s="49">
        <f>IF(H$2="",NA(),C484*$B484+H483)</f>
        <v>321491.00538751378</v>
      </c>
      <c r="I484" s="49">
        <f>IF(I$2="",NA(),D484*$B484+I483)</f>
        <v>2947836.8915426661</v>
      </c>
      <c r="J484" s="49">
        <f>IF(J$2="",NA(),E484*$B484+J483)</f>
        <v>1370693.6874332626</v>
      </c>
      <c r="K484" s="49" t="e">
        <f>IF(K$2="",NA(),F484*$B484+K483)</f>
        <v>#N/A</v>
      </c>
    </row>
    <row r="485" spans="1:11" x14ac:dyDescent="0.4">
      <c r="A485" s="49">
        <v>482</v>
      </c>
      <c r="B485" s="49">
        <f>A485/$B$1</f>
        <v>20.083333333333332</v>
      </c>
      <c r="C485" s="49">
        <f>(('Input and Output'!B$23*'Input and Output'!$B$10)+('Input and Output'!B$24*Calculations!$C$5)+('Input and Output'!B$25*Calculations!$C$6)+('Input and Output'!B$26*(IF('Input and Output'!D$7="Detritus",Calculations!$C$4,G485))-(SUM('Input and Output'!B$27:B$32))*H484))</f>
        <v>2.8824810177907239</v>
      </c>
      <c r="D485" s="49">
        <f>(('Input and Output'!C$23*'Input and Output'!$B$10)+('Input and Output'!C$24*Calculations!$C$5)+('Input and Output'!C$25*Calculations!$C$6)+('Input and Output'!C$26*(IF('Input and Output'!E$7="Detritus",Calculations!$C$4,H485))-(SUM('Input and Output'!C$27:C$32))*I484))</f>
        <v>24.469891249253124</v>
      </c>
      <c r="E485" s="49">
        <f>(('Input and Output'!D$23*'Input and Output'!$B$10)+('Input and Output'!D$24*Calculations!$C$5)+('Input and Output'!D$25*Calculations!$C$6)+('Input and Output'!D$26*(IF('Input and Output'!F$7="Detritus",Calculations!$C$4,I485))-(SUM('Input and Output'!D$27:D$32))*J484))</f>
        <v>10.837618295237917</v>
      </c>
      <c r="F485" s="49" t="e">
        <f>(('Input and Output'!E$23*'Input and Output'!$B$10)+('Input and Output'!E$24*Calculations!$C$5)+('Input and Output'!E$25*Calculations!$C$6)+('Input and Output'!E$26*(IF('Input and Output'!G$7="Detritus",Calculations!$C$4,J485))-(SUM('Input and Output'!E$27:E$32))*K484))</f>
        <v>#N/A</v>
      </c>
      <c r="H485" s="49">
        <f>IF(H$2="",NA(),C485*$B485+H484)</f>
        <v>321548.89521462109</v>
      </c>
      <c r="I485" s="49">
        <f>IF(I$2="",NA(),D485*$B485+I484)</f>
        <v>2948328.3285252554</v>
      </c>
      <c r="J485" s="49">
        <f>IF(J$2="",NA(),E485*$B485+J484)</f>
        <v>1370911.3429340252</v>
      </c>
      <c r="K485" s="49" t="e">
        <f>IF(K$2="",NA(),F485*$B485+K484)</f>
        <v>#N/A</v>
      </c>
    </row>
    <row r="486" spans="1:11" x14ac:dyDescent="0.4">
      <c r="A486" s="49">
        <v>483</v>
      </c>
      <c r="B486" s="49">
        <f>A486/$B$1</f>
        <v>20.125</v>
      </c>
      <c r="C486" s="49">
        <f>(('Input and Output'!B$23*'Input and Output'!$B$10)+('Input and Output'!B$24*Calculations!$C$5)+('Input and Output'!B$25*Calculations!$C$6)+('Input and Output'!B$26*(IF('Input and Output'!D$7="Detritus",Calculations!$C$4,G486))-(SUM('Input and Output'!B$27:B$32))*H485))</f>
        <v>2.8266686190717678</v>
      </c>
      <c r="D486" s="49">
        <f>(('Input and Output'!C$23*'Input and Output'!$B$10)+('Input and Output'!C$24*Calculations!$C$5)+('Input and Output'!C$25*Calculations!$C$6)+('Input and Output'!C$26*(IF('Input and Output'!E$7="Detritus",Calculations!$C$4,H486))-(SUM('Input and Output'!C$27:C$32))*I485))</f>
        <v>23.994936239596427</v>
      </c>
      <c r="E486" s="49">
        <f>(('Input and Output'!D$23*'Input and Output'!$B$10)+('Input and Output'!D$24*Calculations!$C$5)+('Input and Output'!D$25*Calculations!$C$6)+('Input and Output'!D$26*(IF('Input and Output'!F$7="Detritus",Calculations!$C$4,I486))-(SUM('Input and Output'!D$27:D$32))*J485))</f>
        <v>10.626779727015673</v>
      </c>
      <c r="F486" s="49" t="e">
        <f>(('Input and Output'!E$23*'Input and Output'!$B$10)+('Input and Output'!E$24*Calculations!$C$5)+('Input and Output'!E$25*Calculations!$C$6)+('Input and Output'!E$26*(IF('Input and Output'!G$7="Detritus",Calculations!$C$4,J486))-(SUM('Input and Output'!E$27:E$32))*K485))</f>
        <v>#N/A</v>
      </c>
      <c r="H486" s="49">
        <f>IF(H$2="",NA(),C486*$B486+H485)</f>
        <v>321605.7819205799</v>
      </c>
      <c r="I486" s="49">
        <f>IF(I$2="",NA(),D486*$B486+I485)</f>
        <v>2948811.2266170774</v>
      </c>
      <c r="J486" s="49">
        <f>IF(J$2="",NA(),E486*$B486+J485)</f>
        <v>1371125.2068760314</v>
      </c>
      <c r="K486" s="49" t="e">
        <f>IF(K$2="",NA(),F486*$B486+K485)</f>
        <v>#N/A</v>
      </c>
    </row>
    <row r="487" spans="1:11" x14ac:dyDescent="0.4">
      <c r="A487" s="49">
        <v>484</v>
      </c>
      <c r="B487" s="49">
        <f>A487/$B$1</f>
        <v>20.166666666666668</v>
      </c>
      <c r="C487" s="49">
        <f>(('Input and Output'!B$23*'Input and Output'!$B$10)+('Input and Output'!B$24*Calculations!$C$5)+('Input and Output'!B$25*Calculations!$C$6)+('Input and Output'!B$26*(IF('Input and Output'!D$7="Detritus",Calculations!$C$4,G487))-(SUM('Input and Output'!B$27:B$32))*H486))</f>
        <v>2.7718233435987827</v>
      </c>
      <c r="D487" s="49">
        <f>(('Input and Output'!C$23*'Input and Output'!$B$10)+('Input and Output'!C$24*Calculations!$C$5)+('Input and Output'!C$25*Calculations!$C$6)+('Input and Output'!C$26*(IF('Input and Output'!E$7="Detritus",Calculations!$C$4,H487))-(SUM('Input and Output'!C$27:C$32))*I486))</f>
        <v>23.528236998989087</v>
      </c>
      <c r="E487" s="49">
        <f>(('Input and Output'!D$23*'Input and Output'!$B$10)+('Input and Output'!D$24*Calculations!$C$5)+('Input and Output'!D$25*Calculations!$C$6)+('Input and Output'!D$26*(IF('Input and Output'!F$7="Detritus",Calculations!$C$4,I487))-(SUM('Input and Output'!D$27:D$32))*J486))</f>
        <v>10.419616588395002</v>
      </c>
      <c r="F487" s="49" t="e">
        <f>(('Input and Output'!E$23*'Input and Output'!$B$10)+('Input and Output'!E$24*Calculations!$C$5)+('Input and Output'!E$25*Calculations!$C$6)+('Input and Output'!E$26*(IF('Input and Output'!G$7="Detritus",Calculations!$C$4,J487))-(SUM('Input and Output'!E$27:E$32))*K486))</f>
        <v>#N/A</v>
      </c>
      <c r="H487" s="49">
        <f>IF(H$2="",NA(),C487*$B487+H486)</f>
        <v>321661.68035800912</v>
      </c>
      <c r="I487" s="49">
        <f>IF(I$2="",NA(),D487*$B487+I486)</f>
        <v>2949285.7127298904</v>
      </c>
      <c r="J487" s="49">
        <f>IF(J$2="",NA(),E487*$B487+J486)</f>
        <v>1371335.335810564</v>
      </c>
      <c r="K487" s="49" t="e">
        <f>IF(K$2="",NA(),F487*$B487+K486)</f>
        <v>#N/A</v>
      </c>
    </row>
    <row r="488" spans="1:11" x14ac:dyDescent="0.4">
      <c r="A488" s="49">
        <v>485</v>
      </c>
      <c r="B488" s="49">
        <f>A488/$B$1</f>
        <v>20.208333333333332</v>
      </c>
      <c r="C488" s="49">
        <f>(('Input and Output'!B$23*'Input and Output'!$B$10)+('Input and Output'!B$24*Calculations!$C$5)+('Input and Output'!B$25*Calculations!$C$6)+('Input and Output'!B$26*(IF('Input and Output'!D$7="Detritus",Calculations!$C$4,G488))-(SUM('Input and Output'!B$27:B$32))*H487))</f>
        <v>2.7179308717525146</v>
      </c>
      <c r="D488" s="49">
        <f>(('Input and Output'!C$23*'Input and Output'!$B$10)+('Input and Output'!C$24*Calculations!$C$5)+('Input and Output'!C$25*Calculations!$C$6)+('Input and Output'!C$26*(IF('Input and Output'!E$7="Detritus",Calculations!$C$4,H488))-(SUM('Input and Output'!C$27:C$32))*I487))</f>
        <v>23.069670735074396</v>
      </c>
      <c r="E488" s="49">
        <f>(('Input and Output'!D$23*'Input and Output'!$B$10)+('Input and Output'!D$24*Calculations!$C$5)+('Input and Output'!D$25*Calculations!$C$6)+('Input and Output'!D$26*(IF('Input and Output'!F$7="Detritus",Calculations!$C$4,I488))-(SUM('Input and Output'!D$27:D$32))*J487))</f>
        <v>10.216073991254234</v>
      </c>
      <c r="F488" s="49" t="e">
        <f>(('Input and Output'!E$23*'Input and Output'!$B$10)+('Input and Output'!E$24*Calculations!$C$5)+('Input and Output'!E$25*Calculations!$C$6)+('Input and Output'!E$26*(IF('Input and Output'!G$7="Detritus",Calculations!$C$4,J488))-(SUM('Input and Output'!E$27:E$32))*K487))</f>
        <v>#N/A</v>
      </c>
      <c r="H488" s="49">
        <f>IF(H$2="",NA(),C488*$B488+H487)</f>
        <v>321716.60521104245</v>
      </c>
      <c r="I488" s="49">
        <f>IF(I$2="",NA(),D488*$B488+I487)</f>
        <v>2949751.912325995</v>
      </c>
      <c r="J488" s="49">
        <f>IF(J$2="",NA(),E488*$B488+J487)</f>
        <v>1371541.7856391373</v>
      </c>
      <c r="K488" s="49" t="e">
        <f>IF(K$2="",NA(),F488*$B488+K487)</f>
        <v>#N/A</v>
      </c>
    </row>
    <row r="489" spans="1:11" x14ac:dyDescent="0.4">
      <c r="A489" s="49">
        <v>486</v>
      </c>
      <c r="B489" s="49">
        <f>A489/$B$1</f>
        <v>20.25</v>
      </c>
      <c r="C489" s="49">
        <f>(('Input and Output'!B$23*'Input and Output'!$B$10)+('Input and Output'!B$24*Calculations!$C$5)+('Input and Output'!B$25*Calculations!$C$6)+('Input and Output'!B$26*(IF('Input and Output'!D$7="Detritus",Calculations!$C$4,G489))-(SUM('Input and Output'!B$27:B$32))*H488))</f>
        <v>2.6649770463525329</v>
      </c>
      <c r="D489" s="49">
        <f>(('Input and Output'!C$23*'Input and Output'!$B$10)+('Input and Output'!C$24*Calculations!$C$5)+('Input and Output'!C$25*Calculations!$C$6)+('Input and Output'!C$26*(IF('Input and Output'!E$7="Detritus",Calculations!$C$4,H489))-(SUM('Input and Output'!C$27:C$32))*I488))</f>
        <v>22.619116060482156</v>
      </c>
      <c r="E489" s="49">
        <f>(('Input and Output'!D$23*'Input and Output'!$B$10)+('Input and Output'!D$24*Calculations!$C$5)+('Input and Output'!D$25*Calculations!$C$6)+('Input and Output'!D$26*(IF('Input and Output'!F$7="Detritus",Calculations!$C$4,I489))-(SUM('Input and Output'!D$27:D$32))*J488))</f>
        <v>10.016097680116218</v>
      </c>
      <c r="F489" s="49" t="e">
        <f>(('Input and Output'!E$23*'Input and Output'!$B$10)+('Input and Output'!E$24*Calculations!$C$5)+('Input and Output'!E$25*Calculations!$C$6)+('Input and Output'!E$26*(IF('Input and Output'!G$7="Detritus",Calculations!$C$4,J489))-(SUM('Input and Output'!E$27:E$32))*K488))</f>
        <v>#N/A</v>
      </c>
      <c r="H489" s="49">
        <f>IF(H$2="",NA(),C489*$B489+H488)</f>
        <v>321770.57099623111</v>
      </c>
      <c r="I489" s="49">
        <f>IF(I$2="",NA(),D489*$B489+I488)</f>
        <v>2950209.9494262198</v>
      </c>
      <c r="J489" s="49">
        <f>IF(J$2="",NA(),E489*$B489+J488)</f>
        <v>1371744.6116171596</v>
      </c>
      <c r="K489" s="49" t="e">
        <f>IF(K$2="",NA(),F489*$B489+K488)</f>
        <v>#N/A</v>
      </c>
    </row>
    <row r="490" spans="1:11" x14ac:dyDescent="0.4">
      <c r="A490" s="49">
        <v>487</v>
      </c>
      <c r="B490" s="49">
        <f>A490/$B$1</f>
        <v>20.291666666666668</v>
      </c>
      <c r="C490" s="49">
        <f>(('Input and Output'!B$23*'Input and Output'!$B$10)+('Input and Output'!B$24*Calculations!$C$5)+('Input and Output'!B$25*Calculations!$C$6)+('Input and Output'!B$26*(IF('Input and Output'!D$7="Detritus",Calculations!$C$4,G490))-(SUM('Input and Output'!B$27:B$32))*H489))</f>
        <v>2.6129478717870711</v>
      </c>
      <c r="D490" s="49">
        <f>(('Input and Output'!C$23*'Input and Output'!$B$10)+('Input and Output'!C$24*Calculations!$C$5)+('Input and Output'!C$25*Calculations!$C$6)+('Input and Output'!C$26*(IF('Input and Output'!E$7="Detritus",Calculations!$C$4,H490))-(SUM('Input and Output'!C$27:C$32))*I489))</f>
        <v>22.176452984997013</v>
      </c>
      <c r="E490" s="49">
        <f>(('Input and Output'!D$23*'Input and Output'!$B$10)+('Input and Output'!D$24*Calculations!$C$5)+('Input and Output'!D$25*Calculations!$C$6)+('Input and Output'!D$26*(IF('Input and Output'!F$7="Detritus",Calculations!$C$4,I490))-(SUM('Input and Output'!D$27:D$32))*J489))</f>
        <v>9.8196340282920573</v>
      </c>
      <c r="F490" s="49" t="e">
        <f>(('Input and Output'!E$23*'Input and Output'!$B$10)+('Input and Output'!E$24*Calculations!$C$5)+('Input and Output'!E$25*Calculations!$C$6)+('Input and Output'!E$26*(IF('Input and Output'!G$7="Detritus",Calculations!$C$4,J490))-(SUM('Input and Output'!E$27:E$32))*K489))</f>
        <v>#N/A</v>
      </c>
      <c r="H490" s="49">
        <f>IF(H$2="",NA(),C490*$B490+H489)</f>
        <v>321823.59206346277</v>
      </c>
      <c r="I490" s="49">
        <f>IF(I$2="",NA(),D490*$B490+I489)</f>
        <v>2950659.9466180406</v>
      </c>
      <c r="J490" s="49">
        <f>IF(J$2="",NA(),E490*$B490+J489)</f>
        <v>1371943.8683576502</v>
      </c>
      <c r="K490" s="49" t="e">
        <f>IF(K$2="",NA(),F490*$B490+K489)</f>
        <v>#N/A</v>
      </c>
    </row>
    <row r="491" spans="1:11" x14ac:dyDescent="0.4">
      <c r="A491" s="49">
        <v>488</v>
      </c>
      <c r="B491" s="49">
        <f>A491/$B$1</f>
        <v>20.333333333333332</v>
      </c>
      <c r="C491" s="49">
        <f>(('Input and Output'!B$23*'Input and Output'!$B$10)+('Input and Output'!B$24*Calculations!$C$5)+('Input and Output'!B$25*Calculations!$C$6)+('Input and Output'!B$26*(IF('Input and Output'!D$7="Detritus",Calculations!$C$4,G491))-(SUM('Input and Output'!B$27:B$32))*H490))</f>
        <v>2.5618295131270088</v>
      </c>
      <c r="D491" s="49">
        <f>(('Input and Output'!C$23*'Input and Output'!$B$10)+('Input and Output'!C$24*Calculations!$C$5)+('Input and Output'!C$25*Calculations!$C$6)+('Input and Output'!C$26*(IF('Input and Output'!E$7="Detritus",Calculations!$C$4,H491))-(SUM('Input and Output'!C$27:C$32))*I490))</f>
        <v>21.741562907607658</v>
      </c>
      <c r="E491" s="49">
        <f>(('Input and Output'!D$23*'Input and Output'!$B$10)+('Input and Output'!D$24*Calculations!$C$5)+('Input and Output'!D$25*Calculations!$C$6)+('Input and Output'!D$26*(IF('Input and Output'!F$7="Detritus",Calculations!$C$4,I491))-(SUM('Input and Output'!D$27:D$32))*J490))</f>
        <v>9.6266300344468618</v>
      </c>
      <c r="F491" s="49" t="e">
        <f>(('Input and Output'!E$23*'Input and Output'!$B$10)+('Input and Output'!E$24*Calculations!$C$5)+('Input and Output'!E$25*Calculations!$C$6)+('Input and Output'!E$26*(IF('Input and Output'!G$7="Detritus",Calculations!$C$4,J491))-(SUM('Input and Output'!E$27:E$32))*K490))</f>
        <v>#N/A</v>
      </c>
      <c r="H491" s="49">
        <f>IF(H$2="",NA(),C491*$B491+H490)</f>
        <v>321875.68259689637</v>
      </c>
      <c r="I491" s="49">
        <f>IF(I$2="",NA(),D491*$B491+I490)</f>
        <v>2951102.0250638286</v>
      </c>
      <c r="J491" s="49">
        <f>IF(J$2="",NA(),E491*$B491+J490)</f>
        <v>1372139.6098350172</v>
      </c>
      <c r="K491" s="49" t="e">
        <f>IF(K$2="",NA(),F491*$B491+K490)</f>
        <v>#N/A</v>
      </c>
    </row>
    <row r="492" spans="1:11" x14ac:dyDescent="0.4">
      <c r="A492" s="49">
        <v>489</v>
      </c>
      <c r="B492" s="49">
        <f>A492/$B$1</f>
        <v>20.375</v>
      </c>
      <c r="C492" s="49">
        <f>(('Input and Output'!B$23*'Input and Output'!$B$10)+('Input and Output'!B$24*Calculations!$C$5)+('Input and Output'!B$25*Calculations!$C$6)+('Input and Output'!B$26*(IF('Input and Output'!D$7="Detritus",Calculations!$C$4,G492))-(SUM('Input and Output'!B$27:B$32))*H491))</f>
        <v>2.5116082952247893</v>
      </c>
      <c r="D492" s="49">
        <f>(('Input and Output'!C$23*'Input and Output'!$B$10)+('Input and Output'!C$24*Calculations!$C$5)+('Input and Output'!C$25*Calculations!$C$6)+('Input and Output'!C$26*(IF('Input and Output'!E$7="Detritus",Calculations!$C$4,H492))-(SUM('Input and Output'!C$27:C$32))*I491))</f>
        <v>21.314328608416872</v>
      </c>
      <c r="E492" s="49">
        <f>(('Input and Output'!D$23*'Input and Output'!$B$10)+('Input and Output'!D$24*Calculations!$C$5)+('Input and Output'!D$25*Calculations!$C$6)+('Input and Output'!D$26*(IF('Input and Output'!F$7="Detritus",Calculations!$C$4,I492))-(SUM('Input and Output'!D$27:D$32))*J491))</f>
        <v>9.4370333186707285</v>
      </c>
      <c r="F492" s="49" t="e">
        <f>(('Input and Output'!E$23*'Input and Output'!$B$10)+('Input and Output'!E$24*Calculations!$C$5)+('Input and Output'!E$25*Calculations!$C$6)+('Input and Output'!E$26*(IF('Input and Output'!G$7="Detritus",Calculations!$C$4,J492))-(SUM('Input and Output'!E$27:E$32))*K491))</f>
        <v>#N/A</v>
      </c>
      <c r="H492" s="49">
        <f>IF(H$2="",NA(),C492*$B492+H491)</f>
        <v>321926.85661591159</v>
      </c>
      <c r="I492" s="49">
        <f>IF(I$2="",NA(),D492*$B492+I491)</f>
        <v>2951536.3045092248</v>
      </c>
      <c r="J492" s="49">
        <f>IF(J$2="",NA(),E492*$B492+J491)</f>
        <v>1372331.8893888851</v>
      </c>
      <c r="K492" s="49" t="e">
        <f>IF(K$2="",NA(),F492*$B492+K491)</f>
        <v>#N/A</v>
      </c>
    </row>
    <row r="493" spans="1:11" x14ac:dyDescent="0.4">
      <c r="A493" s="49">
        <v>490</v>
      </c>
      <c r="B493" s="49">
        <f>A493/$B$1</f>
        <v>20.416666666666668</v>
      </c>
      <c r="C493" s="49">
        <f>(('Input and Output'!B$23*'Input and Output'!$B$10)+('Input and Output'!B$24*Calculations!$C$5)+('Input and Output'!B$25*Calculations!$C$6)+('Input and Output'!B$26*(IF('Input and Output'!D$7="Detritus",Calculations!$C$4,G493))-(SUM('Input and Output'!B$27:B$32))*H492))</f>
        <v>2.4622707017986158</v>
      </c>
      <c r="D493" s="49">
        <f>(('Input and Output'!C$23*'Input and Output'!$B$10)+('Input and Output'!C$24*Calculations!$C$5)+('Input and Output'!C$25*Calculations!$C$6)+('Input and Output'!C$26*(IF('Input and Output'!E$7="Detritus",Calculations!$C$4,H493))-(SUM('Input and Output'!C$27:C$32))*I492))</f>
        <v>20.894634240463347</v>
      </c>
      <c r="E493" s="49">
        <f>(('Input and Output'!D$23*'Input and Output'!$B$10)+('Input and Output'!D$24*Calculations!$C$5)+('Input and Output'!D$25*Calculations!$C$6)+('Input and Output'!D$26*(IF('Input and Output'!F$7="Detritus",Calculations!$C$4,I493))-(SUM('Input and Output'!D$27:D$32))*J492))</f>
        <v>9.2507921188844193</v>
      </c>
      <c r="F493" s="49" t="e">
        <f>(('Input and Output'!E$23*'Input and Output'!$B$10)+('Input and Output'!E$24*Calculations!$C$5)+('Input and Output'!E$25*Calculations!$C$6)+('Input and Output'!E$26*(IF('Input and Output'!G$7="Detritus",Calculations!$C$4,J493))-(SUM('Input and Output'!E$27:E$32))*K492))</f>
        <v>#N/A</v>
      </c>
      <c r="H493" s="49">
        <f>IF(H$2="",NA(),C493*$B493+H492)</f>
        <v>321977.1279760733</v>
      </c>
      <c r="I493" s="49">
        <f>IF(I$2="",NA(),D493*$B493+I492)</f>
        <v>2951962.9032916343</v>
      </c>
      <c r="J493" s="49">
        <f>IF(J$2="",NA(),E493*$B493+J492)</f>
        <v>1372520.7597279791</v>
      </c>
      <c r="K493" s="49" t="e">
        <f>IF(K$2="",NA(),F493*$B493+K492)</f>
        <v>#N/A</v>
      </c>
    </row>
    <row r="494" spans="1:11" x14ac:dyDescent="0.4">
      <c r="A494" s="49">
        <v>491</v>
      </c>
      <c r="B494" s="49">
        <f>A494/$B$1</f>
        <v>20.458333333333332</v>
      </c>
      <c r="C494" s="49">
        <f>(('Input and Output'!B$23*'Input and Output'!$B$10)+('Input and Output'!B$24*Calculations!$C$5)+('Input and Output'!B$25*Calculations!$C$6)+('Input and Output'!B$26*(IF('Input and Output'!D$7="Detritus",Calculations!$C$4,G494))-(SUM('Input and Output'!B$27:B$32))*H493))</f>
        <v>2.413803374503118</v>
      </c>
      <c r="D494" s="49">
        <f>(('Input and Output'!C$23*'Input and Output'!$B$10)+('Input and Output'!C$24*Calculations!$C$5)+('Input and Output'!C$25*Calculations!$C$6)+('Input and Output'!C$26*(IF('Input and Output'!E$7="Detritus",Calculations!$C$4,H494))-(SUM('Input and Output'!C$27:C$32))*I493))</f>
        <v>20.482365321397083</v>
      </c>
      <c r="E494" s="49">
        <f>(('Input and Output'!D$23*'Input and Output'!$B$10)+('Input and Output'!D$24*Calculations!$C$5)+('Input and Output'!D$25*Calculations!$C$6)+('Input and Output'!D$26*(IF('Input and Output'!F$7="Detritus",Calculations!$C$4,I494))-(SUM('Input and Output'!D$27:D$32))*J493))</f>
        <v>9.0678552868230327</v>
      </c>
      <c r="F494" s="49" t="e">
        <f>(('Input and Output'!E$23*'Input and Output'!$B$10)+('Input and Output'!E$24*Calculations!$C$5)+('Input and Output'!E$25*Calculations!$C$6)+('Input and Output'!E$26*(IF('Input and Output'!G$7="Detritus",Calculations!$C$4,J494))-(SUM('Input and Output'!E$27:E$32))*K493))</f>
        <v>#N/A</v>
      </c>
      <c r="H494" s="49">
        <f>IF(H$2="",NA(),C494*$B494+H493)</f>
        <v>322026.51037010999</v>
      </c>
      <c r="I494" s="49">
        <f>IF(I$2="",NA(),D494*$B494+I493)</f>
        <v>2952381.9383488344</v>
      </c>
      <c r="J494" s="49">
        <f>IF(J$2="",NA(),E494*$B494+J493)</f>
        <v>1372706.2729340554</v>
      </c>
      <c r="K494" s="49" t="e">
        <f>IF(K$2="",NA(),F494*$B494+K493)</f>
        <v>#N/A</v>
      </c>
    </row>
    <row r="495" spans="1:11" x14ac:dyDescent="0.4">
      <c r="A495" s="49">
        <v>492</v>
      </c>
      <c r="B495" s="49">
        <f>A495/$B$1</f>
        <v>20.5</v>
      </c>
      <c r="C495" s="49">
        <f>(('Input and Output'!B$23*'Input and Output'!$B$10)+('Input and Output'!B$24*Calculations!$C$5)+('Input and Output'!B$25*Calculations!$C$6)+('Input and Output'!B$26*(IF('Input and Output'!D$7="Detritus",Calculations!$C$4,G495))-(SUM('Input and Output'!B$27:B$32))*H494))</f>
        <v>2.3661931119856376</v>
      </c>
      <c r="D495" s="49">
        <f>(('Input and Output'!C$23*'Input and Output'!$B$10)+('Input and Output'!C$24*Calculations!$C$5)+('Input and Output'!C$25*Calculations!$C$6)+('Input and Output'!C$26*(IF('Input and Output'!E$7="Detritus",Calculations!$C$4,H495))-(SUM('Input and Output'!C$27:C$32))*I494))</f>
        <v>20.077408725077476</v>
      </c>
      <c r="E495" s="49">
        <f>(('Input and Output'!D$23*'Input and Output'!$B$10)+('Input and Output'!D$24*Calculations!$C$5)+('Input and Output'!D$25*Calculations!$C$6)+('Input and Output'!D$26*(IF('Input and Output'!F$7="Detritus",Calculations!$C$4,I495))-(SUM('Input and Output'!D$27:D$32))*J494))</f>
        <v>8.8881722842816089</v>
      </c>
      <c r="F495" s="49" t="e">
        <f>(('Input and Output'!E$23*'Input and Output'!$B$10)+('Input and Output'!E$24*Calculations!$C$5)+('Input and Output'!E$25*Calculations!$C$6)+('Input and Output'!E$26*(IF('Input and Output'!G$7="Detritus",Calculations!$C$4,J495))-(SUM('Input and Output'!E$27:E$32))*K494))</f>
        <v>#N/A</v>
      </c>
      <c r="H495" s="49">
        <f>IF(H$2="",NA(),C495*$B495+H494)</f>
        <v>322075.0173289057</v>
      </c>
      <c r="I495" s="49">
        <f>IF(I$2="",NA(),D495*$B495+I494)</f>
        <v>2952793.5252276985</v>
      </c>
      <c r="J495" s="49">
        <f>IF(J$2="",NA(),E495*$B495+J494)</f>
        <v>1372888.4804658832</v>
      </c>
      <c r="K495" s="49" t="e">
        <f>IF(K$2="",NA(),F495*$B495+K494)</f>
        <v>#N/A</v>
      </c>
    </row>
    <row r="496" spans="1:11" x14ac:dyDescent="0.4">
      <c r="A496" s="49">
        <v>493</v>
      </c>
      <c r="B496" s="49">
        <f>A496/$B$1</f>
        <v>20.541666666666668</v>
      </c>
      <c r="C496" s="49">
        <f>(('Input and Output'!B$23*'Input and Output'!$B$10)+('Input and Output'!B$24*Calculations!$C$5)+('Input and Output'!B$25*Calculations!$C$6)+('Input and Output'!B$26*(IF('Input and Output'!D$7="Detritus",Calculations!$C$4,G496))-(SUM('Input and Output'!B$27:B$32))*H495))</f>
        <v>2.319426868929952</v>
      </c>
      <c r="D496" s="49">
        <f>(('Input and Output'!C$23*'Input and Output'!$B$10)+('Input and Output'!C$24*Calculations!$C$5)+('Input and Output'!C$25*Calculations!$C$6)+('Input and Output'!C$26*(IF('Input and Output'!E$7="Detritus",Calculations!$C$4,H496))-(SUM('Input and Output'!C$27:C$32))*I495))</f>
        <v>19.67965267303498</v>
      </c>
      <c r="E496" s="49">
        <f>(('Input and Output'!D$23*'Input and Output'!$B$10)+('Input and Output'!D$24*Calculations!$C$5)+('Input and Output'!D$25*Calculations!$C$6)+('Input and Output'!D$26*(IF('Input and Output'!F$7="Detritus",Calculations!$C$4,I496))-(SUM('Input and Output'!D$27:D$32))*J495))</f>
        <v>8.7116931791861134</v>
      </c>
      <c r="F496" s="49" t="e">
        <f>(('Input and Output'!E$23*'Input and Output'!$B$10)+('Input and Output'!E$24*Calculations!$C$5)+('Input and Output'!E$25*Calculations!$C$6)+('Input and Output'!E$26*(IF('Input and Output'!G$7="Detritus",Calculations!$C$4,J496))-(SUM('Input and Output'!E$27:E$32))*K495))</f>
        <v>#N/A</v>
      </c>
      <c r="H496" s="49">
        <f>IF(H$2="",NA(),C496*$B496+H495)</f>
        <v>322122.66222250497</v>
      </c>
      <c r="I496" s="49">
        <f>IF(I$2="",NA(),D496*$B496+I495)</f>
        <v>2953197.7780930237</v>
      </c>
      <c r="J496" s="49">
        <f>IF(J$2="",NA(),E496*$B496+J495)</f>
        <v>1373067.4331632722</v>
      </c>
      <c r="K496" s="49" t="e">
        <f>IF(K$2="",NA(),F496*$B496+K495)</f>
        <v>#N/A</v>
      </c>
    </row>
    <row r="497" spans="1:11" x14ac:dyDescent="0.4">
      <c r="A497" s="49">
        <v>494</v>
      </c>
      <c r="B497" s="49">
        <f>A497/$B$1</f>
        <v>20.583333333333332</v>
      </c>
      <c r="C497" s="49">
        <f>(('Input and Output'!B$23*'Input and Output'!$B$10)+('Input and Output'!B$24*Calculations!$C$5)+('Input and Output'!B$25*Calculations!$C$6)+('Input and Output'!B$26*(IF('Input and Output'!D$7="Detritus",Calculations!$C$4,G497))-(SUM('Input and Output'!B$27:B$32))*H496))</f>
        <v>2.2734917550876617</v>
      </c>
      <c r="D497" s="49">
        <f>(('Input and Output'!C$23*'Input and Output'!$B$10)+('Input and Output'!C$24*Calculations!$C$5)+('Input and Output'!C$25*Calculations!$C$6)+('Input and Output'!C$26*(IF('Input and Output'!E$7="Detritus",Calculations!$C$4,H497))-(SUM('Input and Output'!C$27:C$32))*I496))</f>
        <v>19.288986725856375</v>
      </c>
      <c r="E497" s="49">
        <f>(('Input and Output'!D$23*'Input and Output'!$B$10)+('Input and Output'!D$24*Calculations!$C$5)+('Input and Output'!D$25*Calculations!$C$6)+('Input and Output'!D$26*(IF('Input and Output'!F$7="Detritus",Calculations!$C$4,I497))-(SUM('Input and Output'!D$27:D$32))*J496))</f>
        <v>8.5383686415043485</v>
      </c>
      <c r="F497" s="49" t="e">
        <f>(('Input and Output'!E$23*'Input and Output'!$B$10)+('Input and Output'!E$24*Calculations!$C$5)+('Input and Output'!E$25*Calculations!$C$6)+('Input and Output'!E$26*(IF('Input and Output'!G$7="Detritus",Calculations!$C$4,J497))-(SUM('Input and Output'!E$27:E$32))*K496))</f>
        <v>#N/A</v>
      </c>
      <c r="H497" s="49">
        <f>IF(H$2="",NA(),C497*$B497+H496)</f>
        <v>322169.45826113049</v>
      </c>
      <c r="I497" s="49">
        <f>IF(I$2="",NA(),D497*$B497+I496)</f>
        <v>2953594.8097364642</v>
      </c>
      <c r="J497" s="49">
        <f>IF(J$2="",NA(),E497*$B497+J496)</f>
        <v>1373243.1812511431</v>
      </c>
      <c r="K497" s="49" t="e">
        <f>IF(K$2="",NA(),F497*$B497+K496)</f>
        <v>#N/A</v>
      </c>
    </row>
    <row r="498" spans="1:11" x14ac:dyDescent="0.4">
      <c r="A498" s="49">
        <v>495</v>
      </c>
      <c r="B498" s="49">
        <f>A498/$B$1</f>
        <v>20.625</v>
      </c>
      <c r="C498" s="49">
        <f>(('Input and Output'!B$23*'Input and Output'!$B$10)+('Input and Output'!B$24*Calculations!$C$5)+('Input and Output'!B$25*Calculations!$C$6)+('Input and Output'!B$26*(IF('Input and Output'!D$7="Detritus",Calculations!$C$4,G498))-(SUM('Input and Output'!B$27:B$32))*H497))</f>
        <v>2.2283750342967323</v>
      </c>
      <c r="D498" s="49">
        <f>(('Input and Output'!C$23*'Input and Output'!$B$10)+('Input and Output'!C$24*Calculations!$C$5)+('Input and Output'!C$25*Calculations!$C$6)+('Input and Output'!C$26*(IF('Input and Output'!E$7="Detritus",Calculations!$C$4,H498))-(SUM('Input and Output'!C$27:C$32))*I497))</f>
        <v>18.905301774457257</v>
      </c>
      <c r="E498" s="49">
        <f>(('Input and Output'!D$23*'Input and Output'!$B$10)+('Input and Output'!D$24*Calculations!$C$5)+('Input and Output'!D$25*Calculations!$C$6)+('Input and Output'!D$26*(IF('Input and Output'!F$7="Detritus",Calculations!$C$4,I498))-(SUM('Input and Output'!D$27:D$32))*J497))</f>
        <v>8.3681499394042476</v>
      </c>
      <c r="F498" s="49" t="e">
        <f>(('Input and Output'!E$23*'Input and Output'!$B$10)+('Input and Output'!E$24*Calculations!$C$5)+('Input and Output'!E$25*Calculations!$C$6)+('Input and Output'!E$26*(IF('Input and Output'!G$7="Detritus",Calculations!$C$4,J498))-(SUM('Input and Output'!E$27:E$32))*K497))</f>
        <v>#N/A</v>
      </c>
      <c r="H498" s="49">
        <f>IF(H$2="",NA(),C498*$B498+H497)</f>
        <v>322215.41849621286</v>
      </c>
      <c r="I498" s="49">
        <f>IF(I$2="",NA(),D498*$B498+I497)</f>
        <v>2953984.7315855622</v>
      </c>
      <c r="J498" s="49">
        <f>IF(J$2="",NA(),E498*$B498+J497)</f>
        <v>1373415.7743436433</v>
      </c>
      <c r="K498" s="49" t="e">
        <f>IF(K$2="",NA(),F498*$B498+K497)</f>
        <v>#N/A</v>
      </c>
    </row>
    <row r="499" spans="1:11" x14ac:dyDescent="0.4">
      <c r="A499" s="49">
        <v>496</v>
      </c>
      <c r="B499" s="49">
        <f>A499/$B$1</f>
        <v>20.666666666666668</v>
      </c>
      <c r="C499" s="49">
        <f>(('Input and Output'!B$23*'Input and Output'!$B$10)+('Input and Output'!B$24*Calculations!$C$5)+('Input and Output'!B$25*Calculations!$C$6)+('Input and Output'!B$26*(IF('Input and Output'!D$7="Detritus",Calculations!$C$4,G499))-(SUM('Input and Output'!B$27:B$32))*H498))</f>
        <v>2.184064123488838</v>
      </c>
      <c r="D499" s="49">
        <f>(('Input and Output'!C$23*'Input and Output'!$B$10)+('Input and Output'!C$24*Calculations!$C$5)+('Input and Output'!C$25*Calculations!$C$6)+('Input and Output'!C$26*(IF('Input and Output'!E$7="Detritus",Calculations!$C$4,H499))-(SUM('Input and Output'!C$27:C$32))*I498))</f>
        <v>18.52849003126903</v>
      </c>
      <c r="E499" s="49">
        <f>(('Input and Output'!D$23*'Input and Output'!$B$10)+('Input and Output'!D$24*Calculations!$C$5)+('Input and Output'!D$25*Calculations!$C$6)+('Input and Output'!D$26*(IF('Input and Output'!F$7="Detritus",Calculations!$C$4,I499))-(SUM('Input and Output'!D$27:D$32))*J498))</f>
        <v>8.2009889351647871</v>
      </c>
      <c r="F499" s="49" t="e">
        <f>(('Input and Output'!E$23*'Input and Output'!$B$10)+('Input and Output'!E$24*Calculations!$C$5)+('Input and Output'!E$25*Calculations!$C$6)+('Input and Output'!E$26*(IF('Input and Output'!G$7="Detritus",Calculations!$C$4,J499))-(SUM('Input and Output'!E$27:E$32))*K498))</f>
        <v>#N/A</v>
      </c>
      <c r="H499" s="49">
        <f>IF(H$2="",NA(),C499*$B499+H498)</f>
        <v>322260.55582143163</v>
      </c>
      <c r="I499" s="49">
        <f>IF(I$2="",NA(),D499*$B499+I498)</f>
        <v>2954367.6537128752</v>
      </c>
      <c r="J499" s="49">
        <f>IF(J$2="",NA(),E499*$B499+J498)</f>
        <v>1373585.2614483035</v>
      </c>
      <c r="K499" s="49" t="e">
        <f>IF(K$2="",NA(),F499*$B499+K498)</f>
        <v>#N/A</v>
      </c>
    </row>
    <row r="500" spans="1:11" x14ac:dyDescent="0.4">
      <c r="A500" s="49">
        <v>497</v>
      </c>
      <c r="B500" s="49">
        <f>A500/$B$1</f>
        <v>20.708333333333332</v>
      </c>
      <c r="C500" s="49">
        <f>(('Input and Output'!B$23*'Input and Output'!$B$10)+('Input and Output'!B$24*Calculations!$C$5)+('Input and Output'!B$25*Calculations!$C$6)+('Input and Output'!B$26*(IF('Input and Output'!D$7="Detritus",Calculations!$C$4,G500))-(SUM('Input and Output'!B$27:B$32))*H499))</f>
        <v>2.1405465916857906</v>
      </c>
      <c r="D500" s="49">
        <f>(('Input and Output'!C$23*'Input and Output'!$B$10)+('Input and Output'!C$24*Calculations!$C$5)+('Input and Output'!C$25*Calculations!$C$6)+('Input and Output'!C$26*(IF('Input and Output'!E$7="Detritus",Calculations!$C$4,H500))-(SUM('Input and Output'!C$27:C$32))*I499))</f>
        <v>18.158445021334046</v>
      </c>
      <c r="E500" s="49">
        <f>(('Input and Output'!D$23*'Input and Output'!$B$10)+('Input and Output'!D$24*Calculations!$C$5)+('Input and Output'!D$25*Calculations!$C$6)+('Input and Output'!D$26*(IF('Input and Output'!F$7="Detritus",Calculations!$C$4,I500))-(SUM('Input and Output'!D$27:D$32))*J499))</f>
        <v>8.0368380809413793</v>
      </c>
      <c r="F500" s="49" t="e">
        <f>(('Input and Output'!E$23*'Input and Output'!$B$10)+('Input and Output'!E$24*Calculations!$C$5)+('Input and Output'!E$25*Calculations!$C$6)+('Input and Output'!E$26*(IF('Input and Output'!G$7="Detritus",Calculations!$C$4,J500))-(SUM('Input and Output'!E$27:E$32))*K499))</f>
        <v>#N/A</v>
      </c>
      <c r="H500" s="49">
        <f>IF(H$2="",NA(),C500*$B500+H499)</f>
        <v>322304.88297376776</v>
      </c>
      <c r="I500" s="49">
        <f>IF(I$2="",NA(),D500*$B500+I499)</f>
        <v>2954743.6848451919</v>
      </c>
      <c r="J500" s="49">
        <f>IF(J$2="",NA(),E500*$B500+J499)</f>
        <v>1373751.6909702297</v>
      </c>
      <c r="K500" s="49" t="e">
        <f>IF(K$2="",NA(),F500*$B500+K499)</f>
        <v>#N/A</v>
      </c>
    </row>
    <row r="501" spans="1:11" x14ac:dyDescent="0.4">
      <c r="A501" s="49">
        <v>498</v>
      </c>
      <c r="B501" s="49">
        <f>A501/$B$1</f>
        <v>20.75</v>
      </c>
      <c r="C501" s="49">
        <f>(('Input and Output'!B$23*'Input and Output'!$B$10)+('Input and Output'!B$24*Calculations!$C$5)+('Input and Output'!B$25*Calculations!$C$6)+('Input and Output'!B$26*(IF('Input and Output'!D$7="Detritus",Calculations!$C$4,G501))-(SUM('Input and Output'!B$27:B$32))*H500))</f>
        <v>2.0978101589844869</v>
      </c>
      <c r="D501" s="49">
        <f>(('Input and Output'!C$23*'Input and Output'!$B$10)+('Input and Output'!C$24*Calculations!$C$5)+('Input and Output'!C$25*Calculations!$C$6)+('Input and Output'!C$26*(IF('Input and Output'!E$7="Detritus",Calculations!$C$4,H501))-(SUM('Input and Output'!C$27:C$32))*I500))</f>
        <v>17.795061573320709</v>
      </c>
      <c r="E501" s="49">
        <f>(('Input and Output'!D$23*'Input and Output'!$B$10)+('Input and Output'!D$24*Calculations!$C$5)+('Input and Output'!D$25*Calculations!$C$6)+('Input and Output'!D$26*(IF('Input and Output'!F$7="Detritus",Calculations!$C$4,I501))-(SUM('Input and Output'!D$27:D$32))*J500))</f>
        <v>7.8756504148805107</v>
      </c>
      <c r="F501" s="49" t="e">
        <f>(('Input and Output'!E$23*'Input and Output'!$B$10)+('Input and Output'!E$24*Calculations!$C$5)+('Input and Output'!E$25*Calculations!$C$6)+('Input and Output'!E$26*(IF('Input and Output'!G$7="Detritus",Calculations!$C$4,J501))-(SUM('Input and Output'!E$27:E$32))*K500))</f>
        <v>#N/A</v>
      </c>
      <c r="H501" s="49">
        <f>IF(H$2="",NA(),C501*$B501+H500)</f>
        <v>322348.41253456671</v>
      </c>
      <c r="I501" s="49">
        <f>IF(I$2="",NA(),D501*$B501+I500)</f>
        <v>2955112.9323728383</v>
      </c>
      <c r="J501" s="49">
        <f>IF(J$2="",NA(),E501*$B501+J500)</f>
        <v>1373915.1107163385</v>
      </c>
      <c r="K501" s="49" t="e">
        <f>IF(K$2="",NA(),F501*$B501+K500)</f>
        <v>#N/A</v>
      </c>
    </row>
    <row r="502" spans="1:11" x14ac:dyDescent="0.4">
      <c r="A502" s="49">
        <v>499</v>
      </c>
      <c r="B502" s="49">
        <f>A502/$B$1</f>
        <v>20.791666666666668</v>
      </c>
      <c r="C502" s="49">
        <f>(('Input and Output'!B$23*'Input and Output'!$B$10)+('Input and Output'!B$24*Calculations!$C$5)+('Input and Output'!B$25*Calculations!$C$6)+('Input and Output'!B$26*(IF('Input and Output'!D$7="Detritus",Calculations!$C$4,G502))-(SUM('Input and Output'!B$27:B$32))*H501))</f>
        <v>2.0558426955324194</v>
      </c>
      <c r="D502" s="49">
        <f>(('Input and Output'!C$23*'Input and Output'!$B$10)+('Input and Output'!C$24*Calculations!$C$5)+('Input and Output'!C$25*Calculations!$C$6)+('Input and Output'!C$26*(IF('Input and Output'!E$7="Detritus",Calculations!$C$4,H502))-(SUM('Input and Output'!C$27:C$32))*I501))</f>
        <v>17.438235810436709</v>
      </c>
      <c r="E502" s="49">
        <f>(('Input and Output'!D$23*'Input and Output'!$B$10)+('Input and Output'!D$24*Calculations!$C$5)+('Input and Output'!D$25*Calculations!$C$6)+('Input and Output'!D$26*(IF('Input and Output'!F$7="Detritus",Calculations!$C$4,I502))-(SUM('Input and Output'!D$27:D$32))*J501))</f>
        <v>7.7173795566814078</v>
      </c>
      <c r="F502" s="49" t="e">
        <f>(('Input and Output'!E$23*'Input and Output'!$B$10)+('Input and Output'!E$24*Calculations!$C$5)+('Input and Output'!E$25*Calculations!$C$6)+('Input and Output'!E$26*(IF('Input and Output'!G$7="Detritus",Calculations!$C$4,J502))-(SUM('Input and Output'!E$27:E$32))*K501))</f>
        <v>#N/A</v>
      </c>
      <c r="H502" s="49">
        <f>IF(H$2="",NA(),C502*$B502+H501)</f>
        <v>322391.15693061135</v>
      </c>
      <c r="I502" s="49">
        <f>IF(I$2="",NA(),D502*$B502+I501)</f>
        <v>2955475.5023590634</v>
      </c>
      <c r="J502" s="49">
        <f>IF(J$2="",NA(),E502*$B502+J501)</f>
        <v>1374075.5678996211</v>
      </c>
      <c r="K502" s="49" t="e">
        <f>IF(K$2="",NA(),F502*$B502+K501)</f>
        <v>#N/A</v>
      </c>
    </row>
    <row r="503" spans="1:11" x14ac:dyDescent="0.4">
      <c r="A503" s="49">
        <v>500</v>
      </c>
      <c r="B503" s="49">
        <f>A503/$B$1</f>
        <v>20.833333333333332</v>
      </c>
      <c r="C503" s="49">
        <f>(('Input and Output'!B$23*'Input and Output'!$B$10)+('Input and Output'!B$24*Calculations!$C$5)+('Input and Output'!B$25*Calculations!$C$6)+('Input and Output'!B$26*(IF('Input and Output'!D$7="Detritus",Calculations!$C$4,G503))-(SUM('Input and Output'!B$27:B$32))*H502))</f>
        <v>2.0146322204929561</v>
      </c>
      <c r="D503" s="49">
        <f>(('Input and Output'!C$23*'Input and Output'!$B$10)+('Input and Output'!C$24*Calculations!$C$5)+('Input and Output'!C$25*Calculations!$C$6)+('Input and Output'!C$26*(IF('Input and Output'!E$7="Detritus",Calculations!$C$4,H503))-(SUM('Input and Output'!C$27:C$32))*I502))</f>
        <v>17.087865141290422</v>
      </c>
      <c r="E503" s="49">
        <f>(('Input and Output'!D$23*'Input and Output'!$B$10)+('Input and Output'!D$24*Calculations!$C$5)+('Input and Output'!D$25*Calculations!$C$6)+('Input and Output'!D$26*(IF('Input and Output'!F$7="Detritus",Calculations!$C$4,I503))-(SUM('Input and Output'!D$27:D$32))*J502))</f>
        <v>7.5619797038561956</v>
      </c>
      <c r="F503" s="49" t="e">
        <f>(('Input and Output'!E$23*'Input and Output'!$B$10)+('Input and Output'!E$24*Calculations!$C$5)+('Input and Output'!E$25*Calculations!$C$6)+('Input and Output'!E$26*(IF('Input and Output'!G$7="Detritus",Calculations!$C$4,J503))-(SUM('Input and Output'!E$27:E$32))*K502))</f>
        <v>#N/A</v>
      </c>
      <c r="H503" s="49">
        <f>IF(H$2="",NA(),C503*$B503+H502)</f>
        <v>322433.12843520497</v>
      </c>
      <c r="I503" s="49">
        <f>IF(I$2="",NA(),D503*$B503+I502)</f>
        <v>2955831.4995495067</v>
      </c>
      <c r="J503" s="49">
        <f>IF(J$2="",NA(),E503*$B503+J502)</f>
        <v>1374233.1091434513</v>
      </c>
      <c r="K503" s="49" t="e">
        <f>IF(K$2="",NA(),F503*$B503+K502)</f>
        <v>#N/A</v>
      </c>
    </row>
    <row r="504" spans="1:11" x14ac:dyDescent="0.4">
      <c r="A504" s="49">
        <v>501</v>
      </c>
      <c r="B504" s="49">
        <f>A504/$B$1</f>
        <v>20.875</v>
      </c>
      <c r="C504" s="49">
        <f>(('Input and Output'!B$23*'Input and Output'!$B$10)+('Input and Output'!B$24*Calculations!$C$5)+('Input and Output'!B$25*Calculations!$C$6)+('Input and Output'!B$26*(IF('Input and Output'!D$7="Detritus",Calculations!$C$4,G504))-(SUM('Input and Output'!B$27:B$32))*H503))</f>
        <v>1.974166901001297</v>
      </c>
      <c r="D504" s="49">
        <f>(('Input and Output'!C$23*'Input and Output'!$B$10)+('Input and Output'!C$24*Calculations!$C$5)+('Input and Output'!C$25*Calculations!$C$6)+('Input and Output'!C$26*(IF('Input and Output'!E$7="Detritus",Calculations!$C$4,H504))-(SUM('Input and Output'!C$27:C$32))*I503))</f>
        <v>16.743848250669544</v>
      </c>
      <c r="E504" s="49">
        <f>(('Input and Output'!D$23*'Input and Output'!$B$10)+('Input and Output'!D$24*Calculations!$C$5)+('Input and Output'!D$25*Calculations!$C$6)+('Input and Output'!D$26*(IF('Input and Output'!F$7="Detritus",Calculations!$C$4,I504))-(SUM('Input and Output'!D$27:D$32))*J503))</f>
        <v>7.4094056268113491</v>
      </c>
      <c r="F504" s="49" t="e">
        <f>(('Input and Output'!E$23*'Input and Output'!$B$10)+('Input and Output'!E$24*Calculations!$C$5)+('Input and Output'!E$25*Calculations!$C$6)+('Input and Output'!E$26*(IF('Input and Output'!G$7="Detritus",Calculations!$C$4,J504))-(SUM('Input and Output'!E$27:E$32))*K503))</f>
        <v>#N/A</v>
      </c>
      <c r="H504" s="49">
        <f>IF(H$2="",NA(),C504*$B504+H503)</f>
        <v>322474.33916926337</v>
      </c>
      <c r="I504" s="49">
        <f>IF(I$2="",NA(),D504*$B504+I503)</f>
        <v>2956181.0273817396</v>
      </c>
      <c r="J504" s="49">
        <f>IF(J$2="",NA(),E504*$B504+J503)</f>
        <v>1374387.7804859111</v>
      </c>
      <c r="K504" s="49" t="e">
        <f>IF(K$2="",NA(),F504*$B504+K503)</f>
        <v>#N/A</v>
      </c>
    </row>
    <row r="505" spans="1:11" x14ac:dyDescent="0.4">
      <c r="A505" s="49">
        <v>502</v>
      </c>
      <c r="B505" s="49">
        <f>A505/$B$1</f>
        <v>20.916666666666668</v>
      </c>
      <c r="C505" s="49">
        <f>(('Input and Output'!B$23*'Input and Output'!$B$10)+('Input and Output'!B$24*Calculations!$C$5)+('Input and Output'!B$25*Calculations!$C$6)+('Input and Output'!B$26*(IF('Input and Output'!D$7="Detritus",Calculations!$C$4,G505))-(SUM('Input and Output'!B$27:B$32))*H504))</f>
        <v>1.9344350511116204</v>
      </c>
      <c r="D505" s="49">
        <f>(('Input and Output'!C$23*'Input and Output'!$B$10)+('Input and Output'!C$24*Calculations!$C$5)+('Input and Output'!C$25*Calculations!$C$6)+('Input and Output'!C$26*(IF('Input and Output'!E$7="Detritus",Calculations!$C$4,H505))-(SUM('Input and Output'!C$27:C$32))*I504))</f>
        <v>16.406085090229681</v>
      </c>
      <c r="E505" s="49">
        <f>(('Input and Output'!D$23*'Input and Output'!$B$10)+('Input and Output'!D$24*Calculations!$C$5)+('Input and Output'!D$25*Calculations!$C$6)+('Input and Output'!D$26*(IF('Input and Output'!F$7="Detritus",Calculations!$C$4,I505))-(SUM('Input and Output'!D$27:D$32))*J504))</f>
        <v>7.2596126653406827</v>
      </c>
      <c r="F505" s="49" t="e">
        <f>(('Input and Output'!E$23*'Input and Output'!$B$10)+('Input and Output'!E$24*Calculations!$C$5)+('Input and Output'!E$25*Calculations!$C$6)+('Input and Output'!E$26*(IF('Input and Output'!G$7="Detritus",Calculations!$C$4,J505))-(SUM('Input and Output'!E$27:E$32))*K504))</f>
        <v>#N/A</v>
      </c>
      <c r="H505" s="49">
        <f>IF(H$2="",NA(),C505*$B505+H504)</f>
        <v>322514.80110241577</v>
      </c>
      <c r="I505" s="49">
        <f>IF(I$2="",NA(),D505*$B505+I504)</f>
        <v>2956524.1879948769</v>
      </c>
      <c r="J505" s="49">
        <f>IF(J$2="",NA(),E505*$B505+J504)</f>
        <v>1374539.6273841611</v>
      </c>
      <c r="K505" s="49" t="e">
        <f>IF(K$2="",NA(),F505*$B505+K504)</f>
        <v>#N/A</v>
      </c>
    </row>
    <row r="506" spans="1:11" x14ac:dyDescent="0.4">
      <c r="A506" s="49">
        <v>503</v>
      </c>
      <c r="B506" s="49">
        <f>A506/$B$1</f>
        <v>20.958333333333332</v>
      </c>
      <c r="C506" s="49">
        <f>(('Input and Output'!B$23*'Input and Output'!$B$10)+('Input and Output'!B$24*Calculations!$C$5)+('Input and Output'!B$25*Calculations!$C$6)+('Input and Output'!B$26*(IF('Input and Output'!D$7="Detritus",Calculations!$C$4,G506))-(SUM('Input and Output'!B$27:B$32))*H505))</f>
        <v>1.8954251307354752</v>
      </c>
      <c r="D506" s="49">
        <f>(('Input and Output'!C$23*'Input and Output'!$B$10)+('Input and Output'!C$24*Calculations!$C$5)+('Input and Output'!C$25*Calculations!$C$6)+('Input and Output'!C$26*(IF('Input and Output'!E$7="Detritus",Calculations!$C$4,H506))-(SUM('Input and Output'!C$27:C$32))*I505))</f>
        <v>16.074476869152932</v>
      </c>
      <c r="E506" s="49">
        <f>(('Input and Output'!D$23*'Input and Output'!$B$10)+('Input and Output'!D$24*Calculations!$C$5)+('Input and Output'!D$25*Calculations!$C$6)+('Input and Output'!D$26*(IF('Input and Output'!F$7="Detritus",Calculations!$C$4,I506))-(SUM('Input and Output'!D$27:D$32))*J505))</f>
        <v>7.1125567238232179</v>
      </c>
      <c r="F506" s="49" t="e">
        <f>(('Input and Output'!E$23*'Input and Output'!$B$10)+('Input and Output'!E$24*Calculations!$C$5)+('Input and Output'!E$25*Calculations!$C$6)+('Input and Output'!E$26*(IF('Input and Output'!G$7="Detritus",Calculations!$C$4,J506))-(SUM('Input and Output'!E$27:E$32))*K505))</f>
        <v>#N/A</v>
      </c>
      <c r="H506" s="49">
        <f>IF(H$2="",NA(),C506*$B506+H505)</f>
        <v>322554.5260541141</v>
      </c>
      <c r="I506" s="49">
        <f>IF(I$2="",NA(),D506*$B506+I505)</f>
        <v>2956861.0822392595</v>
      </c>
      <c r="J506" s="49">
        <f>IF(J$2="",NA(),E506*$B506+J505)</f>
        <v>1374688.6947188312</v>
      </c>
      <c r="K506" s="49" t="e">
        <f>IF(K$2="",NA(),F506*$B506+K505)</f>
        <v>#N/A</v>
      </c>
    </row>
    <row r="507" spans="1:11" x14ac:dyDescent="0.4">
      <c r="A507" s="49">
        <v>504</v>
      </c>
      <c r="B507" s="49">
        <f>A507/$B$1</f>
        <v>21</v>
      </c>
      <c r="C507" s="49">
        <f>(('Input and Output'!B$23*'Input and Output'!$B$10)+('Input and Output'!B$24*Calculations!$C$5)+('Input and Output'!B$25*Calculations!$C$6)+('Input and Output'!B$26*(IF('Input and Output'!D$7="Detritus",Calculations!$C$4,G507))-(SUM('Input and Output'!B$27:B$32))*H506))</f>
        <v>1.8571257445727269</v>
      </c>
      <c r="D507" s="49">
        <f>(('Input and Output'!C$23*'Input and Output'!$B$10)+('Input and Output'!C$24*Calculations!$C$5)+('Input and Output'!C$25*Calculations!$C$6)+('Input and Output'!C$26*(IF('Input and Output'!E$7="Detritus",Calculations!$C$4,H507))-(SUM('Input and Output'!C$27:C$32))*I506))</f>
        <v>15.748926044701875</v>
      </c>
      <c r="E507" s="49">
        <f>(('Input and Output'!D$23*'Input and Output'!$B$10)+('Input and Output'!D$24*Calculations!$C$5)+('Input and Output'!D$25*Calculations!$C$6)+('Input and Output'!D$26*(IF('Input and Output'!F$7="Detritus",Calculations!$C$4,I507))-(SUM('Input and Output'!D$27:D$32))*J506))</f>
        <v>6.9681942672214063</v>
      </c>
      <c r="F507" s="49" t="e">
        <f>(('Input and Output'!E$23*'Input and Output'!$B$10)+('Input and Output'!E$24*Calculations!$C$5)+('Input and Output'!E$25*Calculations!$C$6)+('Input and Output'!E$26*(IF('Input and Output'!G$7="Detritus",Calculations!$C$4,J507))-(SUM('Input and Output'!E$27:E$32))*K506))</f>
        <v>#N/A</v>
      </c>
      <c r="H507" s="49">
        <f>IF(H$2="",NA(),C507*$B507+H506)</f>
        <v>322593.52569475013</v>
      </c>
      <c r="I507" s="49">
        <f>IF(I$2="",NA(),D507*$B507+I506)</f>
        <v>2957191.8096861984</v>
      </c>
      <c r="J507" s="49">
        <f>IF(J$2="",NA(),E507*$B507+J506)</f>
        <v>1374835.0267984429</v>
      </c>
      <c r="K507" s="49" t="e">
        <f>IF(K$2="",NA(),F507*$B507+K506)</f>
        <v>#N/A</v>
      </c>
    </row>
    <row r="508" spans="1:11" x14ac:dyDescent="0.4">
      <c r="A508" s="49">
        <v>505</v>
      </c>
      <c r="B508" s="49">
        <f>A508/$B$1</f>
        <v>21.041666666666668</v>
      </c>
      <c r="C508" s="49">
        <f>(('Input and Output'!B$23*'Input and Output'!$B$10)+('Input and Output'!B$24*Calculations!$C$5)+('Input and Output'!B$25*Calculations!$C$6)+('Input and Output'!B$26*(IF('Input and Output'!D$7="Detritus",Calculations!$C$4,G508))-(SUM('Input and Output'!B$27:B$32))*H507))</f>
        <v>1.8195256410339766</v>
      </c>
      <c r="D508" s="49">
        <f>(('Input and Output'!C$23*'Input and Output'!$B$10)+('Input and Output'!C$24*Calculations!$C$5)+('Input and Output'!C$25*Calculations!$C$6)+('Input and Output'!C$26*(IF('Input and Output'!E$7="Detritus",Calculations!$C$4,H508))-(SUM('Input and Output'!C$27:C$32))*I507))</f>
        <v>15.429336312747182</v>
      </c>
      <c r="E508" s="49">
        <f>(('Input and Output'!D$23*'Input and Output'!$B$10)+('Input and Output'!D$24*Calculations!$C$5)+('Input and Output'!D$25*Calculations!$C$6)+('Input and Output'!D$26*(IF('Input and Output'!F$7="Detritus",Calculations!$C$4,I508))-(SUM('Input and Output'!D$27:D$32))*J507))</f>
        <v>6.826482316453621</v>
      </c>
      <c r="F508" s="49" t="e">
        <f>(('Input and Output'!E$23*'Input and Output'!$B$10)+('Input and Output'!E$24*Calculations!$C$5)+('Input and Output'!E$25*Calculations!$C$6)+('Input and Output'!E$26*(IF('Input and Output'!G$7="Detritus",Calculations!$C$4,J508))-(SUM('Input and Output'!E$27:E$32))*K507))</f>
        <v>#N/A</v>
      </c>
      <c r="H508" s="49">
        <f>IF(H$2="",NA(),C508*$B508+H507)</f>
        <v>322631.81154678023</v>
      </c>
      <c r="I508" s="49">
        <f>IF(I$2="",NA(),D508*$B508+I507)</f>
        <v>2957516.4686377789</v>
      </c>
      <c r="J508" s="49">
        <f>IF(J$2="",NA(),E508*$B508+J507)</f>
        <v>1374978.6673638516</v>
      </c>
      <c r="K508" s="49" t="e">
        <f>IF(K$2="",NA(),F508*$B508+K507)</f>
        <v>#N/A</v>
      </c>
    </row>
    <row r="509" spans="1:11" x14ac:dyDescent="0.4">
      <c r="A509" s="49">
        <v>506</v>
      </c>
      <c r="B509" s="49">
        <f>A509/$B$1</f>
        <v>21.083333333333332</v>
      </c>
      <c r="C509" s="49">
        <f>(('Input and Output'!B$23*'Input and Output'!$B$10)+('Input and Output'!B$24*Calculations!$C$5)+('Input and Output'!B$25*Calculations!$C$6)+('Input and Output'!B$26*(IF('Input and Output'!D$7="Detritus",Calculations!$C$4,G509))-(SUM('Input and Output'!B$27:B$32))*H508))</f>
        <v>1.782613711156614</v>
      </c>
      <c r="D509" s="49">
        <f>(('Input and Output'!C$23*'Input and Output'!$B$10)+('Input and Output'!C$24*Calculations!$C$5)+('Input and Output'!C$25*Calculations!$C$6)+('Input and Output'!C$26*(IF('Input and Output'!E$7="Detritus",Calculations!$C$4,H509))-(SUM('Input and Output'!C$27:C$32))*I508))</f>
        <v>15.11561259822156</v>
      </c>
      <c r="E509" s="49">
        <f>(('Input and Output'!D$23*'Input and Output'!$B$10)+('Input and Output'!D$24*Calculations!$C$5)+('Input and Output'!D$25*Calculations!$C$6)+('Input and Output'!D$26*(IF('Input and Output'!F$7="Detritus",Calculations!$C$4,I509))-(SUM('Input and Output'!D$27:D$32))*J508))</f>
        <v>6.6873784443923796</v>
      </c>
      <c r="F509" s="49" t="e">
        <f>(('Input and Output'!E$23*'Input and Output'!$B$10)+('Input and Output'!E$24*Calculations!$C$5)+('Input and Output'!E$25*Calculations!$C$6)+('Input and Output'!E$26*(IF('Input and Output'!G$7="Detritus",Calculations!$C$4,J509))-(SUM('Input and Output'!E$27:E$32))*K508))</f>
        <v>#N/A</v>
      </c>
      <c r="H509" s="49">
        <f>IF(H$2="",NA(),C509*$B509+H508)</f>
        <v>322669.39498585713</v>
      </c>
      <c r="I509" s="49">
        <f>IF(I$2="",NA(),D509*$B509+I508)</f>
        <v>2957835.1561367246</v>
      </c>
      <c r="J509" s="49">
        <f>IF(J$2="",NA(),E509*$B509+J508)</f>
        <v>1375119.6595927209</v>
      </c>
      <c r="K509" s="49" t="e">
        <f>IF(K$2="",NA(),F509*$B509+K508)</f>
        <v>#N/A</v>
      </c>
    </row>
    <row r="510" spans="1:11" x14ac:dyDescent="0.4">
      <c r="A510" s="49">
        <v>507</v>
      </c>
      <c r="B510" s="49">
        <f>A510/$B$1</f>
        <v>21.125</v>
      </c>
      <c r="C510" s="49">
        <f>(('Input and Output'!B$23*'Input and Output'!$B$10)+('Input and Output'!B$24*Calculations!$C$5)+('Input and Output'!B$25*Calculations!$C$6)+('Input and Output'!B$26*(IF('Input and Output'!D$7="Detritus",Calculations!$C$4,G510))-(SUM('Input and Output'!B$27:B$32))*H509))</f>
        <v>1.7463789875133102</v>
      </c>
      <c r="D510" s="49">
        <f>(('Input and Output'!C$23*'Input and Output'!$B$10)+('Input and Output'!C$24*Calculations!$C$5)+('Input and Output'!C$25*Calculations!$C$6)+('Input and Output'!C$26*(IF('Input and Output'!E$7="Detritus",Calculations!$C$4,H510))-(SUM('Input and Output'!C$27:C$32))*I509))</f>
        <v>14.807661045515488</v>
      </c>
      <c r="E510" s="49">
        <f>(('Input and Output'!D$23*'Input and Output'!$B$10)+('Input and Output'!D$24*Calculations!$C$5)+('Input and Output'!D$25*Calculations!$C$6)+('Input and Output'!D$26*(IF('Input and Output'!F$7="Detritus",Calculations!$C$4,I510))-(SUM('Input and Output'!D$27:D$32))*J509))</f>
        <v>6.5508407711495238</v>
      </c>
      <c r="F510" s="49" t="e">
        <f>(('Input and Output'!E$23*'Input and Output'!$B$10)+('Input and Output'!E$24*Calculations!$C$5)+('Input and Output'!E$25*Calculations!$C$6)+('Input and Output'!E$26*(IF('Input and Output'!G$7="Detritus",Calculations!$C$4,J510))-(SUM('Input and Output'!E$27:E$32))*K509))</f>
        <v>#N/A</v>
      </c>
      <c r="H510" s="49">
        <f>IF(H$2="",NA(),C510*$B510+H509)</f>
        <v>322706.28724196833</v>
      </c>
      <c r="I510" s="49">
        <f>IF(I$2="",NA(),D510*$B510+I509)</f>
        <v>2958147.9679763112</v>
      </c>
      <c r="J510" s="49">
        <f>IF(J$2="",NA(),E510*$B510+J509)</f>
        <v>1375258.0461040114</v>
      </c>
      <c r="K510" s="49" t="e">
        <f>IF(K$2="",NA(),F510*$B510+K509)</f>
        <v>#N/A</v>
      </c>
    </row>
    <row r="511" spans="1:11" x14ac:dyDescent="0.4">
      <c r="A511" s="49">
        <v>508</v>
      </c>
      <c r="B511" s="49">
        <f>A511/$B$1</f>
        <v>21.166666666666668</v>
      </c>
      <c r="C511" s="49">
        <f>(('Input and Output'!B$23*'Input and Output'!$B$10)+('Input and Output'!B$24*Calculations!$C$5)+('Input and Output'!B$25*Calculations!$C$6)+('Input and Output'!B$26*(IF('Input and Output'!D$7="Detritus",Calculations!$C$4,G511))-(SUM('Input and Output'!B$27:B$32))*H510))</f>
        <v>1.7108106431148826</v>
      </c>
      <c r="D511" s="49">
        <f>(('Input and Output'!C$23*'Input and Output'!$B$10)+('Input and Output'!C$24*Calculations!$C$5)+('Input and Output'!C$25*Calculations!$C$6)+('Input and Output'!C$26*(IF('Input and Output'!E$7="Detritus",Calculations!$C$4,H511))-(SUM('Input and Output'!C$27:C$32))*I510))</f>
        <v>14.50538900884203</v>
      </c>
      <c r="E511" s="49">
        <f>(('Input and Output'!D$23*'Input and Output'!$B$10)+('Input and Output'!D$24*Calculations!$C$5)+('Input and Output'!D$25*Calculations!$C$6)+('Input and Output'!D$26*(IF('Input and Output'!F$7="Detritus",Calculations!$C$4,I511))-(SUM('Input and Output'!D$27:D$32))*J510))</f>
        <v>6.4168279599434754</v>
      </c>
      <c r="F511" s="49" t="e">
        <f>(('Input and Output'!E$23*'Input and Output'!$B$10)+('Input and Output'!E$24*Calculations!$C$5)+('Input and Output'!E$25*Calculations!$C$6)+('Input and Output'!E$26*(IF('Input and Output'!G$7="Detritus",Calculations!$C$4,J511))-(SUM('Input and Output'!E$27:E$32))*K510))</f>
        <v>#N/A</v>
      </c>
      <c r="H511" s="49">
        <f>IF(H$2="",NA(),C511*$B511+H510)</f>
        <v>322742.49940058094</v>
      </c>
      <c r="I511" s="49">
        <f>IF(I$2="",NA(),D511*$B511+I510)</f>
        <v>2958454.9987103315</v>
      </c>
      <c r="J511" s="49">
        <f>IF(J$2="",NA(),E511*$B511+J510)</f>
        <v>1375393.8689624968</v>
      </c>
      <c r="K511" s="49" t="e">
        <f>IF(K$2="",NA(),F511*$B511+K510)</f>
        <v>#N/A</v>
      </c>
    </row>
    <row r="512" spans="1:11" x14ac:dyDescent="0.4">
      <c r="A512" s="49">
        <v>509</v>
      </c>
      <c r="B512" s="49">
        <f>A512/$B$1</f>
        <v>21.208333333333332</v>
      </c>
      <c r="C512" s="49">
        <f>(('Input and Output'!B$23*'Input and Output'!$B$10)+('Input and Output'!B$24*Calculations!$C$5)+('Input and Output'!B$25*Calculations!$C$6)+('Input and Output'!B$26*(IF('Input and Output'!D$7="Detritus",Calculations!$C$4,G512))-(SUM('Input and Output'!B$27:B$32))*H511))</f>
        <v>1.6758979903059981</v>
      </c>
      <c r="D512" s="49">
        <f>(('Input and Output'!C$23*'Input and Output'!$B$10)+('Input and Output'!C$24*Calculations!$C$5)+('Input and Output'!C$25*Calculations!$C$6)+('Input and Output'!C$26*(IF('Input and Output'!E$7="Detritus",Calculations!$C$4,H512))-(SUM('Input and Output'!C$27:C$32))*I511))</f>
        <v>14.208705042544352</v>
      </c>
      <c r="E512" s="49">
        <f>(('Input and Output'!D$23*'Input and Output'!$B$10)+('Input and Output'!D$24*Calculations!$C$5)+('Input and Output'!D$25*Calculations!$C$6)+('Input and Output'!D$26*(IF('Input and Output'!F$7="Detritus",Calculations!$C$4,I512))-(SUM('Input and Output'!D$27:D$32))*J511))</f>
        <v>6.2852992125008313</v>
      </c>
      <c r="F512" s="49" t="e">
        <f>(('Input and Output'!E$23*'Input and Output'!$B$10)+('Input and Output'!E$24*Calculations!$C$5)+('Input and Output'!E$25*Calculations!$C$6)+('Input and Output'!E$26*(IF('Input and Output'!G$7="Detritus",Calculations!$C$4,J512))-(SUM('Input and Output'!E$27:E$32))*K511))</f>
        <v>#N/A</v>
      </c>
      <c r="H512" s="49">
        <f>IF(H$2="",NA(),C512*$B512+H511)</f>
        <v>322778.04240379203</v>
      </c>
      <c r="I512" s="49">
        <f>IF(I$2="",NA(),D512*$B512+I511)</f>
        <v>2958756.3416631087</v>
      </c>
      <c r="J512" s="49">
        <f>IF(J$2="",NA(),E512*$B512+J511)</f>
        <v>1375527.1696832953</v>
      </c>
      <c r="K512" s="49" t="e">
        <f>IF(K$2="",NA(),F512*$B512+K511)</f>
        <v>#N/A</v>
      </c>
    </row>
    <row r="513" spans="1:11" x14ac:dyDescent="0.4">
      <c r="A513" s="49">
        <v>510</v>
      </c>
      <c r="B513" s="49">
        <f>A513/$B$1</f>
        <v>21.25</v>
      </c>
      <c r="C513" s="49">
        <f>(('Input and Output'!B$23*'Input and Output'!$B$10)+('Input and Output'!B$24*Calculations!$C$5)+('Input and Output'!B$25*Calculations!$C$6)+('Input and Output'!B$26*(IF('Input and Output'!D$7="Detritus",Calculations!$C$4,G513))-(SUM('Input and Output'!B$27:B$32))*H512))</f>
        <v>1.641630479656726</v>
      </c>
      <c r="D513" s="49">
        <f>(('Input and Output'!C$23*'Input and Output'!$B$10)+('Input and Output'!C$24*Calculations!$C$5)+('Input and Output'!C$25*Calculations!$C$6)+('Input and Output'!C$26*(IF('Input and Output'!E$7="Detritus",Calculations!$C$4,H513))-(SUM('Input and Output'!C$27:C$32))*I512))</f>
        <v>13.917518891347754</v>
      </c>
      <c r="E513" s="49">
        <f>(('Input and Output'!D$23*'Input and Output'!$B$10)+('Input and Output'!D$24*Calculations!$C$5)+('Input and Output'!D$25*Calculations!$C$6)+('Input and Output'!D$26*(IF('Input and Output'!F$7="Detritus",Calculations!$C$4,I513))-(SUM('Input and Output'!D$27:D$32))*J512))</f>
        <v>6.1562142647344444</v>
      </c>
      <c r="F513" s="49" t="e">
        <f>(('Input and Output'!E$23*'Input and Output'!$B$10)+('Input and Output'!E$24*Calculations!$C$5)+('Input and Output'!E$25*Calculations!$C$6)+('Input and Output'!E$26*(IF('Input and Output'!G$7="Detritus",Calculations!$C$4,J513))-(SUM('Input and Output'!E$27:E$32))*K512))</f>
        <v>#N/A</v>
      </c>
      <c r="H513" s="49">
        <f>IF(H$2="",NA(),C513*$B513+H512)</f>
        <v>322812.92705148476</v>
      </c>
      <c r="I513" s="49">
        <f>IF(I$2="",NA(),D513*$B513+I512)</f>
        <v>2959052.0889395499</v>
      </c>
      <c r="J513" s="49">
        <f>IF(J$2="",NA(),E513*$B513+J512)</f>
        <v>1375657.989236421</v>
      </c>
      <c r="K513" s="49" t="e">
        <f>IF(K$2="",NA(),F513*$B513+K512)</f>
        <v>#N/A</v>
      </c>
    </row>
    <row r="514" spans="1:11" x14ac:dyDescent="0.4">
      <c r="A514" s="49">
        <v>511</v>
      </c>
      <c r="B514" s="49">
        <f>A514/$B$1</f>
        <v>21.291666666666668</v>
      </c>
      <c r="C514" s="49">
        <f>(('Input and Output'!B$23*'Input and Output'!$B$10)+('Input and Output'!B$24*Calculations!$C$5)+('Input and Output'!B$25*Calculations!$C$6)+('Input and Output'!B$26*(IF('Input and Output'!D$7="Detritus",Calculations!$C$4,G514))-(SUM('Input and Output'!B$27:B$32))*H513))</f>
        <v>1.6079976988472708</v>
      </c>
      <c r="D514" s="49">
        <f>(('Input and Output'!C$23*'Input and Output'!$B$10)+('Input and Output'!C$24*Calculations!$C$5)+('Input and Output'!C$25*Calculations!$C$6)+('Input and Output'!C$26*(IF('Input and Output'!E$7="Detritus",Calculations!$C$4,H514))-(SUM('Input and Output'!C$27:C$32))*I513))</f>
        <v>13.631741480595338</v>
      </c>
      <c r="E514" s="49">
        <f>(('Input and Output'!D$23*'Input and Output'!$B$10)+('Input and Output'!D$24*Calculations!$C$5)+('Input and Output'!D$25*Calculations!$C$6)+('Input and Output'!D$26*(IF('Input and Output'!F$7="Detritus",Calculations!$C$4,I514))-(SUM('Input and Output'!D$27:D$32))*J513))</f>
        <v>6.0295333821595705</v>
      </c>
      <c r="F514" s="49" t="e">
        <f>(('Input and Output'!E$23*'Input and Output'!$B$10)+('Input and Output'!E$24*Calculations!$C$5)+('Input and Output'!E$25*Calculations!$C$6)+('Input and Output'!E$26*(IF('Input and Output'!G$7="Detritus",Calculations!$C$4,J514))-(SUM('Input and Output'!E$27:E$32))*K513))</f>
        <v>#N/A</v>
      </c>
      <c r="H514" s="49">
        <f>IF(H$2="",NA(),C514*$B514+H513)</f>
        <v>322847.16400248936</v>
      </c>
      <c r="I514" s="49">
        <f>IF(I$2="",NA(),D514*$B514+I513)</f>
        <v>2959342.3314352408</v>
      </c>
      <c r="J514" s="49">
        <f>IF(J$2="",NA(),E514*$B514+J513)</f>
        <v>1375786.3680513494</v>
      </c>
      <c r="K514" s="49" t="e">
        <f>IF(K$2="",NA(),F514*$B514+K513)</f>
        <v>#N/A</v>
      </c>
    </row>
    <row r="515" spans="1:11" x14ac:dyDescent="0.4">
      <c r="A515" s="49">
        <v>512</v>
      </c>
      <c r="B515" s="49">
        <f>A515/$B$1</f>
        <v>21.333333333333332</v>
      </c>
      <c r="C515" s="49">
        <f>(('Input and Output'!B$23*'Input and Output'!$B$10)+('Input and Output'!B$24*Calculations!$C$5)+('Input and Output'!B$25*Calculations!$C$6)+('Input and Output'!B$26*(IF('Input and Output'!D$7="Detritus",Calculations!$C$4,G515))-(SUM('Input and Output'!B$27:B$32))*H514))</f>
        <v>1.5749893715491226</v>
      </c>
      <c r="D515" s="49">
        <f>(('Input and Output'!C$23*'Input and Output'!$B$10)+('Input and Output'!C$24*Calculations!$C$5)+('Input and Output'!C$25*Calculations!$C$6)+('Input and Output'!C$26*(IF('Input and Output'!E$7="Detritus",Calculations!$C$4,H515))-(SUM('Input and Output'!C$27:C$32))*I514))</f>
        <v>13.351284906433648</v>
      </c>
      <c r="E515" s="49">
        <f>(('Input and Output'!D$23*'Input and Output'!$B$10)+('Input and Output'!D$24*Calculations!$C$5)+('Input and Output'!D$25*Calculations!$C$6)+('Input and Output'!D$26*(IF('Input and Output'!F$7="Detritus",Calculations!$C$4,I515))-(SUM('Input and Output'!D$27:D$32))*J514))</f>
        <v>5.9052173556592606</v>
      </c>
      <c r="F515" s="49" t="e">
        <f>(('Input and Output'!E$23*'Input and Output'!$B$10)+('Input and Output'!E$24*Calculations!$C$5)+('Input and Output'!E$25*Calculations!$C$6)+('Input and Output'!E$26*(IF('Input and Output'!G$7="Detritus",Calculations!$C$4,J515))-(SUM('Input and Output'!E$27:E$32))*K514))</f>
        <v>#N/A</v>
      </c>
      <c r="H515" s="49">
        <f>IF(H$2="",NA(),C515*$B515+H514)</f>
        <v>322880.76377574907</v>
      </c>
      <c r="I515" s="49">
        <f>IF(I$2="",NA(),D515*$B515+I514)</f>
        <v>2959627.1588465781</v>
      </c>
      <c r="J515" s="49">
        <f>IF(J$2="",NA(),E515*$B515+J514)</f>
        <v>1375912.3460216036</v>
      </c>
      <c r="K515" s="49" t="e">
        <f>IF(K$2="",NA(),F515*$B515+K514)</f>
        <v>#N/A</v>
      </c>
    </row>
    <row r="516" spans="1:11" x14ac:dyDescent="0.4">
      <c r="A516" s="49">
        <v>513</v>
      </c>
      <c r="B516" s="49">
        <f>A516/$B$1</f>
        <v>21.375</v>
      </c>
      <c r="C516" s="49">
        <f>(('Input and Output'!B$23*'Input and Output'!$B$10)+('Input and Output'!B$24*Calculations!$C$5)+('Input and Output'!B$25*Calculations!$C$6)+('Input and Output'!B$26*(IF('Input and Output'!D$7="Detritus",Calculations!$C$4,G516))-(SUM('Input and Output'!B$27:B$32))*H515))</f>
        <v>1.5425953563008079</v>
      </c>
      <c r="D516" s="49">
        <f>(('Input and Output'!C$23*'Input and Output'!$B$10)+('Input and Output'!C$24*Calculations!$C$5)+('Input and Output'!C$25*Calculations!$C$6)+('Input and Output'!C$26*(IF('Input and Output'!E$7="Detritus",Calculations!$C$4,H516))-(SUM('Input and Output'!C$27:C$32))*I515))</f>
        <v>13.076062425958298</v>
      </c>
      <c r="E516" s="49">
        <f>(('Input and Output'!D$23*'Input and Output'!$B$10)+('Input and Output'!D$24*Calculations!$C$5)+('Input and Output'!D$25*Calculations!$C$6)+('Input and Output'!D$26*(IF('Input and Output'!F$7="Detritus",Calculations!$C$4,I516))-(SUM('Input and Output'!D$27:D$32))*J515))</f>
        <v>5.7832274966967816</v>
      </c>
      <c r="F516" s="49" t="e">
        <f>(('Input and Output'!E$23*'Input and Output'!$B$10)+('Input and Output'!E$24*Calculations!$C$5)+('Input and Output'!E$25*Calculations!$C$6)+('Input and Output'!E$26*(IF('Input and Output'!G$7="Detritus",Calculations!$C$4,J516))-(SUM('Input and Output'!E$27:E$32))*K515))</f>
        <v>#N/A</v>
      </c>
      <c r="H516" s="49">
        <f>IF(H$2="",NA(),C516*$B516+H515)</f>
        <v>322913.73675148998</v>
      </c>
      <c r="I516" s="49">
        <f>IF(I$2="",NA(),D516*$B516+I515)</f>
        <v>2959906.6596809328</v>
      </c>
      <c r="J516" s="49">
        <f>IF(J$2="",NA(),E516*$B516+J515)</f>
        <v>1376035.9625093455</v>
      </c>
      <c r="K516" s="49" t="e">
        <f>IF(K$2="",NA(),F516*$B516+K515)</f>
        <v>#N/A</v>
      </c>
    </row>
    <row r="517" spans="1:11" x14ac:dyDescent="0.4">
      <c r="A517" s="49">
        <v>514</v>
      </c>
      <c r="B517" s="49">
        <f>A517/$B$1</f>
        <v>21.416666666666668</v>
      </c>
      <c r="C517" s="49">
        <f>(('Input and Output'!B$23*'Input and Output'!$B$10)+('Input and Output'!B$24*Calculations!$C$5)+('Input and Output'!B$25*Calculations!$C$6)+('Input and Output'!B$26*(IF('Input and Output'!D$7="Detritus",Calculations!$C$4,G517))-(SUM('Input and Output'!B$27:B$32))*H516))</f>
        <v>1.5108056453798895</v>
      </c>
      <c r="D517" s="49">
        <f>(('Input and Output'!C$23*'Input and Output'!$B$10)+('Input and Output'!C$24*Calculations!$C$5)+('Input and Output'!C$25*Calculations!$C$6)+('Input and Output'!C$26*(IF('Input and Output'!E$7="Detritus",Calculations!$C$4,H517))-(SUM('Input and Output'!C$27:C$32))*I516))</f>
        <v>12.805988447344134</v>
      </c>
      <c r="E517" s="49">
        <f>(('Input and Output'!D$23*'Input and Output'!$B$10)+('Input and Output'!D$24*Calculations!$C$5)+('Input and Output'!D$25*Calculations!$C$6)+('Input and Output'!D$26*(IF('Input and Output'!F$7="Detritus",Calculations!$C$4,I517))-(SUM('Input and Output'!D$27:D$32))*J516))</f>
        <v>5.6635256330664561</v>
      </c>
      <c r="F517" s="49" t="e">
        <f>(('Input and Output'!E$23*'Input and Output'!$B$10)+('Input and Output'!E$24*Calculations!$C$5)+('Input and Output'!E$25*Calculations!$C$6)+('Input and Output'!E$26*(IF('Input and Output'!G$7="Detritus",Calculations!$C$4,J517))-(SUM('Input and Output'!E$27:E$32))*K516))</f>
        <v>#N/A</v>
      </c>
      <c r="H517" s="49">
        <f>IF(H$2="",NA(),C517*$B517+H516)</f>
        <v>322946.09317239519</v>
      </c>
      <c r="I517" s="49">
        <f>IF(I$2="",NA(),D517*$B517+I516)</f>
        <v>2960180.9212668468</v>
      </c>
      <c r="J517" s="49">
        <f>IF(J$2="",NA(),E517*$B517+J516)</f>
        <v>1376157.2563499871</v>
      </c>
      <c r="K517" s="49" t="e">
        <f>IF(K$2="",NA(),F517*$B517+K516)</f>
        <v>#N/A</v>
      </c>
    </row>
    <row r="518" spans="1:11" x14ac:dyDescent="0.4">
      <c r="A518" s="49">
        <v>515</v>
      </c>
      <c r="B518" s="49">
        <f>A518/$B$1</f>
        <v>21.458333333333332</v>
      </c>
      <c r="C518" s="49">
        <f>(('Input and Output'!B$23*'Input and Output'!$B$10)+('Input and Output'!B$24*Calculations!$C$5)+('Input and Output'!B$25*Calculations!$C$6)+('Input and Output'!B$26*(IF('Input and Output'!D$7="Detritus",Calculations!$C$4,G518))-(SUM('Input and Output'!B$27:B$32))*H517))</f>
        <v>1.4796103636711564</v>
      </c>
      <c r="D518" s="49">
        <f>(('Input and Output'!C$23*'Input and Output'!$B$10)+('Input and Output'!C$24*Calculations!$C$5)+('Input and Output'!C$25*Calculations!$C$6)+('Input and Output'!C$26*(IF('Input and Output'!E$7="Detritus",Calculations!$C$4,H518))-(SUM('Input and Output'!C$27:C$32))*I517))</f>
        <v>12.540978519935379</v>
      </c>
      <c r="E518" s="49">
        <f>(('Input and Output'!D$23*'Input and Output'!$B$10)+('Input and Output'!D$24*Calculations!$C$5)+('Input and Output'!D$25*Calculations!$C$6)+('Input and Output'!D$26*(IF('Input and Output'!F$7="Detritus",Calculations!$C$4,I518))-(SUM('Input and Output'!D$27:D$32))*J517))</f>
        <v>5.5460741043389135</v>
      </c>
      <c r="F518" s="49" t="e">
        <f>(('Input and Output'!E$23*'Input and Output'!$B$10)+('Input and Output'!E$24*Calculations!$C$5)+('Input and Output'!E$25*Calculations!$C$6)+('Input and Output'!E$26*(IF('Input and Output'!G$7="Detritus",Calculations!$C$4,J518))-(SUM('Input and Output'!E$27:E$32))*K517))</f>
        <v>#N/A</v>
      </c>
      <c r="H518" s="49">
        <f>IF(H$2="",NA(),C518*$B518+H517)</f>
        <v>322977.84314478229</v>
      </c>
      <c r="I518" s="49">
        <f>IF(I$2="",NA(),D518*$B518+I517)</f>
        <v>2960450.0297642536</v>
      </c>
      <c r="J518" s="49">
        <f>IF(J$2="",NA(),E518*$B518+J517)</f>
        <v>1376276.2658568094</v>
      </c>
      <c r="K518" s="49" t="e">
        <f>IF(K$2="",NA(),F518*$B518+K517)</f>
        <v>#N/A</v>
      </c>
    </row>
    <row r="519" spans="1:11" x14ac:dyDescent="0.4">
      <c r="A519" s="49">
        <v>516</v>
      </c>
      <c r="B519" s="49">
        <f>A519/$B$1</f>
        <v>21.5</v>
      </c>
      <c r="C519" s="49">
        <f>(('Input and Output'!B$23*'Input and Output'!$B$10)+('Input and Output'!B$24*Calculations!$C$5)+('Input and Output'!B$25*Calculations!$C$6)+('Input and Output'!B$26*(IF('Input and Output'!D$7="Detritus",Calculations!$C$4,G519))-(SUM('Input and Output'!B$27:B$32))*H518))</f>
        <v>1.4489997675314044</v>
      </c>
      <c r="D519" s="49">
        <f>(('Input and Output'!C$23*'Input and Output'!$B$10)+('Input and Output'!C$24*Calculations!$C$5)+('Input and Output'!C$25*Calculations!$C$6)+('Input and Output'!C$26*(IF('Input and Output'!E$7="Detritus",Calculations!$C$4,H519))-(SUM('Input and Output'!C$27:C$32))*I518))</f>
        <v>12.280949324311223</v>
      </c>
      <c r="E519" s="49">
        <f>(('Input and Output'!D$23*'Input and Output'!$B$10)+('Input and Output'!D$24*Calculations!$C$5)+('Input and Output'!D$25*Calculations!$C$6)+('Input and Output'!D$26*(IF('Input and Output'!F$7="Detritus",Calculations!$C$4,I519))-(SUM('Input and Output'!D$27:D$32))*J518))</f>
        <v>5.4308357571753731</v>
      </c>
      <c r="F519" s="49" t="e">
        <f>(('Input and Output'!E$23*'Input and Output'!$B$10)+('Input and Output'!E$24*Calculations!$C$5)+('Input and Output'!E$25*Calculations!$C$6)+('Input and Output'!E$26*(IF('Input and Output'!G$7="Detritus",Calculations!$C$4,J519))-(SUM('Input and Output'!E$27:E$32))*K518))</f>
        <v>#N/A</v>
      </c>
      <c r="H519" s="49">
        <f>IF(H$2="",NA(),C519*$B519+H518)</f>
        <v>323008.99663978419</v>
      </c>
      <c r="I519" s="49">
        <f>IF(I$2="",NA(),D519*$B519+I518)</f>
        <v>2960714.0701747262</v>
      </c>
      <c r="J519" s="49">
        <f>IF(J$2="",NA(),E519*$B519+J518)</f>
        <v>1376393.0288255888</v>
      </c>
      <c r="K519" s="49" t="e">
        <f>IF(K$2="",NA(),F519*$B519+K518)</f>
        <v>#N/A</v>
      </c>
    </row>
    <row r="520" spans="1:11" x14ac:dyDescent="0.4">
      <c r="A520" s="49">
        <v>517</v>
      </c>
      <c r="B520" s="49">
        <f>A520/$B$1</f>
        <v>21.541666666666668</v>
      </c>
      <c r="C520" s="49">
        <f>(('Input and Output'!B$23*'Input and Output'!$B$10)+('Input and Output'!B$24*Calculations!$C$5)+('Input and Output'!B$25*Calculations!$C$6)+('Input and Output'!B$26*(IF('Input and Output'!D$7="Detritus",Calculations!$C$4,G520))-(SUM('Input and Output'!B$27:B$32))*H519))</f>
        <v>1.4189642436506347</v>
      </c>
      <c r="D520" s="49">
        <f>(('Input and Output'!C$23*'Input and Output'!$B$10)+('Input and Output'!C$24*Calculations!$C$5)+('Input and Output'!C$25*Calculations!$C$6)+('Input and Output'!C$26*(IF('Input and Output'!E$7="Detritus",Calculations!$C$4,H520))-(SUM('Input and Output'!C$27:C$32))*I519))</f>
        <v>12.025818662345955</v>
      </c>
      <c r="E520" s="49">
        <f>(('Input and Output'!D$23*'Input and Output'!$B$10)+('Input and Output'!D$24*Calculations!$C$5)+('Input and Output'!D$25*Calculations!$C$6)+('Input and Output'!D$26*(IF('Input and Output'!F$7="Detritus",Calculations!$C$4,I520))-(SUM('Input and Output'!D$27:D$32))*J519))</f>
        <v>5.3177739411366929</v>
      </c>
      <c r="F520" s="49" t="e">
        <f>(('Input and Output'!E$23*'Input and Output'!$B$10)+('Input and Output'!E$24*Calculations!$C$5)+('Input and Output'!E$25*Calculations!$C$6)+('Input and Output'!E$26*(IF('Input and Output'!G$7="Detritus",Calculations!$C$4,J520))-(SUM('Input and Output'!E$27:E$32))*K519))</f>
        <v>#N/A</v>
      </c>
      <c r="H520" s="49">
        <f>IF(H$2="",NA(),C520*$B520+H519)</f>
        <v>323039.56349453283</v>
      </c>
      <c r="I520" s="49">
        <f>IF(I$2="",NA(),D520*$B520+I519)</f>
        <v>2960973.1263517444</v>
      </c>
      <c r="J520" s="49">
        <f>IF(J$2="",NA(),E520*$B520+J519)</f>
        <v>1376507.5825392373</v>
      </c>
      <c r="K520" s="49" t="e">
        <f>IF(K$2="",NA(),F520*$B520+K519)</f>
        <v>#N/A</v>
      </c>
    </row>
    <row r="521" spans="1:11" x14ac:dyDescent="0.4">
      <c r="A521" s="49">
        <v>518</v>
      </c>
      <c r="B521" s="49">
        <f>A521/$B$1</f>
        <v>21.583333333333332</v>
      </c>
      <c r="C521" s="49">
        <f>(('Input and Output'!B$23*'Input and Output'!$B$10)+('Input and Output'!B$24*Calculations!$C$5)+('Input and Output'!B$25*Calculations!$C$6)+('Input and Output'!B$26*(IF('Input and Output'!D$7="Detritus",Calculations!$C$4,G521))-(SUM('Input and Output'!B$27:B$32))*H520))</f>
        <v>1.3894943079112068</v>
      </c>
      <c r="D521" s="49">
        <f>(('Input and Output'!C$23*'Input and Output'!$B$10)+('Input and Output'!C$24*Calculations!$C$5)+('Input and Output'!C$25*Calculations!$C$6)+('Input and Output'!C$26*(IF('Input and Output'!E$7="Detritus",Calculations!$C$4,H521))-(SUM('Input and Output'!C$27:C$32))*I520))</f>
        <v>11.775505447214528</v>
      </c>
      <c r="E521" s="49">
        <f>(('Input and Output'!D$23*'Input and Output'!$B$10)+('Input and Output'!D$24*Calculations!$C$5)+('Input and Output'!D$25*Calculations!$C$6)+('Input and Output'!D$26*(IF('Input and Output'!F$7="Detritus",Calculations!$C$4,I521))-(SUM('Input and Output'!D$27:D$32))*J520))</f>
        <v>5.2068525038084772</v>
      </c>
      <c r="F521" s="49" t="e">
        <f>(('Input and Output'!E$23*'Input and Output'!$B$10)+('Input and Output'!E$24*Calculations!$C$5)+('Input and Output'!E$25*Calculations!$C$6)+('Input and Output'!E$26*(IF('Input and Output'!G$7="Detritus",Calculations!$C$4,J521))-(SUM('Input and Output'!E$27:E$32))*K520))</f>
        <v>#N/A</v>
      </c>
      <c r="H521" s="49">
        <f>IF(H$2="",NA(),C521*$B521+H520)</f>
        <v>323069.55341334525</v>
      </c>
      <c r="I521" s="49">
        <f>IF(I$2="",NA(),D521*$B521+I520)</f>
        <v>2961227.2810109803</v>
      </c>
      <c r="J521" s="49">
        <f>IF(J$2="",NA(),E521*$B521+J520)</f>
        <v>1376619.9637724445</v>
      </c>
      <c r="K521" s="49" t="e">
        <f>IF(K$2="",NA(),F521*$B521+K520)</f>
        <v>#N/A</v>
      </c>
    </row>
    <row r="522" spans="1:11" x14ac:dyDescent="0.4">
      <c r="A522" s="49">
        <v>519</v>
      </c>
      <c r="B522" s="49">
        <f>A522/$B$1</f>
        <v>21.625</v>
      </c>
      <c r="C522" s="49">
        <f>(('Input and Output'!B$23*'Input and Output'!$B$10)+('Input and Output'!B$24*Calculations!$C$5)+('Input and Output'!B$25*Calculations!$C$6)+('Input and Output'!B$26*(IF('Input and Output'!D$7="Detritus",Calculations!$C$4,G522))-(SUM('Input and Output'!B$27:B$32))*H521))</f>
        <v>1.360580604244376</v>
      </c>
      <c r="D522" s="49">
        <f>(('Input and Output'!C$23*'Input and Output'!$B$10)+('Input and Output'!C$24*Calculations!$C$5)+('Input and Output'!C$25*Calculations!$C$6)+('Input and Output'!C$26*(IF('Input and Output'!E$7="Detritus",Calculations!$C$4,H522))-(SUM('Input and Output'!C$27:C$32))*I521))</f>
        <v>11.529929693427221</v>
      </c>
      <c r="E522" s="49">
        <f>(('Input and Output'!D$23*'Input and Output'!$B$10)+('Input and Output'!D$24*Calculations!$C$5)+('Input and Output'!D$25*Calculations!$C$6)+('Input and Output'!D$26*(IF('Input and Output'!F$7="Detritus",Calculations!$C$4,I522))-(SUM('Input and Output'!D$27:D$32))*J521))</f>
        <v>5.0980357864355028</v>
      </c>
      <c r="F522" s="49" t="e">
        <f>(('Input and Output'!E$23*'Input and Output'!$B$10)+('Input and Output'!E$24*Calculations!$C$5)+('Input and Output'!E$25*Calculations!$C$6)+('Input and Output'!E$26*(IF('Input and Output'!G$7="Detritus",Calculations!$C$4,J522))-(SUM('Input and Output'!E$27:E$32))*K521))</f>
        <v>#N/A</v>
      </c>
      <c r="H522" s="49">
        <f>IF(H$2="",NA(),C522*$B522+H521)</f>
        <v>323098.97596891201</v>
      </c>
      <c r="I522" s="49">
        <f>IF(I$2="",NA(),D522*$B522+I521)</f>
        <v>2961476.6157406005</v>
      </c>
      <c r="J522" s="49">
        <f>IF(J$2="",NA(),E522*$B522+J521)</f>
        <v>1376730.2087963263</v>
      </c>
      <c r="K522" s="49" t="e">
        <f>IF(K$2="",NA(),F522*$B522+K521)</f>
        <v>#N/A</v>
      </c>
    </row>
    <row r="523" spans="1:11" x14ac:dyDescent="0.4">
      <c r="A523" s="49">
        <v>520</v>
      </c>
      <c r="B523" s="49">
        <f>A523/$B$1</f>
        <v>21.666666666666668</v>
      </c>
      <c r="C523" s="49">
        <f>(('Input and Output'!B$23*'Input and Output'!$B$10)+('Input and Output'!B$24*Calculations!$C$5)+('Input and Output'!B$25*Calculations!$C$6)+('Input and Output'!B$26*(IF('Input and Output'!D$7="Detritus",Calculations!$C$4,G523))-(SUM('Input and Output'!B$27:B$32))*H522))</f>
        <v>1.3322139034839893</v>
      </c>
      <c r="D523" s="49">
        <f>(('Input and Output'!C$23*'Input and Output'!$B$10)+('Input and Output'!C$24*Calculations!$C$5)+('Input and Output'!C$25*Calculations!$C$6)+('Input and Output'!C$26*(IF('Input and Output'!E$7="Detritus",Calculations!$C$4,H523))-(SUM('Input and Output'!C$27:C$32))*I522))</f>
        <v>11.289012506811559</v>
      </c>
      <c r="E523" s="49">
        <f>(('Input and Output'!D$23*'Input and Output'!$B$10)+('Input and Output'!D$24*Calculations!$C$5)+('Input and Output'!D$25*Calculations!$C$6)+('Input and Output'!D$26*(IF('Input and Output'!F$7="Detritus",Calculations!$C$4,I523))-(SUM('Input and Output'!D$27:D$32))*J522))</f>
        <v>4.9912886194688326</v>
      </c>
      <c r="F523" s="49" t="e">
        <f>(('Input and Output'!E$23*'Input and Output'!$B$10)+('Input and Output'!E$24*Calculations!$C$5)+('Input and Output'!E$25*Calculations!$C$6)+('Input and Output'!E$26*(IF('Input and Output'!G$7="Detritus",Calculations!$C$4,J523))-(SUM('Input and Output'!E$27:E$32))*K522))</f>
        <v>#N/A</v>
      </c>
      <c r="H523" s="49">
        <f>IF(H$2="",NA(),C523*$B523+H522)</f>
        <v>323127.84060348751</v>
      </c>
      <c r="I523" s="49">
        <f>IF(I$2="",NA(),D523*$B523+I522)</f>
        <v>2961721.2110115816</v>
      </c>
      <c r="J523" s="49">
        <f>IF(J$2="",NA(),E523*$B523+J522)</f>
        <v>1376838.3533830815</v>
      </c>
      <c r="K523" s="49" t="e">
        <f>IF(K$2="",NA(),F523*$B523+K522)</f>
        <v>#N/A</v>
      </c>
    </row>
    <row r="524" spans="1:11" x14ac:dyDescent="0.4">
      <c r="A524" s="49">
        <v>521</v>
      </c>
      <c r="B524" s="49">
        <f>A524/$B$1</f>
        <v>21.708333333333332</v>
      </c>
      <c r="C524" s="49">
        <f>(('Input and Output'!B$23*'Input and Output'!$B$10)+('Input and Output'!B$24*Calculations!$C$5)+('Input and Output'!B$25*Calculations!$C$6)+('Input and Output'!B$26*(IF('Input and Output'!D$7="Detritus",Calculations!$C$4,G524))-(SUM('Input and Output'!B$27:B$32))*H523))</f>
        <v>1.3043851022194985</v>
      </c>
      <c r="D524" s="49">
        <f>(('Input and Output'!C$23*'Input and Output'!$B$10)+('Input and Output'!C$24*Calculations!$C$5)+('Input and Output'!C$25*Calculations!$C$6)+('Input and Output'!C$26*(IF('Input and Output'!E$7="Detritus",Calculations!$C$4,H524))-(SUM('Input and Output'!C$27:C$32))*I523))</f>
        <v>11.052676074501505</v>
      </c>
      <c r="E524" s="49">
        <f>(('Input and Output'!D$23*'Input and Output'!$B$10)+('Input and Output'!D$24*Calculations!$C$5)+('Input and Output'!D$25*Calculations!$C$6)+('Input and Output'!D$26*(IF('Input and Output'!F$7="Detritus",Calculations!$C$4,I524))-(SUM('Input and Output'!D$27:D$32))*J523))</f>
        <v>4.8865763178073394</v>
      </c>
      <c r="F524" s="49" t="e">
        <f>(('Input and Output'!E$23*'Input and Output'!$B$10)+('Input and Output'!E$24*Calculations!$C$5)+('Input and Output'!E$25*Calculations!$C$6)+('Input and Output'!E$26*(IF('Input and Output'!G$7="Detritus",Calculations!$C$4,J524))-(SUM('Input and Output'!E$27:E$32))*K523))</f>
        <v>#N/A</v>
      </c>
      <c r="H524" s="49">
        <f>IF(H$2="",NA(),C524*$B524+H523)</f>
        <v>323156.15663008153</v>
      </c>
      <c r="I524" s="49">
        <f>IF(I$2="",NA(),D524*$B524+I523)</f>
        <v>2961961.1461880323</v>
      </c>
      <c r="J524" s="49">
        <f>IF(J$2="",NA(),E524*$B524+J523)</f>
        <v>1376944.4328106472</v>
      </c>
      <c r="K524" s="49" t="e">
        <f>IF(K$2="",NA(),F524*$B524+K523)</f>
        <v>#N/A</v>
      </c>
    </row>
    <row r="525" spans="1:11" x14ac:dyDescent="0.4">
      <c r="A525" s="49">
        <v>522</v>
      </c>
      <c r="B525" s="49">
        <f>A525/$B$1</f>
        <v>21.75</v>
      </c>
      <c r="C525" s="49">
        <f>(('Input and Output'!B$23*'Input and Output'!$B$10)+('Input and Output'!B$24*Calculations!$C$5)+('Input and Output'!B$25*Calculations!$C$6)+('Input and Output'!B$26*(IF('Input and Output'!D$7="Detritus",Calculations!$C$4,G525))-(SUM('Input and Output'!B$27:B$32))*H524))</f>
        <v>1.2770852216468143</v>
      </c>
      <c r="D525" s="49">
        <f>(('Input and Output'!C$23*'Input and Output'!$B$10)+('Input and Output'!C$24*Calculations!$C$5)+('Input and Output'!C$25*Calculations!$C$6)+('Input and Output'!C$26*(IF('Input and Output'!E$7="Detritus",Calculations!$C$4,H525))-(SUM('Input and Output'!C$27:C$32))*I524))</f>
        <v>10.820843654919372</v>
      </c>
      <c r="E525" s="49">
        <f>(('Input and Output'!D$23*'Input and Output'!$B$10)+('Input and Output'!D$24*Calculations!$C$5)+('Input and Output'!D$25*Calculations!$C$6)+('Input and Output'!D$26*(IF('Input and Output'!F$7="Detritus",Calculations!$C$4,I525))-(SUM('Input and Output'!D$27:D$32))*J524))</f>
        <v>4.783864676446683</v>
      </c>
      <c r="F525" s="49" t="e">
        <f>(('Input and Output'!E$23*'Input and Output'!$B$10)+('Input and Output'!E$24*Calculations!$C$5)+('Input and Output'!E$25*Calculations!$C$6)+('Input and Output'!E$26*(IF('Input and Output'!G$7="Detritus",Calculations!$C$4,J525))-(SUM('Input and Output'!E$27:E$32))*K524))</f>
        <v>#N/A</v>
      </c>
      <c r="H525" s="49">
        <f>IF(H$2="",NA(),C525*$B525+H524)</f>
        <v>323183.93323365232</v>
      </c>
      <c r="I525" s="49">
        <f>IF(I$2="",NA(),D525*$B525+I524)</f>
        <v>2962196.4995375266</v>
      </c>
      <c r="J525" s="49">
        <f>IF(J$2="",NA(),E525*$B525+J524)</f>
        <v>1377048.48186736</v>
      </c>
      <c r="K525" s="49" t="e">
        <f>IF(K$2="",NA(),F525*$B525+K524)</f>
        <v>#N/A</v>
      </c>
    </row>
    <row r="526" spans="1:11" x14ac:dyDescent="0.4">
      <c r="A526" s="49">
        <v>523</v>
      </c>
      <c r="B526" s="49">
        <f>A526/$B$1</f>
        <v>21.791666666666668</v>
      </c>
      <c r="C526" s="49">
        <f>(('Input and Output'!B$23*'Input and Output'!$B$10)+('Input and Output'!B$24*Calculations!$C$5)+('Input and Output'!B$25*Calculations!$C$6)+('Input and Output'!B$26*(IF('Input and Output'!D$7="Detritus",Calculations!$C$4,G526))-(SUM('Input and Output'!B$27:B$32))*H525))</f>
        <v>1.2503054064181924</v>
      </c>
      <c r="D526" s="49">
        <f>(('Input and Output'!C$23*'Input and Output'!$B$10)+('Input and Output'!C$24*Calculations!$C$5)+('Input and Output'!C$25*Calculations!$C$6)+('Input and Output'!C$26*(IF('Input and Output'!E$7="Detritus",Calculations!$C$4,H526))-(SUM('Input and Output'!C$27:C$32))*I525))</f>
        <v>10.593439567740461</v>
      </c>
      <c r="E526" s="49">
        <f>(('Input and Output'!D$23*'Input and Output'!$B$10)+('Input and Output'!D$24*Calculations!$C$5)+('Input and Output'!D$25*Calculations!$C$6)+('Input and Output'!D$26*(IF('Input and Output'!F$7="Detritus",Calculations!$C$4,I526))-(SUM('Input and Output'!D$27:D$32))*J525))</f>
        <v>4.6831199657353864</v>
      </c>
      <c r="F526" s="49" t="e">
        <f>(('Input and Output'!E$23*'Input and Output'!$B$10)+('Input and Output'!E$24*Calculations!$C$5)+('Input and Output'!E$25*Calculations!$C$6)+('Input and Output'!E$26*(IF('Input and Output'!G$7="Detritus",Calculations!$C$4,J526))-(SUM('Input and Output'!E$27:E$32))*K525))</f>
        <v>#N/A</v>
      </c>
      <c r="H526" s="49">
        <f>IF(H$2="",NA(),C526*$B526+H525)</f>
        <v>323211.17947230052</v>
      </c>
      <c r="I526" s="49">
        <f>IF(I$2="",NA(),D526*$B526+I525)</f>
        <v>2962427.3482414405</v>
      </c>
      <c r="J526" s="49">
        <f>IF(J$2="",NA(),E526*$B526+J525)</f>
        <v>1377150.5348566133</v>
      </c>
      <c r="K526" s="49" t="e">
        <f>IF(K$2="",NA(),F526*$B526+K525)</f>
        <v>#N/A</v>
      </c>
    </row>
    <row r="527" spans="1:11" x14ac:dyDescent="0.4">
      <c r="A527" s="49">
        <v>524</v>
      </c>
      <c r="B527" s="49">
        <f>A527/$B$1</f>
        <v>21.833333333333332</v>
      </c>
      <c r="C527" s="49">
        <f>(('Input and Output'!B$23*'Input and Output'!$B$10)+('Input and Output'!B$24*Calculations!$C$5)+('Input and Output'!B$25*Calculations!$C$6)+('Input and Output'!B$26*(IF('Input and Output'!D$7="Detritus",Calculations!$C$4,G527))-(SUM('Input and Output'!B$27:B$32))*H526))</f>
        <v>1.2240369234909849</v>
      </c>
      <c r="D527" s="49">
        <f>(('Input and Output'!C$23*'Input and Output'!$B$10)+('Input and Output'!C$24*Calculations!$C$5)+('Input and Output'!C$25*Calculations!$C$6)+('Input and Output'!C$26*(IF('Input and Output'!E$7="Detritus",Calculations!$C$4,H527))-(SUM('Input and Output'!C$27:C$32))*I526))</f>
        <v>10.370389183871339</v>
      </c>
      <c r="E527" s="49">
        <f>(('Input and Output'!D$23*'Input and Output'!$B$10)+('Input and Output'!D$24*Calculations!$C$5)+('Input and Output'!D$25*Calculations!$C$6)+('Input and Output'!D$26*(IF('Input and Output'!F$7="Detritus",Calculations!$C$4,I527))-(SUM('Input and Output'!D$27:D$32))*J526))</f>
        <v>4.584308927096572</v>
      </c>
      <c r="F527" s="49" t="e">
        <f>(('Input and Output'!E$23*'Input and Output'!$B$10)+('Input and Output'!E$24*Calculations!$C$5)+('Input and Output'!E$25*Calculations!$C$6)+('Input and Output'!E$26*(IF('Input and Output'!G$7="Detritus",Calculations!$C$4,J527))-(SUM('Input and Output'!E$27:E$32))*K526))</f>
        <v>#N/A</v>
      </c>
      <c r="H527" s="49">
        <f>IF(H$2="",NA(),C527*$B527+H526)</f>
        <v>323237.90427846339</v>
      </c>
      <c r="I527" s="49">
        <f>IF(I$2="",NA(),D527*$B527+I526)</f>
        <v>2962653.7684052885</v>
      </c>
      <c r="J527" s="49">
        <f>IF(J$2="",NA(),E527*$B527+J526)</f>
        <v>1377250.6256015215</v>
      </c>
      <c r="K527" s="49" t="e">
        <f>IF(K$2="",NA(),F527*$B527+K526)</f>
        <v>#N/A</v>
      </c>
    </row>
    <row r="528" spans="1:11" x14ac:dyDescent="0.4">
      <c r="A528" s="49">
        <v>525</v>
      </c>
      <c r="B528" s="49">
        <f>A528/$B$1</f>
        <v>21.875</v>
      </c>
      <c r="C528" s="49">
        <f>(('Input and Output'!B$23*'Input and Output'!$B$10)+('Input and Output'!B$24*Calculations!$C$5)+('Input and Output'!B$25*Calculations!$C$6)+('Input and Output'!B$26*(IF('Input and Output'!D$7="Detritus",Calculations!$C$4,G528))-(SUM('Input and Output'!B$27:B$32))*H527))</f>
        <v>1.1982711609765602</v>
      </c>
      <c r="D528" s="49">
        <f>(('Input and Output'!C$23*'Input and Output'!$B$10)+('Input and Output'!C$24*Calculations!$C$5)+('Input and Output'!C$25*Calculations!$C$6)+('Input and Output'!C$26*(IF('Input and Output'!E$7="Detritus",Calculations!$C$4,H528))-(SUM('Input and Output'!C$27:C$32))*I527))</f>
        <v>10.15161891540447</v>
      </c>
      <c r="E528" s="49">
        <f>(('Input and Output'!D$23*'Input and Output'!$B$10)+('Input and Output'!D$24*Calculations!$C$5)+('Input and Output'!D$25*Calculations!$C$6)+('Input and Output'!D$26*(IF('Input and Output'!F$7="Detritus",Calculations!$C$4,I528))-(SUM('Input and Output'!D$27:D$32))*J527))</f>
        <v>4.4873987682112784</v>
      </c>
      <c r="F528" s="49" t="e">
        <f>(('Input and Output'!E$23*'Input and Output'!$B$10)+('Input and Output'!E$24*Calculations!$C$5)+('Input and Output'!E$25*Calculations!$C$6)+('Input and Output'!E$26*(IF('Input and Output'!G$7="Detritus",Calculations!$C$4,J528))-(SUM('Input and Output'!E$27:E$32))*K527))</f>
        <v>#N/A</v>
      </c>
      <c r="H528" s="49">
        <f>IF(H$2="",NA(),C528*$B528+H527)</f>
        <v>323264.11646010977</v>
      </c>
      <c r="I528" s="49">
        <f>IF(I$2="",NA(),D528*$B528+I527)</f>
        <v>2962875.8350690631</v>
      </c>
      <c r="J528" s="49">
        <f>IF(J$2="",NA(),E528*$B528+J527)</f>
        <v>1377348.7874495762</v>
      </c>
      <c r="K528" s="49" t="e">
        <f>IF(K$2="",NA(),F528*$B528+K527)</f>
        <v>#N/A</v>
      </c>
    </row>
    <row r="529" spans="1:11" x14ac:dyDescent="0.4">
      <c r="A529" s="49">
        <v>526</v>
      </c>
      <c r="B529" s="49">
        <f>A529/$B$1</f>
        <v>21.916666666666668</v>
      </c>
      <c r="C529" s="49">
        <f>(('Input and Output'!B$23*'Input and Output'!$B$10)+('Input and Output'!B$24*Calculations!$C$5)+('Input and Output'!B$25*Calculations!$C$6)+('Input and Output'!B$26*(IF('Input and Output'!D$7="Detritus",Calculations!$C$4,G529))-(SUM('Input and Output'!B$27:B$32))*H528))</f>
        <v>1.1729996269878598</v>
      </c>
      <c r="D529" s="49">
        <f>(('Input and Output'!C$23*'Input and Output'!$B$10)+('Input and Output'!C$24*Calculations!$C$5)+('Input and Output'!C$25*Calculations!$C$6)+('Input and Output'!C$26*(IF('Input and Output'!E$7="Detritus",Calculations!$C$4,H529))-(SUM('Input and Output'!C$27:C$32))*I528))</f>
        <v>9.9370562055955816</v>
      </c>
      <c r="E529" s="49">
        <f>(('Input and Output'!D$23*'Input and Output'!$B$10)+('Input and Output'!D$24*Calculations!$C$5)+('Input and Output'!D$25*Calculations!$C$6)+('Input and Output'!D$26*(IF('Input and Output'!F$7="Detritus",Calculations!$C$4,I529))-(SUM('Input and Output'!D$27:D$32))*J528))</f>
        <v>4.3923571586092294</v>
      </c>
      <c r="F529" s="49" t="e">
        <f>(('Input and Output'!E$23*'Input and Output'!$B$10)+('Input and Output'!E$24*Calculations!$C$5)+('Input and Output'!E$25*Calculations!$C$6)+('Input and Output'!E$26*(IF('Input and Output'!G$7="Detritus",Calculations!$C$4,J529))-(SUM('Input and Output'!E$27:E$32))*K528))</f>
        <v>#N/A</v>
      </c>
      <c r="H529" s="49">
        <f>IF(H$2="",NA(),C529*$B529+H528)</f>
        <v>323289.82470193459</v>
      </c>
      <c r="I529" s="49">
        <f>IF(I$2="",NA(),D529*$B529+I528)</f>
        <v>2963093.622217569</v>
      </c>
      <c r="J529" s="49">
        <f>IF(J$2="",NA(),E529*$B529+J528)</f>
        <v>1377445.0532773023</v>
      </c>
      <c r="K529" s="49" t="e">
        <f>IF(K$2="",NA(),F529*$B529+K528)</f>
        <v>#N/A</v>
      </c>
    </row>
    <row r="530" spans="1:11" x14ac:dyDescent="0.4">
      <c r="A530" s="49">
        <v>527</v>
      </c>
      <c r="B530" s="49">
        <f>A530/$B$1</f>
        <v>21.958333333333332</v>
      </c>
      <c r="C530" s="49">
        <f>(('Input and Output'!B$23*'Input and Output'!$B$10)+('Input and Output'!B$24*Calculations!$C$5)+('Input and Output'!B$25*Calculations!$C$6)+('Input and Output'!B$26*(IF('Input and Output'!D$7="Detritus",Calculations!$C$4,G530))-(SUM('Input and Output'!B$27:B$32))*H529))</f>
        <v>1.1482139484880918</v>
      </c>
      <c r="D530" s="49">
        <f>(('Input and Output'!C$23*'Input and Output'!$B$10)+('Input and Output'!C$24*Calculations!$C$5)+('Input and Output'!C$25*Calculations!$C$6)+('Input and Output'!C$26*(IF('Input and Output'!E$7="Detritus",Calculations!$C$4,H530))-(SUM('Input and Output'!C$27:C$32))*I529))</f>
        <v>9.7266295188383083</v>
      </c>
      <c r="E530" s="49">
        <f>(('Input and Output'!D$23*'Input and Output'!$B$10)+('Input and Output'!D$24*Calculations!$C$5)+('Input and Output'!D$25*Calculations!$C$6)+('Input and Output'!D$26*(IF('Input and Output'!F$7="Detritus",Calculations!$C$4,I530))-(SUM('Input and Output'!D$27:D$32))*J529))</f>
        <v>4.2991522251286369</v>
      </c>
      <c r="F530" s="49" t="e">
        <f>(('Input and Output'!E$23*'Input and Output'!$B$10)+('Input and Output'!E$24*Calculations!$C$5)+('Input and Output'!E$25*Calculations!$C$6)+('Input and Output'!E$26*(IF('Input and Output'!G$7="Detritus",Calculations!$C$4,J530))-(SUM('Input and Output'!E$27:E$32))*K529))</f>
        <v>#N/A</v>
      </c>
      <c r="H530" s="49">
        <f>IF(H$2="",NA(),C530*$B530+H529)</f>
        <v>323315.03756655345</v>
      </c>
      <c r="I530" s="49">
        <f>IF(I$2="",NA(),D530*$B530+I529)</f>
        <v>2963307.2027907535</v>
      </c>
      <c r="J530" s="49">
        <f>IF(J$2="",NA(),E530*$B530+J529)</f>
        <v>1377539.4554949123</v>
      </c>
      <c r="K530" s="49" t="e">
        <f>IF(K$2="",NA(),F530*$B530+K529)</f>
        <v>#N/A</v>
      </c>
    </row>
    <row r="531" spans="1:11" x14ac:dyDescent="0.4">
      <c r="A531" s="49">
        <v>528</v>
      </c>
      <c r="B531" s="49">
        <f>A531/$B$1</f>
        <v>22</v>
      </c>
      <c r="C531" s="49">
        <f>(('Input and Output'!B$23*'Input and Output'!$B$10)+('Input and Output'!B$24*Calculations!$C$5)+('Input and Output'!B$25*Calculations!$C$6)+('Input and Output'!B$26*(IF('Input and Output'!D$7="Detritus",Calculations!$C$4,G531))-(SUM('Input and Output'!B$27:B$32))*H530))</f>
        <v>1.1239058701386853</v>
      </c>
      <c r="D531" s="49">
        <f>(('Input and Output'!C$23*'Input and Output'!$B$10)+('Input and Output'!C$24*Calculations!$C$5)+('Input and Output'!C$25*Calculations!$C$6)+('Input and Output'!C$26*(IF('Input and Output'!E$7="Detritus",Calculations!$C$4,H531))-(SUM('Input and Output'!C$27:C$32))*I530))</f>
        <v>9.5202683306297331</v>
      </c>
      <c r="E531" s="49">
        <f>(('Input and Output'!D$23*'Input and Output'!$B$10)+('Input and Output'!D$24*Calculations!$C$5)+('Input and Output'!D$25*Calculations!$C$6)+('Input and Output'!D$26*(IF('Input and Output'!F$7="Detritus",Calculations!$C$4,I531))-(SUM('Input and Output'!D$27:D$32))*J530))</f>
        <v>4.207752547434211</v>
      </c>
      <c r="F531" s="49" t="e">
        <f>(('Input and Output'!E$23*'Input and Output'!$B$10)+('Input and Output'!E$24*Calculations!$C$5)+('Input and Output'!E$25*Calculations!$C$6)+('Input and Output'!E$26*(IF('Input and Output'!G$7="Detritus",Calculations!$C$4,J531))-(SUM('Input and Output'!E$27:E$32))*K530))</f>
        <v>#N/A</v>
      </c>
      <c r="H531" s="49">
        <f>IF(H$2="",NA(),C531*$B531+H530)</f>
        <v>323339.76349569648</v>
      </c>
      <c r="I531" s="49">
        <f>IF(I$2="",NA(),D531*$B531+I530)</f>
        <v>2963516.6486940272</v>
      </c>
      <c r="J531" s="49">
        <f>IF(J$2="",NA(),E531*$B531+J530)</f>
        <v>1377632.026050956</v>
      </c>
      <c r="K531" s="49" t="e">
        <f>IF(K$2="",NA(),F531*$B531+K530)</f>
        <v>#N/A</v>
      </c>
    </row>
    <row r="532" spans="1:11" x14ac:dyDescent="0.4">
      <c r="A532" s="49">
        <v>529</v>
      </c>
      <c r="B532" s="49">
        <f>A532/$B$1</f>
        <v>22.041666666666668</v>
      </c>
      <c r="C532" s="49">
        <f>(('Input and Output'!B$23*'Input and Output'!$B$10)+('Input and Output'!B$24*Calculations!$C$5)+('Input and Output'!B$25*Calculations!$C$6)+('Input and Output'!B$26*(IF('Input and Output'!D$7="Detritus",Calculations!$C$4,G532))-(SUM('Input and Output'!B$27:B$32))*H531))</f>
        <v>1.1000672531487226</v>
      </c>
      <c r="D532" s="49">
        <f>(('Input and Output'!C$23*'Input and Output'!$B$10)+('Input and Output'!C$24*Calculations!$C$5)+('Input and Output'!C$25*Calculations!$C$6)+('Input and Output'!C$26*(IF('Input and Output'!E$7="Detritus",Calculations!$C$4,H532))-(SUM('Input and Output'!C$27:C$32))*I531))</f>
        <v>9.3179031175777709</v>
      </c>
      <c r="E532" s="49">
        <f>(('Input and Output'!D$23*'Input and Output'!$B$10)+('Input and Output'!D$24*Calculations!$C$5)+('Input and Output'!D$25*Calculations!$C$6)+('Input and Output'!D$26*(IF('Input and Output'!F$7="Detritus",Calculations!$C$4,I532))-(SUM('Input and Output'!D$27:D$32))*J531))</f>
        <v>4.1181271532004757</v>
      </c>
      <c r="F532" s="49" t="e">
        <f>(('Input and Output'!E$23*'Input and Output'!$B$10)+('Input and Output'!E$24*Calculations!$C$5)+('Input and Output'!E$25*Calculations!$C$6)+('Input and Output'!E$26*(IF('Input and Output'!G$7="Detritus",Calculations!$C$4,J532))-(SUM('Input and Output'!E$27:E$32))*K531))</f>
        <v>#N/A</v>
      </c>
      <c r="H532" s="49">
        <f>IF(H$2="",NA(),C532*$B532+H531)</f>
        <v>323364.0108114013</v>
      </c>
      <c r="I532" s="49">
        <f>IF(I$2="",NA(),D532*$B532+I531)</f>
        <v>2963722.0308085773</v>
      </c>
      <c r="J532" s="49">
        <f>IF(J$2="",NA(),E532*$B532+J531)</f>
        <v>1377722.7964369578</v>
      </c>
      <c r="K532" s="49" t="e">
        <f>IF(K$2="",NA(),F532*$B532+K531)</f>
        <v>#N/A</v>
      </c>
    </row>
    <row r="533" spans="1:11" x14ac:dyDescent="0.4">
      <c r="A533" s="49">
        <v>530</v>
      </c>
      <c r="B533" s="49">
        <f>A533/$B$1</f>
        <v>22.083333333333332</v>
      </c>
      <c r="C533" s="49">
        <f>(('Input and Output'!B$23*'Input and Output'!$B$10)+('Input and Output'!B$24*Calculations!$C$5)+('Input and Output'!B$25*Calculations!$C$6)+('Input and Output'!B$26*(IF('Input and Output'!D$7="Detritus",Calculations!$C$4,G533))-(SUM('Input and Output'!B$27:B$32))*H532))</f>
        <v>1.076690074124258</v>
      </c>
      <c r="D533" s="49">
        <f>(('Input and Output'!C$23*'Input and Output'!$B$10)+('Input and Output'!C$24*Calculations!$C$5)+('Input and Output'!C$25*Calculations!$C$6)+('Input and Output'!C$26*(IF('Input and Output'!E$7="Detritus",Calculations!$C$4,H533))-(SUM('Input and Output'!C$27:C$32))*I532))</f>
        <v>9.1194653473767175</v>
      </c>
      <c r="E533" s="49">
        <f>(('Input and Output'!D$23*'Input and Output'!$B$10)+('Input and Output'!D$24*Calculations!$C$5)+('Input and Output'!D$25*Calculations!$C$6)+('Input and Output'!D$26*(IF('Input and Output'!F$7="Detritus",Calculations!$C$4,I533))-(SUM('Input and Output'!D$27:D$32))*J532))</f>
        <v>4.030245514051785</v>
      </c>
      <c r="F533" s="49" t="e">
        <f>(('Input and Output'!E$23*'Input and Output'!$B$10)+('Input and Output'!E$24*Calculations!$C$5)+('Input and Output'!E$25*Calculations!$C$6)+('Input and Output'!E$26*(IF('Input and Output'!G$7="Detritus",Calculations!$C$4,J533))-(SUM('Input and Output'!E$27:E$32))*K532))</f>
        <v>#N/A</v>
      </c>
      <c r="H533" s="49">
        <f>IF(H$2="",NA(),C533*$B533+H532)</f>
        <v>323387.78771720489</v>
      </c>
      <c r="I533" s="49">
        <f>IF(I$2="",NA(),D533*$B533+I532)</f>
        <v>2963923.4190016654</v>
      </c>
      <c r="J533" s="49">
        <f>IF(J$2="",NA(),E533*$B533+J532)</f>
        <v>1377811.7976920598</v>
      </c>
      <c r="K533" s="49" t="e">
        <f>IF(K$2="",NA(),F533*$B533+K532)</f>
        <v>#N/A</v>
      </c>
    </row>
    <row r="534" spans="1:11" x14ac:dyDescent="0.4">
      <c r="A534" s="49">
        <v>531</v>
      </c>
      <c r="B534" s="49">
        <f>A534/$B$1</f>
        <v>22.125</v>
      </c>
      <c r="C534" s="49">
        <f>(('Input and Output'!B$23*'Input and Output'!$B$10)+('Input and Output'!B$24*Calculations!$C$5)+('Input and Output'!B$25*Calculations!$C$6)+('Input and Output'!B$26*(IF('Input and Output'!D$7="Detritus",Calculations!$C$4,G534))-(SUM('Input and Output'!B$27:B$32))*H533))</f>
        <v>1.0537664239196829</v>
      </c>
      <c r="D534" s="49">
        <f>(('Input and Output'!C$23*'Input and Output'!$B$10)+('Input and Output'!C$24*Calculations!$C$5)+('Input and Output'!C$25*Calculations!$C$6)+('Input and Output'!C$26*(IF('Input and Output'!E$7="Detritus",Calculations!$C$4,H534))-(SUM('Input and Output'!C$27:C$32))*I533))</f>
        <v>8.9248874688310025</v>
      </c>
      <c r="E534" s="49">
        <f>(('Input and Output'!D$23*'Input and Output'!$B$10)+('Input and Output'!D$24*Calculations!$C$5)+('Input and Output'!D$25*Calculations!$C$6)+('Input and Output'!D$26*(IF('Input and Output'!F$7="Detritus",Calculations!$C$4,I534))-(SUM('Input and Output'!D$27:D$32))*J533))</f>
        <v>3.9440775405855675</v>
      </c>
      <c r="F534" s="49" t="e">
        <f>(('Input and Output'!E$23*'Input and Output'!$B$10)+('Input and Output'!E$24*Calculations!$C$5)+('Input and Output'!E$25*Calculations!$C$6)+('Input and Output'!E$26*(IF('Input and Output'!G$7="Detritus",Calculations!$C$4,J534))-(SUM('Input and Output'!E$27:E$32))*K533))</f>
        <v>#N/A</v>
      </c>
      <c r="H534" s="49">
        <f>IF(H$2="",NA(),C534*$B534+H533)</f>
        <v>323411.10229933413</v>
      </c>
      <c r="I534" s="49">
        <f>IF(I$2="",NA(),D534*$B534+I533)</f>
        <v>2964120.8821369135</v>
      </c>
      <c r="J534" s="49">
        <f>IF(J$2="",NA(),E534*$B534+J533)</f>
        <v>1377899.0604076453</v>
      </c>
      <c r="K534" s="49" t="e">
        <f>IF(K$2="",NA(),F534*$B534+K533)</f>
        <v>#N/A</v>
      </c>
    </row>
    <row r="535" spans="1:11" x14ac:dyDescent="0.4">
      <c r="A535" s="49">
        <v>532</v>
      </c>
      <c r="B535" s="49">
        <f>A535/$B$1</f>
        <v>22.166666666666668</v>
      </c>
      <c r="C535" s="49">
        <f>(('Input and Output'!B$23*'Input and Output'!$B$10)+('Input and Output'!B$24*Calculations!$C$5)+('Input and Output'!B$25*Calculations!$C$6)+('Input and Output'!B$26*(IF('Input and Output'!D$7="Detritus",Calculations!$C$4,G535))-(SUM('Input and Output'!B$27:B$32))*H534))</f>
        <v>1.0312885064895454</v>
      </c>
      <c r="D535" s="49">
        <f>(('Input and Output'!C$23*'Input and Output'!$B$10)+('Input and Output'!C$24*Calculations!$C$5)+('Input and Output'!C$25*Calculations!$C$6)+('Input and Output'!C$26*(IF('Input and Output'!E$7="Detritus",Calculations!$C$4,H535))-(SUM('Input and Output'!C$27:C$32))*I534))</f>
        <v>8.7341029018816698</v>
      </c>
      <c r="E535" s="49">
        <f>(('Input and Output'!D$23*'Input and Output'!$B$10)+('Input and Output'!D$24*Calculations!$C$5)+('Input and Output'!D$25*Calculations!$C$6)+('Input and Output'!D$26*(IF('Input and Output'!F$7="Detritus",Calculations!$C$4,I535))-(SUM('Input and Output'!D$27:D$32))*J534))</f>
        <v>3.8595935781668231</v>
      </c>
      <c r="F535" s="49" t="e">
        <f>(('Input and Output'!E$23*'Input and Output'!$B$10)+('Input and Output'!E$24*Calculations!$C$5)+('Input and Output'!E$25*Calculations!$C$6)+('Input and Output'!E$26*(IF('Input and Output'!G$7="Detritus",Calculations!$C$4,J535))-(SUM('Input and Output'!E$27:E$32))*K534))</f>
        <v>#N/A</v>
      </c>
      <c r="H535" s="49">
        <f>IF(H$2="",NA(),C535*$B535+H534)</f>
        <v>323433.96252789465</v>
      </c>
      <c r="I535" s="49">
        <f>IF(I$2="",NA(),D535*$B535+I534)</f>
        <v>2964314.4880845719</v>
      </c>
      <c r="J535" s="49">
        <f>IF(J$2="",NA(),E535*$B535+J534)</f>
        <v>1377984.6147319614</v>
      </c>
      <c r="K535" s="49" t="e">
        <f>IF(K$2="",NA(),F535*$B535+K534)</f>
        <v>#N/A</v>
      </c>
    </row>
    <row r="536" spans="1:11" x14ac:dyDescent="0.4">
      <c r="A536" s="49">
        <v>533</v>
      </c>
      <c r="B536" s="49">
        <f>A536/$B$1</f>
        <v>22.208333333333332</v>
      </c>
      <c r="C536" s="49">
        <f>(('Input and Output'!B$23*'Input and Output'!$B$10)+('Input and Output'!B$24*Calculations!$C$5)+('Input and Output'!B$25*Calculations!$C$6)+('Input and Output'!B$26*(IF('Input and Output'!D$7="Detritus",Calculations!$C$4,G536))-(SUM('Input and Output'!B$27:B$32))*H535))</f>
        <v>1.0092486377425871</v>
      </c>
      <c r="D536" s="49">
        <f>(('Input and Output'!C$23*'Input and Output'!$B$10)+('Input and Output'!C$24*Calculations!$C$5)+('Input and Output'!C$25*Calculations!$C$6)+('Input and Output'!C$26*(IF('Input and Output'!E$7="Detritus",Calculations!$C$4,H536))-(SUM('Input and Output'!C$27:C$32))*I535))</f>
        <v>8.5470460276437734</v>
      </c>
      <c r="E536" s="49">
        <f>(('Input and Output'!D$23*'Input and Output'!$B$10)+('Input and Output'!D$24*Calculations!$C$5)+('Input and Output'!D$25*Calculations!$C$6)+('Input and Output'!D$26*(IF('Input and Output'!F$7="Detritus",Calculations!$C$4,I536))-(SUM('Input and Output'!D$27:D$32))*J535))</f>
        <v>3.7767644022860622</v>
      </c>
      <c r="F536" s="49" t="e">
        <f>(('Input and Output'!E$23*'Input and Output'!$B$10)+('Input and Output'!E$24*Calculations!$C$5)+('Input and Output'!E$25*Calculations!$C$6)+('Input and Output'!E$26*(IF('Input and Output'!G$7="Detritus",Calculations!$C$4,J536))-(SUM('Input and Output'!E$27:E$32))*K535))</f>
        <v>#N/A</v>
      </c>
      <c r="H536" s="49">
        <f>IF(H$2="",NA(),C536*$B536+H535)</f>
        <v>323456.37625805783</v>
      </c>
      <c r="I536" s="49">
        <f>IF(I$2="",NA(),D536*$B536+I535)</f>
        <v>2964504.3037317693</v>
      </c>
      <c r="J536" s="49">
        <f>IF(J$2="",NA(),E536*$B536+J535)</f>
        <v>1378068.4903747288</v>
      </c>
      <c r="K536" s="49" t="e">
        <f>IF(K$2="",NA(),F536*$B536+K535)</f>
        <v>#N/A</v>
      </c>
    </row>
    <row r="537" spans="1:11" x14ac:dyDescent="0.4">
      <c r="A537" s="49">
        <v>534</v>
      </c>
      <c r="B537" s="49">
        <f>A537/$B$1</f>
        <v>22.25</v>
      </c>
      <c r="C537" s="49">
        <f>(('Input and Output'!B$23*'Input and Output'!$B$10)+('Input and Output'!B$24*Calculations!$C$5)+('Input and Output'!B$25*Calculations!$C$6)+('Input and Output'!B$26*(IF('Input and Output'!D$7="Detritus",Calculations!$C$4,G537))-(SUM('Input and Output'!B$27:B$32))*H536))</f>
        <v>0.98763924439742823</v>
      </c>
      <c r="D537" s="49">
        <f>(('Input and Output'!C$23*'Input and Output'!$B$10)+('Input and Output'!C$24*Calculations!$C$5)+('Input and Output'!C$25*Calculations!$C$6)+('Input and Output'!C$26*(IF('Input and Output'!E$7="Detritus",Calculations!$C$4,H537))-(SUM('Input and Output'!C$27:C$32))*I536))</f>
        <v>8.3636521784646902</v>
      </c>
      <c r="E537" s="49">
        <f>(('Input and Output'!D$23*'Input and Output'!$B$10)+('Input and Output'!D$24*Calculations!$C$5)+('Input and Output'!D$25*Calculations!$C$6)+('Input and Output'!D$26*(IF('Input and Output'!F$7="Detritus",Calculations!$C$4,I537))-(SUM('Input and Output'!D$27:D$32))*J536))</f>
        <v>3.6955612141937308</v>
      </c>
      <c r="F537" s="49" t="e">
        <f>(('Input and Output'!E$23*'Input and Output'!$B$10)+('Input and Output'!E$24*Calculations!$C$5)+('Input and Output'!E$25*Calculations!$C$6)+('Input and Output'!E$26*(IF('Input and Output'!G$7="Detritus",Calculations!$C$4,J537))-(SUM('Input and Output'!E$27:E$32))*K536))</f>
        <v>#N/A</v>
      </c>
      <c r="H537" s="49">
        <f>IF(H$2="",NA(),C537*$B537+H536)</f>
        <v>323478.35123124567</v>
      </c>
      <c r="I537" s="49">
        <f>IF(I$2="",NA(),D537*$B537+I536)</f>
        <v>2964690.3949927404</v>
      </c>
      <c r="J537" s="49">
        <f>IF(J$2="",NA(),E537*$B537+J536)</f>
        <v>1378150.7166117446</v>
      </c>
      <c r="K537" s="49" t="e">
        <f>IF(K$2="",NA(),F537*$B537+K536)</f>
        <v>#N/A</v>
      </c>
    </row>
    <row r="538" spans="1:11" x14ac:dyDescent="0.4">
      <c r="A538" s="49">
        <v>535</v>
      </c>
      <c r="B538" s="49">
        <f>A538/$B$1</f>
        <v>22.291666666666668</v>
      </c>
      <c r="C538" s="49">
        <f>(('Input and Output'!B$23*'Input and Output'!$B$10)+('Input and Output'!B$24*Calculations!$C$5)+('Input and Output'!B$25*Calculations!$C$6)+('Input and Output'!B$26*(IF('Input and Output'!D$7="Detritus",Calculations!$C$4,G538))-(SUM('Input and Output'!B$27:B$32))*H537))</f>
        <v>0.96645286283984433</v>
      </c>
      <c r="D538" s="49">
        <f>(('Input and Output'!C$23*'Input and Output'!$B$10)+('Input and Output'!C$24*Calculations!$C$5)+('Input and Output'!C$25*Calculations!$C$6)+('Input and Output'!C$26*(IF('Input and Output'!E$7="Detritus",Calculations!$C$4,H538))-(SUM('Input and Output'!C$27:C$32))*I537))</f>
        <v>8.1838576280188136</v>
      </c>
      <c r="E538" s="49">
        <f>(('Input and Output'!D$23*'Input and Output'!$B$10)+('Input and Output'!D$24*Calculations!$C$5)+('Input and Output'!D$25*Calculations!$C$6)+('Input and Output'!D$26*(IF('Input and Output'!F$7="Detritus",Calculations!$C$4,I538))-(SUM('Input and Output'!D$27:D$32))*J537))</f>
        <v>3.6159556361271825</v>
      </c>
      <c r="F538" s="49" t="e">
        <f>(('Input and Output'!E$23*'Input and Output'!$B$10)+('Input and Output'!E$24*Calculations!$C$5)+('Input and Output'!E$25*Calculations!$C$6)+('Input and Output'!E$26*(IF('Input and Output'!G$7="Detritus",Calculations!$C$4,J538))-(SUM('Input and Output'!E$27:E$32))*K537))</f>
        <v>#N/A</v>
      </c>
      <c r="H538" s="49">
        <f>IF(H$2="",NA(),C538*$B538+H537)</f>
        <v>323499.89507631317</v>
      </c>
      <c r="I538" s="49">
        <f>IF(I$2="",NA(),D538*$B538+I537)</f>
        <v>2964872.8268190315</v>
      </c>
      <c r="J538" s="49">
        <f>IF(J$2="",NA(),E538*$B538+J537)</f>
        <v>1378231.3222894666</v>
      </c>
      <c r="K538" s="49" t="e">
        <f>IF(K$2="",NA(),F538*$B538+K537)</f>
        <v>#N/A</v>
      </c>
    </row>
    <row r="539" spans="1:11" x14ac:dyDescent="0.4">
      <c r="A539" s="49">
        <v>536</v>
      </c>
      <c r="B539" s="49">
        <f>A539/$B$1</f>
        <v>22.333333333333332</v>
      </c>
      <c r="C539" s="49">
        <f>(('Input and Output'!B$23*'Input and Output'!$B$10)+('Input and Output'!B$24*Calculations!$C$5)+('Input and Output'!B$25*Calculations!$C$6)+('Input and Output'!B$26*(IF('Input and Output'!D$7="Detritus",Calculations!$C$4,G539))-(SUM('Input and Output'!B$27:B$32))*H538))</f>
        <v>0.94568213798316947</v>
      </c>
      <c r="D539" s="49">
        <f>(('Input and Output'!C$23*'Input and Output'!$B$10)+('Input and Output'!C$24*Calculations!$C$5)+('Input and Output'!C$25*Calculations!$C$6)+('Input and Output'!C$26*(IF('Input and Output'!E$7="Detritus",Calculations!$C$4,H539))-(SUM('Input and Output'!C$27:C$32))*I538))</f>
        <v>8.0075995813949703</v>
      </c>
      <c r="E539" s="49">
        <f>(('Input and Output'!D$23*'Input and Output'!$B$10)+('Input and Output'!D$24*Calculations!$C$5)+('Input and Output'!D$25*Calculations!$C$6)+('Input and Output'!D$26*(IF('Input and Output'!F$7="Detritus",Calculations!$C$4,I539))-(SUM('Input and Output'!D$27:D$32))*J538))</f>
        <v>3.537919707265246</v>
      </c>
      <c r="F539" s="49" t="e">
        <f>(('Input and Output'!E$23*'Input and Output'!$B$10)+('Input and Output'!E$24*Calculations!$C$5)+('Input and Output'!E$25*Calculations!$C$6)+('Input and Output'!E$26*(IF('Input and Output'!G$7="Detritus",Calculations!$C$4,J539))-(SUM('Input and Output'!E$27:E$32))*K538))</f>
        <v>#N/A</v>
      </c>
      <c r="H539" s="49">
        <f>IF(H$2="",NA(),C539*$B539+H538)</f>
        <v>323521.01531072811</v>
      </c>
      <c r="I539" s="49">
        <f>IF(I$2="",NA(),D539*$B539+I538)</f>
        <v>2965051.6632096828</v>
      </c>
      <c r="J539" s="49">
        <f>IF(J$2="",NA(),E539*$B539+J538)</f>
        <v>1378310.3358295956</v>
      </c>
      <c r="K539" s="49" t="e">
        <f>IF(K$2="",NA(),F539*$B539+K538)</f>
        <v>#N/A</v>
      </c>
    </row>
    <row r="540" spans="1:11" x14ac:dyDescent="0.4">
      <c r="A540" s="49">
        <v>537</v>
      </c>
      <c r="B540" s="49">
        <f>A540/$B$1</f>
        <v>22.375</v>
      </c>
      <c r="C540" s="49">
        <f>(('Input and Output'!B$23*'Input and Output'!$B$10)+('Input and Output'!B$24*Calculations!$C$5)+('Input and Output'!B$25*Calculations!$C$6)+('Input and Output'!B$26*(IF('Input and Output'!D$7="Detritus",Calculations!$C$4,G540))-(SUM('Input and Output'!B$27:B$32))*H539))</f>
        <v>0.92531982213068886</v>
      </c>
      <c r="D540" s="49">
        <f>(('Input and Output'!C$23*'Input and Output'!$B$10)+('Input and Output'!C$24*Calculations!$C$5)+('Input and Output'!C$25*Calculations!$C$6)+('Input and Output'!C$26*(IF('Input and Output'!E$7="Detritus",Calculations!$C$4,H540))-(SUM('Input and Output'!C$27:C$32))*I539))</f>
        <v>7.8348161652465933</v>
      </c>
      <c r="E540" s="49">
        <f>(('Input and Output'!D$23*'Input and Output'!$B$10)+('Input and Output'!D$24*Calculations!$C$5)+('Input and Output'!D$25*Calculations!$C$6)+('Input and Output'!D$26*(IF('Input and Output'!F$7="Detritus",Calculations!$C$4,I540))-(SUM('Input and Output'!D$27:D$32))*J539))</f>
        <v>3.4614258789406449</v>
      </c>
      <c r="F540" s="49" t="e">
        <f>(('Input and Output'!E$23*'Input and Output'!$B$10)+('Input and Output'!E$24*Calculations!$C$5)+('Input and Output'!E$25*Calculations!$C$6)+('Input and Output'!E$26*(IF('Input and Output'!G$7="Detritus",Calculations!$C$4,J540))-(SUM('Input and Output'!E$27:E$32))*K539))</f>
        <v>#N/A</v>
      </c>
      <c r="H540" s="49">
        <f>IF(H$2="",NA(),C540*$B540+H539)</f>
        <v>323541.71934174828</v>
      </c>
      <c r="I540" s="49">
        <f>IF(I$2="",NA(),D540*$B540+I539)</f>
        <v>2965226.9672213802</v>
      </c>
      <c r="J540" s="49">
        <f>IF(J$2="",NA(),E540*$B540+J539)</f>
        <v>1378387.7852336369</v>
      </c>
      <c r="K540" s="49" t="e">
        <f>IF(K$2="",NA(),F540*$B540+K539)</f>
        <v>#N/A</v>
      </c>
    </row>
    <row r="541" spans="1:11" x14ac:dyDescent="0.4">
      <c r="A541" s="49">
        <v>538</v>
      </c>
      <c r="B541" s="49">
        <f>A541/$B$1</f>
        <v>22.416666666666668</v>
      </c>
      <c r="C541" s="49">
        <f>(('Input and Output'!B$23*'Input and Output'!$B$10)+('Input and Output'!B$24*Calculations!$C$5)+('Input and Output'!B$25*Calculations!$C$6)+('Input and Output'!B$26*(IF('Input and Output'!D$7="Detritus",Calculations!$C$4,G541))-(SUM('Input and Output'!B$27:B$32))*H540))</f>
        <v>0.90535877384070318</v>
      </c>
      <c r="D541" s="49">
        <f>(('Input and Output'!C$23*'Input and Output'!$B$10)+('Input and Output'!C$24*Calculations!$C$5)+('Input and Output'!C$25*Calculations!$C$6)+('Input and Output'!C$26*(IF('Input and Output'!E$7="Detritus",Calculations!$C$4,H541))-(SUM('Input and Output'!C$27:C$32))*I540))</f>
        <v>7.6654464179327988</v>
      </c>
      <c r="E541" s="49">
        <f>(('Input and Output'!D$23*'Input and Output'!$B$10)+('Input and Output'!D$24*Calculations!$C$5)+('Input and Output'!D$25*Calculations!$C$6)+('Input and Output'!D$26*(IF('Input and Output'!F$7="Detritus",Calculations!$C$4,I541))-(SUM('Input and Output'!D$27:D$32))*J540))</f>
        <v>3.3864470102453197</v>
      </c>
      <c r="F541" s="49" t="e">
        <f>(('Input and Output'!E$23*'Input and Output'!$B$10)+('Input and Output'!E$24*Calculations!$C$5)+('Input and Output'!E$25*Calculations!$C$6)+('Input and Output'!E$26*(IF('Input and Output'!G$7="Detritus",Calculations!$C$4,J541))-(SUM('Input and Output'!E$27:E$32))*K540))</f>
        <v>#N/A</v>
      </c>
      <c r="H541" s="49">
        <f>IF(H$2="",NA(),C541*$B541+H540)</f>
        <v>323562.0144675952</v>
      </c>
      <c r="I541" s="49">
        <f>IF(I$2="",NA(),D541*$B541+I540)</f>
        <v>2965398.8009785824</v>
      </c>
      <c r="J541" s="49">
        <f>IF(J$2="",NA(),E541*$B541+J540)</f>
        <v>1378463.6980874499</v>
      </c>
      <c r="K541" s="49" t="e">
        <f>IF(K$2="",NA(),F541*$B541+K540)</f>
        <v>#N/A</v>
      </c>
    </row>
    <row r="542" spans="1:11" x14ac:dyDescent="0.4">
      <c r="A542" s="49">
        <v>539</v>
      </c>
      <c r="B542" s="49">
        <f>A542/$B$1</f>
        <v>22.458333333333332</v>
      </c>
      <c r="C542" s="49">
        <f>(('Input and Output'!B$23*'Input and Output'!$B$10)+('Input and Output'!B$24*Calculations!$C$5)+('Input and Output'!B$25*Calculations!$C$6)+('Input and Output'!B$26*(IF('Input and Output'!D$7="Detritus",Calculations!$C$4,G542))-(SUM('Input and Output'!B$27:B$32))*H541))</f>
        <v>0.8857919567949466</v>
      </c>
      <c r="D542" s="49">
        <f>(('Input and Output'!C$23*'Input and Output'!$B$10)+('Input and Output'!C$24*Calculations!$C$5)+('Input and Output'!C$25*Calculations!$C$6)+('Input and Output'!C$26*(IF('Input and Output'!E$7="Detritus",Calculations!$C$4,H542))-(SUM('Input and Output'!C$27:C$32))*I541))</f>
        <v>7.4994302797085766</v>
      </c>
      <c r="E542" s="49">
        <f>(('Input and Output'!D$23*'Input and Output'!$B$10)+('Input and Output'!D$24*Calculations!$C$5)+('Input and Output'!D$25*Calculations!$C$6)+('Input and Output'!D$26*(IF('Input and Output'!F$7="Detritus",Calculations!$C$4,I542))-(SUM('Input and Output'!D$27:D$32))*J541))</f>
        <v>3.312956363781268</v>
      </c>
      <c r="F542" s="49" t="e">
        <f>(('Input and Output'!E$23*'Input and Output'!$B$10)+('Input and Output'!E$24*Calculations!$C$5)+('Input and Output'!E$25*Calculations!$C$6)+('Input and Output'!E$26*(IF('Input and Output'!G$7="Detritus",Calculations!$C$4,J542))-(SUM('Input and Output'!E$27:E$32))*K541))</f>
        <v>#N/A</v>
      </c>
      <c r="H542" s="49">
        <f>IF(H$2="",NA(),C542*$B542+H541)</f>
        <v>323581.90787862492</v>
      </c>
      <c r="I542" s="49">
        <f>IF(I$2="",NA(),D542*$B542+I541)</f>
        <v>2965567.2256836141</v>
      </c>
      <c r="J542" s="49">
        <f>IF(J$2="",NA(),E542*$B542+J541)</f>
        <v>1378538.1015657864</v>
      </c>
      <c r="K542" s="49" t="e">
        <f>IF(K$2="",NA(),F542*$B542+K541)</f>
        <v>#N/A</v>
      </c>
    </row>
    <row r="543" spans="1:11" x14ac:dyDescent="0.4">
      <c r="A543" s="49">
        <v>540</v>
      </c>
      <c r="B543" s="49">
        <f>A543/$B$1</f>
        <v>22.5</v>
      </c>
      <c r="C543" s="49">
        <f>(('Input and Output'!B$23*'Input and Output'!$B$10)+('Input and Output'!B$24*Calculations!$C$5)+('Input and Output'!B$25*Calculations!$C$6)+('Input and Output'!B$26*(IF('Input and Output'!D$7="Detritus",Calculations!$C$4,G543))-(SUM('Input and Output'!B$27:B$32))*H542))</f>
        <v>0.86661243866967652</v>
      </c>
      <c r="D543" s="49">
        <f>(('Input and Output'!C$23*'Input and Output'!$B$10)+('Input and Output'!C$24*Calculations!$C$5)+('Input and Output'!C$25*Calculations!$C$6)+('Input and Output'!C$26*(IF('Input and Output'!E$7="Detritus",Calculations!$C$4,H543))-(SUM('Input and Output'!C$27:C$32))*I542))</f>
        <v>7.3367085829440839</v>
      </c>
      <c r="E543" s="49">
        <f>(('Input and Output'!D$23*'Input and Output'!$B$10)+('Input and Output'!D$24*Calculations!$C$5)+('Input and Output'!D$25*Calculations!$C$6)+('Input and Output'!D$26*(IF('Input and Output'!F$7="Detritus",Calculations!$C$4,I543))-(SUM('Input and Output'!D$27:D$32))*J542))</f>
        <v>3.2409276010912436</v>
      </c>
      <c r="F543" s="49" t="e">
        <f>(('Input and Output'!E$23*'Input and Output'!$B$10)+('Input and Output'!E$24*Calculations!$C$5)+('Input and Output'!E$25*Calculations!$C$6)+('Input and Output'!E$26*(IF('Input and Output'!G$7="Detritus",Calculations!$C$4,J543))-(SUM('Input and Output'!E$27:E$32))*K542))</f>
        <v>#N/A</v>
      </c>
      <c r="H543" s="49">
        <f>IF(H$2="",NA(),C543*$B543+H542)</f>
        <v>323601.40665849496</v>
      </c>
      <c r="I543" s="49">
        <f>IF(I$2="",NA(),D543*$B543+I542)</f>
        <v>2965732.3016267302</v>
      </c>
      <c r="J543" s="49">
        <f>IF(J$2="",NA(),E543*$B543+J542)</f>
        <v>1378611.0224368109</v>
      </c>
      <c r="K543" s="49" t="e">
        <f>IF(K$2="",NA(),F543*$B543+K542)</f>
        <v>#N/A</v>
      </c>
    </row>
    <row r="544" spans="1:11" x14ac:dyDescent="0.4">
      <c r="A544" s="49">
        <v>541</v>
      </c>
      <c r="B544" s="49">
        <f>A544/$B$1</f>
        <v>22.541666666666668</v>
      </c>
      <c r="C544" s="49">
        <f>(('Input and Output'!B$23*'Input and Output'!$B$10)+('Input and Output'!B$24*Calculations!$C$5)+('Input and Output'!B$25*Calculations!$C$6)+('Input and Output'!B$26*(IF('Input and Output'!D$7="Detritus",Calculations!$C$4,G544))-(SUM('Input and Output'!B$27:B$32))*H543))</f>
        <v>0.84781339001091283</v>
      </c>
      <c r="D544" s="49">
        <f>(('Input and Output'!C$23*'Input and Output'!$B$10)+('Input and Output'!C$24*Calculations!$C$5)+('Input and Output'!C$25*Calculations!$C$6)+('Input and Output'!C$26*(IF('Input and Output'!E$7="Detritus",Calculations!$C$4,H544))-(SUM('Input and Output'!C$27:C$32))*I543))</f>
        <v>7.1772230423675865</v>
      </c>
      <c r="E544" s="49">
        <f>(('Input and Output'!D$23*'Input and Output'!$B$10)+('Input and Output'!D$24*Calculations!$C$5)+('Input and Output'!D$25*Calculations!$C$6)+('Input and Output'!D$26*(IF('Input and Output'!F$7="Detritus",Calculations!$C$4,I544))-(SUM('Input and Output'!D$27:D$32))*J543))</f>
        <v>3.1703347781476623</v>
      </c>
      <c r="F544" s="49" t="e">
        <f>(('Input and Output'!E$23*'Input and Output'!$B$10)+('Input and Output'!E$24*Calculations!$C$5)+('Input and Output'!E$25*Calculations!$C$6)+('Input and Output'!E$26*(IF('Input and Output'!G$7="Detritus",Calculations!$C$4,J544))-(SUM('Input and Output'!E$27:E$32))*K543))</f>
        <v>#N/A</v>
      </c>
      <c r="H544" s="49">
        <f>IF(H$2="",NA(),C544*$B544+H543)</f>
        <v>323620.51778532815</v>
      </c>
      <c r="I544" s="49">
        <f>IF(I$2="",NA(),D544*$B544+I543)</f>
        <v>2965894.0881961435</v>
      </c>
      <c r="J544" s="49">
        <f>IF(J$2="",NA(),E544*$B544+J543)</f>
        <v>1378682.4870666016</v>
      </c>
      <c r="K544" s="49" t="e">
        <f>IF(K$2="",NA(),F544*$B544+K543)</f>
        <v>#N/A</v>
      </c>
    </row>
    <row r="545" spans="1:11" x14ac:dyDescent="0.4">
      <c r="A545" s="49">
        <v>542</v>
      </c>
      <c r="B545" s="49">
        <f>A545/$B$1</f>
        <v>22.583333333333332</v>
      </c>
      <c r="C545" s="49">
        <f>(('Input and Output'!B$23*'Input and Output'!$B$10)+('Input and Output'!B$24*Calculations!$C$5)+('Input and Output'!B$25*Calculations!$C$6)+('Input and Output'!B$26*(IF('Input and Output'!D$7="Detritus",Calculations!$C$4,G545))-(SUM('Input and Output'!B$27:B$32))*H544))</f>
        <v>0.82938808311189405</v>
      </c>
      <c r="D545" s="49">
        <f>(('Input and Output'!C$23*'Input and Output'!$B$10)+('Input and Output'!C$24*Calculations!$C$5)+('Input and Output'!C$25*Calculations!$C$6)+('Input and Output'!C$26*(IF('Input and Output'!E$7="Detritus",Calculations!$C$4,H545))-(SUM('Input and Output'!C$27:C$32))*I544))</f>
        <v>7.0209162453484169</v>
      </c>
      <c r="E545" s="49">
        <f>(('Input and Output'!D$23*'Input and Output'!$B$10)+('Input and Output'!D$24*Calculations!$C$5)+('Input and Output'!D$25*Calculations!$C$6)+('Input and Output'!D$26*(IF('Input and Output'!F$7="Detritus",Calculations!$C$4,I545))-(SUM('Input and Output'!D$27:D$32))*J544))</f>
        <v>3.1011523413508257</v>
      </c>
      <c r="F545" s="49" t="e">
        <f>(('Input and Output'!E$23*'Input and Output'!$B$10)+('Input and Output'!E$24*Calculations!$C$5)+('Input and Output'!E$25*Calculations!$C$6)+('Input and Output'!E$26*(IF('Input and Output'!G$7="Detritus",Calculations!$C$4,J545))-(SUM('Input and Output'!E$27:E$32))*K544))</f>
        <v>#N/A</v>
      </c>
      <c r="H545" s="49">
        <f>IF(H$2="",NA(),C545*$B545+H544)</f>
        <v>323639.24813287175</v>
      </c>
      <c r="I545" s="49">
        <f>IF(I$2="",NA(),D545*$B545+I544)</f>
        <v>2966052.6438880176</v>
      </c>
      <c r="J545" s="49">
        <f>IF(J$2="",NA(),E545*$B545+J544)</f>
        <v>1378752.5214236439</v>
      </c>
      <c r="K545" s="49" t="e">
        <f>IF(K$2="",NA(),F545*$B545+K544)</f>
        <v>#N/A</v>
      </c>
    </row>
    <row r="546" spans="1:11" x14ac:dyDescent="0.4">
      <c r="A546" s="49">
        <v>543</v>
      </c>
      <c r="B546" s="49">
        <f>A546/$B$1</f>
        <v>22.625</v>
      </c>
      <c r="C546" s="49">
        <f>(('Input and Output'!B$23*'Input and Output'!$B$10)+('Input and Output'!B$24*Calculations!$C$5)+('Input and Output'!B$25*Calculations!$C$6)+('Input and Output'!B$26*(IF('Input and Output'!D$7="Detritus",Calculations!$C$4,G546))-(SUM('Input and Output'!B$27:B$32))*H545))</f>
        <v>0.8113298908959905</v>
      </c>
      <c r="D546" s="49">
        <f>(('Input and Output'!C$23*'Input and Output'!$B$10)+('Input and Output'!C$24*Calculations!$C$5)+('Input and Output'!C$25*Calculations!$C$6)+('Input and Output'!C$26*(IF('Input and Output'!E$7="Detritus",Calculations!$C$4,H546))-(SUM('Input and Output'!C$27:C$32))*I545))</f>
        <v>6.8677316422108561</v>
      </c>
      <c r="E546" s="49">
        <f>(('Input and Output'!D$23*'Input and Output'!$B$10)+('Input and Output'!D$24*Calculations!$C$5)+('Input and Output'!D$25*Calculations!$C$6)+('Input and Output'!D$26*(IF('Input and Output'!F$7="Detritus",Calculations!$C$4,I546))-(SUM('Input and Output'!D$27:D$32))*J545))</f>
        <v>3.0333551226394775</v>
      </c>
      <c r="F546" s="49" t="e">
        <f>(('Input and Output'!E$23*'Input and Output'!$B$10)+('Input and Output'!E$24*Calculations!$C$5)+('Input and Output'!E$25*Calculations!$C$6)+('Input and Output'!E$26*(IF('Input and Output'!G$7="Detritus",Calculations!$C$4,J546))-(SUM('Input and Output'!E$27:E$32))*K545))</f>
        <v>#N/A</v>
      </c>
      <c r="H546" s="49">
        <f>IF(H$2="",NA(),C546*$B546+H545)</f>
        <v>323657.60447165329</v>
      </c>
      <c r="I546" s="49">
        <f>IF(I$2="",NA(),D546*$B546+I545)</f>
        <v>2966208.0263164225</v>
      </c>
      <c r="J546" s="49">
        <f>IF(J$2="",NA(),E546*$B546+J545)</f>
        <v>1378821.1510832936</v>
      </c>
      <c r="K546" s="49" t="e">
        <f>IF(K$2="",NA(),F546*$B546+K545)</f>
        <v>#N/A</v>
      </c>
    </row>
    <row r="547" spans="1:11" x14ac:dyDescent="0.4">
      <c r="A547" s="49">
        <v>544</v>
      </c>
      <c r="B547" s="49">
        <f>A547/$B$1</f>
        <v>22.666666666666668</v>
      </c>
      <c r="C547" s="49">
        <f>(('Input and Output'!B$23*'Input and Output'!$B$10)+('Input and Output'!B$24*Calculations!$C$5)+('Input and Output'!B$25*Calculations!$C$6)+('Input and Output'!B$26*(IF('Input and Output'!D$7="Detritus",Calculations!$C$4,G547))-(SUM('Input and Output'!B$27:B$32))*H546))</f>
        <v>0.79363228580217537</v>
      </c>
      <c r="D547" s="49">
        <f>(('Input and Output'!C$23*'Input and Output'!$B$10)+('Input and Output'!C$24*Calculations!$C$5)+('Input and Output'!C$25*Calculations!$C$6)+('Input and Output'!C$26*(IF('Input and Output'!E$7="Detritus",Calculations!$C$4,H547))-(SUM('Input and Output'!C$27:C$32))*I546))</f>
        <v>6.7176135365862137</v>
      </c>
      <c r="E547" s="49">
        <f>(('Input and Output'!D$23*'Input and Output'!$B$10)+('Input and Output'!D$24*Calculations!$C$5)+('Input and Output'!D$25*Calculations!$C$6)+('Input and Output'!D$26*(IF('Input and Output'!F$7="Detritus",Calculations!$C$4,I547))-(SUM('Input and Output'!D$27:D$32))*J546))</f>
        <v>2.9669183356927533</v>
      </c>
      <c r="F547" s="49" t="e">
        <f>(('Input and Output'!E$23*'Input and Output'!$B$10)+('Input and Output'!E$24*Calculations!$C$5)+('Input and Output'!E$25*Calculations!$C$6)+('Input and Output'!E$26*(IF('Input and Output'!G$7="Detritus",Calculations!$C$4,J547))-(SUM('Input and Output'!E$27:E$32))*K546))</f>
        <v>#N/A</v>
      </c>
      <c r="H547" s="49">
        <f>IF(H$2="",NA(),C547*$B547+H546)</f>
        <v>323675.59347013145</v>
      </c>
      <c r="I547" s="49">
        <f>IF(I$2="",NA(),D547*$B547+I546)</f>
        <v>2966360.2922232519</v>
      </c>
      <c r="J547" s="49">
        <f>IF(J$2="",NA(),E547*$B547+J546)</f>
        <v>1378888.4012322361</v>
      </c>
      <c r="K547" s="49" t="e">
        <f>IF(K$2="",NA(),F547*$B547+K546)</f>
        <v>#N/A</v>
      </c>
    </row>
    <row r="548" spans="1:11" x14ac:dyDescent="0.4">
      <c r="A548" s="49">
        <v>545</v>
      </c>
      <c r="B548" s="49">
        <f>A548/$B$1</f>
        <v>22.708333333333332</v>
      </c>
      <c r="C548" s="49">
        <f>(('Input and Output'!B$23*'Input and Output'!$B$10)+('Input and Output'!B$24*Calculations!$C$5)+('Input and Output'!B$25*Calculations!$C$6)+('Input and Output'!B$26*(IF('Input and Output'!D$7="Detritus",Calculations!$C$4,G548))-(SUM('Input and Output'!B$27:B$32))*H547))</f>
        <v>0.7762888386753275</v>
      </c>
      <c r="D548" s="49">
        <f>(('Input and Output'!C$23*'Input and Output'!$B$10)+('Input and Output'!C$24*Calculations!$C$5)+('Input and Output'!C$25*Calculations!$C$6)+('Input and Output'!C$26*(IF('Input and Output'!E$7="Detritus",Calculations!$C$4,H548))-(SUM('Input and Output'!C$27:C$32))*I547))</f>
        <v>6.5705070758094735</v>
      </c>
      <c r="E548" s="49">
        <f>(('Input and Output'!D$23*'Input and Output'!$B$10)+('Input and Output'!D$24*Calculations!$C$5)+('Input and Output'!D$25*Calculations!$C$6)+('Input and Output'!D$26*(IF('Input and Output'!F$7="Detritus",Calculations!$C$4,I548))-(SUM('Input and Output'!D$27:D$32))*J547))</f>
        <v>2.9018175710698415</v>
      </c>
      <c r="F548" s="49" t="e">
        <f>(('Input and Output'!E$23*'Input and Output'!$B$10)+('Input and Output'!E$24*Calculations!$C$5)+('Input and Output'!E$25*Calculations!$C$6)+('Input and Output'!E$26*(IF('Input and Output'!G$7="Detritus",Calculations!$C$4,J548))-(SUM('Input and Output'!E$27:E$32))*K547))</f>
        <v>#N/A</v>
      </c>
      <c r="H548" s="49">
        <f>IF(H$2="",NA(),C548*$B548+H547)</f>
        <v>323693.22169584304</v>
      </c>
      <c r="I548" s="49">
        <f>IF(I$2="",NA(),D548*$B548+I547)</f>
        <v>2966509.4974880982</v>
      </c>
      <c r="J548" s="49">
        <f>IF(J$2="",NA(),E548*$B548+J547)</f>
        <v>1378954.2966729125</v>
      </c>
      <c r="K548" s="49" t="e">
        <f>IF(K$2="",NA(),F548*$B548+K547)</f>
        <v>#N/A</v>
      </c>
    </row>
    <row r="549" spans="1:11" x14ac:dyDescent="0.4">
      <c r="A549" s="49">
        <v>546</v>
      </c>
      <c r="B549" s="49">
        <f>A549/$B$1</f>
        <v>22.75</v>
      </c>
      <c r="C549" s="49">
        <f>(('Input and Output'!B$23*'Input and Output'!$B$10)+('Input and Output'!B$24*Calculations!$C$5)+('Input and Output'!B$25*Calculations!$C$6)+('Input and Output'!B$26*(IF('Input and Output'!D$7="Detritus",Calculations!$C$4,G549))-(SUM('Input and Output'!B$27:B$32))*H548))</f>
        <v>0.75929321766062685</v>
      </c>
      <c r="D549" s="49">
        <f>(('Input and Output'!C$23*'Input and Output'!$B$10)+('Input and Output'!C$24*Calculations!$C$5)+('Input and Output'!C$25*Calculations!$C$6)+('Input and Output'!C$26*(IF('Input and Output'!E$7="Detritus",Calculations!$C$4,H549))-(SUM('Input and Output'!C$27:C$32))*I548))</f>
        <v>6.4263582413414042</v>
      </c>
      <c r="E549" s="49">
        <f>(('Input and Output'!D$23*'Input and Output'!$B$10)+('Input and Output'!D$24*Calculations!$C$5)+('Input and Output'!D$25*Calculations!$C$6)+('Input and Output'!D$26*(IF('Input and Output'!F$7="Detritus",Calculations!$C$4,I549))-(SUM('Input and Output'!D$27:D$32))*J548))</f>
        <v>2.8380287923391734</v>
      </c>
      <c r="F549" s="49" t="e">
        <f>(('Input and Output'!E$23*'Input and Output'!$B$10)+('Input and Output'!E$24*Calculations!$C$5)+('Input and Output'!E$25*Calculations!$C$6)+('Input and Output'!E$26*(IF('Input and Output'!G$7="Detritus",Calculations!$C$4,J549))-(SUM('Input and Output'!E$27:E$32))*K548))</f>
        <v>#N/A</v>
      </c>
      <c r="H549" s="49">
        <f>IF(H$2="",NA(),C549*$B549+H548)</f>
        <v>323710.49561654479</v>
      </c>
      <c r="I549" s="49">
        <f>IF(I$2="",NA(),D549*$B549+I548)</f>
        <v>2966655.6971380888</v>
      </c>
      <c r="J549" s="49">
        <f>IF(J$2="",NA(),E549*$B549+J548)</f>
        <v>1379018.8618279384</v>
      </c>
      <c r="K549" s="49" t="e">
        <f>IF(K$2="",NA(),F549*$B549+K548)</f>
        <v>#N/A</v>
      </c>
    </row>
    <row r="550" spans="1:11" x14ac:dyDescent="0.4">
      <c r="A550" s="49">
        <v>547</v>
      </c>
      <c r="B550" s="49">
        <f>A550/$B$1</f>
        <v>22.791666666666668</v>
      </c>
      <c r="C550" s="49">
        <f>(('Input and Output'!B$23*'Input and Output'!$B$10)+('Input and Output'!B$24*Calculations!$C$5)+('Input and Output'!B$25*Calculations!$C$6)+('Input and Output'!B$26*(IF('Input and Output'!D$7="Detritus",Calculations!$C$4,G550))-(SUM('Input and Output'!B$27:B$32))*H549))</f>
        <v>0.74263918710255439</v>
      </c>
      <c r="D550" s="49">
        <f>(('Input and Output'!C$23*'Input and Output'!$B$10)+('Input and Output'!C$24*Calculations!$C$5)+('Input and Output'!C$25*Calculations!$C$6)+('Input and Output'!C$26*(IF('Input and Output'!E$7="Detritus",Calculations!$C$4,H550))-(SUM('Input and Output'!C$27:C$32))*I549))</f>
        <v>6.2851138392488792</v>
      </c>
      <c r="E550" s="49">
        <f>(('Input and Output'!D$23*'Input and Output'!$B$10)+('Input and Output'!D$24*Calculations!$C$5)+('Input and Output'!D$25*Calculations!$C$6)+('Input and Output'!D$26*(IF('Input and Output'!F$7="Detritus",Calculations!$C$4,I550))-(SUM('Input and Output'!D$27:D$32))*J549))</f>
        <v>2.77552833149457</v>
      </c>
      <c r="F550" s="49" t="e">
        <f>(('Input and Output'!E$23*'Input and Output'!$B$10)+('Input and Output'!E$24*Calculations!$C$5)+('Input and Output'!E$25*Calculations!$C$6)+('Input and Output'!E$26*(IF('Input and Output'!G$7="Detritus",Calculations!$C$4,J550))-(SUM('Input and Output'!E$27:E$32))*K549))</f>
        <v>#N/A</v>
      </c>
      <c r="H550" s="49">
        <f>IF(H$2="",NA(),C550*$B550+H549)</f>
        <v>323727.42160135083</v>
      </c>
      <c r="I550" s="49">
        <f>IF(I$2="",NA(),D550*$B550+I549)</f>
        <v>2966798.9453576752</v>
      </c>
      <c r="J550" s="49">
        <f>IF(J$2="",NA(),E550*$B550+J549)</f>
        <v>1379082.1207444936</v>
      </c>
      <c r="K550" s="49" t="e">
        <f>IF(K$2="",NA(),F550*$B550+K549)</f>
        <v>#N/A</v>
      </c>
    </row>
    <row r="551" spans="1:11" x14ac:dyDescent="0.4">
      <c r="A551" s="49">
        <v>548</v>
      </c>
      <c r="B551" s="49">
        <f>A551/$B$1</f>
        <v>22.833333333333332</v>
      </c>
      <c r="C551" s="49">
        <f>(('Input and Output'!B$23*'Input and Output'!$B$10)+('Input and Output'!B$24*Calculations!$C$5)+('Input and Output'!B$25*Calculations!$C$6)+('Input and Output'!B$26*(IF('Input and Output'!D$7="Detritus",Calculations!$C$4,G551))-(SUM('Input and Output'!B$27:B$32))*H550))</f>
        <v>0.72632060644838248</v>
      </c>
      <c r="D551" s="49">
        <f>(('Input and Output'!C$23*'Input and Output'!$B$10)+('Input and Output'!C$24*Calculations!$C$5)+('Input and Output'!C$25*Calculations!$C$6)+('Input and Output'!C$26*(IF('Input and Output'!E$7="Detritus",Calculations!$C$4,H551))-(SUM('Input and Output'!C$27:C$32))*I550))</f>
        <v>6.1467214907142989</v>
      </c>
      <c r="E551" s="49">
        <f>(('Input and Output'!D$23*'Input and Output'!$B$10)+('Input and Output'!D$24*Calculations!$C$5)+('Input and Output'!D$25*Calculations!$C$6)+('Input and Output'!D$26*(IF('Input and Output'!F$7="Detritus",Calculations!$C$4,I551))-(SUM('Input and Output'!D$27:D$32))*J550))</f>
        <v>2.7142928848224983</v>
      </c>
      <c r="F551" s="49" t="e">
        <f>(('Input and Output'!E$23*'Input and Output'!$B$10)+('Input and Output'!E$24*Calculations!$C$5)+('Input and Output'!E$25*Calculations!$C$6)+('Input and Output'!E$26*(IF('Input and Output'!G$7="Detritus",Calculations!$C$4,J551))-(SUM('Input and Output'!E$27:E$32))*K550))</f>
        <v>#N/A</v>
      </c>
      <c r="H551" s="49">
        <f>IF(H$2="",NA(),C551*$B551+H550)</f>
        <v>323744.00592186471</v>
      </c>
      <c r="I551" s="49">
        <f>IF(I$2="",NA(),D551*$B551+I550)</f>
        <v>2966939.29549838</v>
      </c>
      <c r="J551" s="49">
        <f>IF(J$2="",NA(),E551*$B551+J550)</f>
        <v>1379144.097098697</v>
      </c>
      <c r="K551" s="49" t="e">
        <f>IF(K$2="",NA(),F551*$B551+K550)</f>
        <v>#N/A</v>
      </c>
    </row>
    <row r="552" spans="1:11" x14ac:dyDescent="0.4">
      <c r="A552" s="49">
        <v>549</v>
      </c>
      <c r="B552" s="49">
        <f>A552/$B$1</f>
        <v>22.875</v>
      </c>
      <c r="C552" s="49">
        <f>(('Input and Output'!B$23*'Input and Output'!$B$10)+('Input and Output'!B$24*Calculations!$C$5)+('Input and Output'!B$25*Calculations!$C$6)+('Input and Output'!B$26*(IF('Input and Output'!D$7="Detritus",Calculations!$C$4,G552))-(SUM('Input and Output'!B$27:B$32))*H551))</f>
        <v>0.71033142915672443</v>
      </c>
      <c r="D552" s="49">
        <f>(('Input and Output'!C$23*'Input and Output'!$B$10)+('Input and Output'!C$24*Calculations!$C$5)+('Input and Output'!C$25*Calculations!$C$6)+('Input and Output'!C$26*(IF('Input and Output'!E$7="Detritus",Calculations!$C$4,H552))-(SUM('Input and Output'!C$27:C$32))*I551))</f>
        <v>6.011129622594126</v>
      </c>
      <c r="E552" s="49">
        <f>(('Input and Output'!D$23*'Input and Output'!$B$10)+('Input and Output'!D$24*Calculations!$C$5)+('Input and Output'!D$25*Calculations!$C$6)+('Input and Output'!D$26*(IF('Input and Output'!F$7="Detritus",Calculations!$C$4,I552))-(SUM('Input and Output'!D$27:D$32))*J551))</f>
        <v>2.6542995085219445</v>
      </c>
      <c r="F552" s="49" t="e">
        <f>(('Input and Output'!E$23*'Input and Output'!$B$10)+('Input and Output'!E$24*Calculations!$C$5)+('Input and Output'!E$25*Calculations!$C$6)+('Input and Output'!E$26*(IF('Input and Output'!G$7="Detritus",Calculations!$C$4,J552))-(SUM('Input and Output'!E$27:E$32))*K551))</f>
        <v>#N/A</v>
      </c>
      <c r="H552" s="49">
        <f>IF(H$2="",NA(),C552*$B552+H551)</f>
        <v>323760.25475330668</v>
      </c>
      <c r="I552" s="49">
        <f>IF(I$2="",NA(),D552*$B552+I551)</f>
        <v>2967076.8000884969</v>
      </c>
      <c r="J552" s="49">
        <f>IF(J$2="",NA(),E552*$B552+J551)</f>
        <v>1379204.8141999545</v>
      </c>
      <c r="K552" s="49" t="e">
        <f>IF(K$2="",NA(),F552*$B552+K551)</f>
        <v>#N/A</v>
      </c>
    </row>
    <row r="553" spans="1:11" x14ac:dyDescent="0.4">
      <c r="A553" s="49">
        <v>550</v>
      </c>
      <c r="B553" s="49">
        <f>A553/$B$1</f>
        <v>22.916666666666668</v>
      </c>
      <c r="C553" s="49">
        <f>(('Input and Output'!B$23*'Input and Output'!$B$10)+('Input and Output'!B$24*Calculations!$C$5)+('Input and Output'!B$25*Calculations!$C$6)+('Input and Output'!B$26*(IF('Input and Output'!D$7="Detritus",Calculations!$C$4,G553))-(SUM('Input and Output'!B$27:B$32))*H552))</f>
        <v>0.69466570161057462</v>
      </c>
      <c r="D553" s="49">
        <f>(('Input and Output'!C$23*'Input and Output'!$B$10)+('Input and Output'!C$24*Calculations!$C$5)+('Input and Output'!C$25*Calculations!$C$6)+('Input and Output'!C$26*(IF('Input and Output'!E$7="Detritus",Calculations!$C$4,H553))-(SUM('Input and Output'!C$27:C$32))*I552))</f>
        <v>5.8782874580210773</v>
      </c>
      <c r="E553" s="49">
        <f>(('Input and Output'!D$23*'Input and Output'!$B$10)+('Input and Output'!D$24*Calculations!$C$5)+('Input and Output'!D$25*Calculations!$C$6)+('Input and Output'!D$26*(IF('Input and Output'!F$7="Detritus",Calculations!$C$4,I553))-(SUM('Input and Output'!D$27:D$32))*J552))</f>
        <v>2.5955256147026375</v>
      </c>
      <c r="F553" s="49" t="e">
        <f>(('Input and Output'!E$23*'Input and Output'!$B$10)+('Input and Output'!E$24*Calculations!$C$5)+('Input and Output'!E$25*Calculations!$C$6)+('Input and Output'!E$26*(IF('Input and Output'!G$7="Detritus",Calculations!$C$4,J553))-(SUM('Input and Output'!E$27:E$32))*K552))</f>
        <v>#N/A</v>
      </c>
      <c r="H553" s="49">
        <f>IF(H$2="",NA(),C553*$B553+H552)</f>
        <v>323776.17417563527</v>
      </c>
      <c r="I553" s="49">
        <f>IF(I$2="",NA(),D553*$B553+I552)</f>
        <v>2967211.5108427433</v>
      </c>
      <c r="J553" s="49">
        <f>IF(J$2="",NA(),E553*$B553+J552)</f>
        <v>1379264.2949952914</v>
      </c>
      <c r="K553" s="49" t="e">
        <f>IF(K$2="",NA(),F553*$B553+K552)</f>
        <v>#N/A</v>
      </c>
    </row>
    <row r="554" spans="1:11" x14ac:dyDescent="0.4">
      <c r="A554" s="49">
        <v>551</v>
      </c>
      <c r="B554" s="49">
        <f>A554/$B$1</f>
        <v>22.958333333333332</v>
      </c>
      <c r="C554" s="49">
        <f>(('Input and Output'!B$23*'Input and Output'!$B$10)+('Input and Output'!B$24*Calculations!$C$5)+('Input and Output'!B$25*Calculations!$C$6)+('Input and Output'!B$26*(IF('Input and Output'!D$7="Detritus",Calculations!$C$4,G554))-(SUM('Input and Output'!B$27:B$32))*H553))</f>
        <v>0.67931756203620353</v>
      </c>
      <c r="D554" s="49">
        <f>(('Input and Output'!C$23*'Input and Output'!$B$10)+('Input and Output'!C$24*Calculations!$C$5)+('Input and Output'!C$25*Calculations!$C$6)+('Input and Output'!C$26*(IF('Input and Output'!E$7="Detritus",Calculations!$C$4,H554))-(SUM('Input and Output'!C$27:C$32))*I553))</f>
        <v>5.7481450070554274</v>
      </c>
      <c r="E554" s="49">
        <f>(('Input and Output'!D$23*'Input and Output'!$B$10)+('Input and Output'!D$24*Calculations!$C$5)+('Input and Output'!D$25*Calculations!$C$6)+('Input and Output'!D$26*(IF('Input and Output'!F$7="Detritus",Calculations!$C$4,I554))-(SUM('Input and Output'!D$27:D$32))*J553))</f>
        <v>2.5379489669467148</v>
      </c>
      <c r="F554" s="49" t="e">
        <f>(('Input and Output'!E$23*'Input and Output'!$B$10)+('Input and Output'!E$24*Calculations!$C$5)+('Input and Output'!E$25*Calculations!$C$6)+('Input and Output'!E$26*(IF('Input and Output'!G$7="Detritus",Calculations!$C$4,J554))-(SUM('Input and Output'!E$27:E$32))*K553))</f>
        <v>#N/A</v>
      </c>
      <c r="H554" s="49">
        <f>IF(H$2="",NA(),C554*$B554+H553)</f>
        <v>323791.77017466369</v>
      </c>
      <c r="I554" s="49">
        <f>IF(I$2="",NA(),D554*$B554+I553)</f>
        <v>2967343.4786718637</v>
      </c>
      <c r="J554" s="49">
        <f>IF(J$2="",NA(),E554*$B554+J553)</f>
        <v>1379322.5620736575</v>
      </c>
      <c r="K554" s="49" t="e">
        <f>IF(K$2="",NA(),F554*$B554+K553)</f>
        <v>#N/A</v>
      </c>
    </row>
    <row r="555" spans="1:11" x14ac:dyDescent="0.4">
      <c r="A555" s="49">
        <v>552</v>
      </c>
      <c r="B555" s="49">
        <f>A555/$B$1</f>
        <v>23</v>
      </c>
      <c r="C555" s="49">
        <f>(('Input and Output'!B$23*'Input and Output'!$B$10)+('Input and Output'!B$24*Calculations!$C$5)+('Input and Output'!B$25*Calculations!$C$6)+('Input and Output'!B$26*(IF('Input and Output'!D$7="Detritus",Calculations!$C$4,G555))-(SUM('Input and Output'!B$27:B$32))*H554))</f>
        <v>0.66428123942665707</v>
      </c>
      <c r="D555" s="49">
        <f>(('Input and Output'!C$23*'Input and Output'!$B$10)+('Input and Output'!C$24*Calculations!$C$5)+('Input and Output'!C$25*Calculations!$C$6)+('Input and Output'!C$26*(IF('Input and Output'!E$7="Detritus",Calculations!$C$4,H555))-(SUM('Input and Output'!C$27:C$32))*I554))</f>
        <v>5.6206530573845157</v>
      </c>
      <c r="E555" s="49">
        <f>(('Input and Output'!D$23*'Input and Output'!$B$10)+('Input and Output'!D$24*Calculations!$C$5)+('Input and Output'!D$25*Calculations!$C$6)+('Input and Output'!D$26*(IF('Input and Output'!F$7="Detritus",Calculations!$C$4,I555))-(SUM('Input and Output'!D$27:D$32))*J554))</f>
        <v>2.4815476761323225</v>
      </c>
      <c r="F555" s="49" t="e">
        <f>(('Input and Output'!E$23*'Input and Output'!$B$10)+('Input and Output'!E$24*Calculations!$C$5)+('Input and Output'!E$25*Calculations!$C$6)+('Input and Output'!E$26*(IF('Input and Output'!G$7="Detritus",Calculations!$C$4,J555))-(SUM('Input and Output'!E$27:E$32))*K554))</f>
        <v>#N/A</v>
      </c>
      <c r="H555" s="49">
        <f>IF(H$2="",NA(),C555*$B555+H554)</f>
        <v>323807.04864317051</v>
      </c>
      <c r="I555" s="49">
        <f>IF(I$2="",NA(),D555*$B555+I554)</f>
        <v>2967472.7536921836</v>
      </c>
      <c r="J555" s="49">
        <f>IF(J$2="",NA(),E555*$B555+J554)</f>
        <v>1379379.6376702085</v>
      </c>
      <c r="K555" s="49" t="e">
        <f>IF(K$2="",NA(),F555*$B555+K554)</f>
        <v>#N/A</v>
      </c>
    </row>
    <row r="556" spans="1:11" x14ac:dyDescent="0.4">
      <c r="A556" s="49">
        <v>553</v>
      </c>
      <c r="B556" s="49">
        <f>A556/$B$1</f>
        <v>23.041666666666668</v>
      </c>
      <c r="C556" s="49">
        <f>(('Input and Output'!B$23*'Input and Output'!$B$10)+('Input and Output'!B$24*Calculations!$C$5)+('Input and Output'!B$25*Calculations!$C$6)+('Input and Output'!B$26*(IF('Input and Output'!D$7="Detritus",Calculations!$C$4,G556))-(SUM('Input and Output'!B$27:B$32))*H555))</f>
        <v>0.64955105247105394</v>
      </c>
      <c r="D556" s="49">
        <f>(('Input and Output'!C$23*'Input and Output'!$B$10)+('Input and Output'!C$24*Calculations!$C$5)+('Input and Output'!C$25*Calculations!$C$6)+('Input and Output'!C$26*(IF('Input and Output'!E$7="Detritus",Calculations!$C$4,H556))-(SUM('Input and Output'!C$27:C$32))*I555))</f>
        <v>5.4957631650650001</v>
      </c>
      <c r="E556" s="49">
        <f>(('Input and Output'!D$23*'Input and Output'!$B$10)+('Input and Output'!D$24*Calculations!$C$5)+('Input and Output'!D$25*Calculations!$C$6)+('Input and Output'!D$26*(IF('Input and Output'!F$7="Detritus",Calculations!$C$4,I556))-(SUM('Input and Output'!D$27:D$32))*J555))</f>
        <v>2.4263001964754949</v>
      </c>
      <c r="F556" s="49" t="e">
        <f>(('Input and Output'!E$23*'Input and Output'!$B$10)+('Input and Output'!E$24*Calculations!$C$5)+('Input and Output'!E$25*Calculations!$C$6)+('Input and Output'!E$26*(IF('Input and Output'!G$7="Detritus",Calculations!$C$4,J556))-(SUM('Input and Output'!E$27:E$32))*K555))</f>
        <v>#N/A</v>
      </c>
      <c r="H556" s="49">
        <f>IF(H$2="",NA(),C556*$B556+H555)</f>
        <v>323822.01538200455</v>
      </c>
      <c r="I556" s="49">
        <f>IF(I$2="",NA(),D556*$B556+I555)</f>
        <v>2967599.3852351122</v>
      </c>
      <c r="J556" s="49">
        <f>IF(J$2="",NA(),E556*$B556+J555)</f>
        <v>1379435.5436705688</v>
      </c>
      <c r="K556" s="49" t="e">
        <f>IF(K$2="",NA(),F556*$B556+K555)</f>
        <v>#N/A</v>
      </c>
    </row>
    <row r="557" spans="1:11" x14ac:dyDescent="0.4">
      <c r="A557" s="49">
        <v>554</v>
      </c>
      <c r="B557" s="49">
        <f>A557/$B$1</f>
        <v>23.083333333333332</v>
      </c>
      <c r="C557" s="49">
        <f>(('Input and Output'!B$23*'Input and Output'!$B$10)+('Input and Output'!B$24*Calculations!$C$5)+('Input and Output'!B$25*Calculations!$C$6)+('Input and Output'!B$26*(IF('Input and Output'!D$7="Detritus",Calculations!$C$4,G557))-(SUM('Input and Output'!B$27:B$32))*H556))</f>
        <v>0.63512140848922627</v>
      </c>
      <c r="D557" s="49">
        <f>(('Input and Output'!C$23*'Input and Output'!$B$10)+('Input and Output'!C$24*Calculations!$C$5)+('Input and Output'!C$25*Calculations!$C$6)+('Input and Output'!C$26*(IF('Input and Output'!E$7="Detritus",Calculations!$C$4,H557))-(SUM('Input and Output'!C$27:C$32))*I556))</f>
        <v>5.3734276453233178</v>
      </c>
      <c r="E557" s="49">
        <f>(('Input and Output'!D$23*'Input and Output'!$B$10)+('Input and Output'!D$24*Calculations!$C$5)+('Input and Output'!D$25*Calculations!$C$6)+('Input and Output'!D$26*(IF('Input and Output'!F$7="Detritus",Calculations!$C$4,I557))-(SUM('Input and Output'!D$27:D$32))*J556))</f>
        <v>2.3721853211500274</v>
      </c>
      <c r="F557" s="49" t="e">
        <f>(('Input and Output'!E$23*'Input and Output'!$B$10)+('Input and Output'!E$24*Calculations!$C$5)+('Input and Output'!E$25*Calculations!$C$6)+('Input and Output'!E$26*(IF('Input and Output'!G$7="Detritus",Calculations!$C$4,J557))-(SUM('Input and Output'!E$27:E$32))*K556))</f>
        <v>#N/A</v>
      </c>
      <c r="H557" s="49">
        <f>IF(H$2="",NA(),C557*$B557+H556)</f>
        <v>323836.67610118387</v>
      </c>
      <c r="I557" s="49">
        <f>IF(I$2="",NA(),D557*$B557+I556)</f>
        <v>2967723.4218565915</v>
      </c>
      <c r="J557" s="49">
        <f>IF(J$2="",NA(),E557*$B557+J556)</f>
        <v>1379490.3016150654</v>
      </c>
      <c r="K557" s="49" t="e">
        <f>IF(K$2="",NA(),F557*$B557+K556)</f>
        <v>#N/A</v>
      </c>
    </row>
    <row r="558" spans="1:11" x14ac:dyDescent="0.4">
      <c r="A558" s="49">
        <v>555</v>
      </c>
      <c r="B558" s="49">
        <f>A558/$B$1</f>
        <v>23.125</v>
      </c>
      <c r="C558" s="49">
        <f>(('Input and Output'!B$23*'Input and Output'!$B$10)+('Input and Output'!B$24*Calculations!$C$5)+('Input and Output'!B$25*Calculations!$C$6)+('Input and Output'!B$26*(IF('Input and Output'!D$7="Detritus",Calculations!$C$4,G558))-(SUM('Input and Output'!B$27:B$32))*H557))</f>
        <v>0.620986802372272</v>
      </c>
      <c r="D558" s="49">
        <f>(('Input and Output'!C$23*'Input and Output'!$B$10)+('Input and Output'!C$24*Calculations!$C$5)+('Input and Output'!C$25*Calculations!$C$6)+('Input and Output'!C$26*(IF('Input and Output'!E$7="Detritus",Calculations!$C$4,H558))-(SUM('Input and Output'!C$27:C$32))*I557))</f>
        <v>5.2535995633998027</v>
      </c>
      <c r="E558" s="49">
        <f>(('Input and Output'!D$23*'Input and Output'!$B$10)+('Input and Output'!D$24*Calculations!$C$5)+('Input and Output'!D$25*Calculations!$C$6)+('Input and Output'!D$26*(IF('Input and Output'!F$7="Detritus",Calculations!$C$4,I558))-(SUM('Input and Output'!D$27:D$32))*J557))</f>
        <v>2.3191821783148043</v>
      </c>
      <c r="F558" s="49" t="e">
        <f>(('Input and Output'!E$23*'Input and Output'!$B$10)+('Input and Output'!E$24*Calculations!$C$5)+('Input and Output'!E$25*Calculations!$C$6)+('Input and Output'!E$26*(IF('Input and Output'!G$7="Detritus",Calculations!$C$4,J558))-(SUM('Input and Output'!E$27:E$32))*K557))</f>
        <v>#N/A</v>
      </c>
      <c r="H558" s="49">
        <f>IF(H$2="",NA(),C558*$B558+H557)</f>
        <v>323851.03642098873</v>
      </c>
      <c r="I558" s="49">
        <f>IF(I$2="",NA(),D558*$B558+I557)</f>
        <v>2967844.9113464952</v>
      </c>
      <c r="J558" s="49">
        <f>IF(J$2="",NA(),E558*$B558+J557)</f>
        <v>1379543.932702939</v>
      </c>
      <c r="K558" s="49" t="e">
        <f>IF(K$2="",NA(),F558*$B558+K557)</f>
        <v>#N/A</v>
      </c>
    </row>
    <row r="559" spans="1:11" x14ac:dyDescent="0.4">
      <c r="A559" s="49">
        <v>556</v>
      </c>
      <c r="B559" s="49">
        <f>A559/$B$1</f>
        <v>23.166666666666668</v>
      </c>
      <c r="C559" s="49">
        <f>(('Input and Output'!B$23*'Input and Output'!$B$10)+('Input and Output'!B$24*Calculations!$C$5)+('Input and Output'!B$25*Calculations!$C$6)+('Input and Output'!B$26*(IF('Input and Output'!D$7="Detritus",Calculations!$C$4,G559))-(SUM('Input and Output'!B$27:B$32))*H558))</f>
        <v>0.60714181552862101</v>
      </c>
      <c r="D559" s="49">
        <f>(('Input and Output'!C$23*'Input and Output'!$B$10)+('Input and Output'!C$24*Calculations!$C$5)+('Input and Output'!C$25*Calculations!$C$6)+('Input and Output'!C$26*(IF('Input and Output'!E$7="Detritus",Calculations!$C$4,H559))-(SUM('Input and Output'!C$27:C$32))*I558))</f>
        <v>5.1362327254473712</v>
      </c>
      <c r="E559" s="49">
        <f>(('Input and Output'!D$23*'Input and Output'!$B$10)+('Input and Output'!D$24*Calculations!$C$5)+('Input and Output'!D$25*Calculations!$C$6)+('Input and Output'!D$26*(IF('Input and Output'!F$7="Detritus",Calculations!$C$4,I559))-(SUM('Input and Output'!D$27:D$32))*J558))</f>
        <v>2.2672702269519505</v>
      </c>
      <c r="F559" s="49" t="e">
        <f>(('Input and Output'!E$23*'Input and Output'!$B$10)+('Input and Output'!E$24*Calculations!$C$5)+('Input and Output'!E$25*Calculations!$C$6)+('Input and Output'!E$26*(IF('Input and Output'!G$7="Detritus",Calculations!$C$4,J559))-(SUM('Input and Output'!E$27:E$32))*K558))</f>
        <v>#N/A</v>
      </c>
      <c r="H559" s="49">
        <f>IF(H$2="",NA(),C559*$B559+H558)</f>
        <v>323865.10187304846</v>
      </c>
      <c r="I559" s="49">
        <f>IF(I$2="",NA(),D559*$B559+I558)</f>
        <v>2967963.9007379678</v>
      </c>
      <c r="J559" s="49">
        <f>IF(J$2="",NA(),E559*$B559+J558)</f>
        <v>1379596.4577965301</v>
      </c>
      <c r="K559" s="49" t="e">
        <f>IF(K$2="",NA(),F559*$B559+K558)</f>
        <v>#N/A</v>
      </c>
    </row>
    <row r="560" spans="1:11" x14ac:dyDescent="0.4">
      <c r="A560" s="49">
        <v>557</v>
      </c>
      <c r="B560" s="49">
        <f>A560/$B$1</f>
        <v>23.208333333333332</v>
      </c>
      <c r="C560" s="49">
        <f>(('Input and Output'!B$23*'Input and Output'!$B$10)+('Input and Output'!B$24*Calculations!$C$5)+('Input and Output'!B$25*Calculations!$C$6)+('Input and Output'!B$26*(IF('Input and Output'!D$7="Detritus",Calculations!$C$4,G560))-(SUM('Input and Output'!B$27:B$32))*H559))</f>
        <v>0.59358111483652465</v>
      </c>
      <c r="D560" s="49">
        <f>(('Input and Output'!C$23*'Input and Output'!$B$10)+('Input and Output'!C$24*Calculations!$C$5)+('Input and Output'!C$25*Calculations!$C$6)+('Input and Output'!C$26*(IF('Input and Output'!E$7="Detritus",Calculations!$C$4,H560))-(SUM('Input and Output'!C$27:C$32))*I559))</f>
        <v>5.0212816694938738</v>
      </c>
      <c r="E560" s="49">
        <f>(('Input and Output'!D$23*'Input and Output'!$B$10)+('Input and Output'!D$24*Calculations!$C$5)+('Input and Output'!D$25*Calculations!$C$6)+('Input and Output'!D$26*(IF('Input and Output'!F$7="Detritus",Calculations!$C$4,I560))-(SUM('Input and Output'!D$27:D$32))*J559))</f>
        <v>2.2164292528650549</v>
      </c>
      <c r="F560" s="49" t="e">
        <f>(('Input and Output'!E$23*'Input and Output'!$B$10)+('Input and Output'!E$24*Calculations!$C$5)+('Input and Output'!E$25*Calculations!$C$6)+('Input and Output'!E$26*(IF('Input and Output'!G$7="Detritus",Calculations!$C$4,J560))-(SUM('Input and Output'!E$27:E$32))*K559))</f>
        <v>#N/A</v>
      </c>
      <c r="H560" s="49">
        <f>IF(H$2="",NA(),C560*$B560+H559)</f>
        <v>323878.87790142198</v>
      </c>
      <c r="I560" s="49">
        <f>IF(I$2="",NA(),D560*$B560+I559)</f>
        <v>2968080.4363167142</v>
      </c>
      <c r="J560" s="49">
        <f>IF(J$2="",NA(),E560*$B560+J559)</f>
        <v>1379647.8974254404</v>
      </c>
      <c r="K560" s="49" t="e">
        <f>IF(K$2="",NA(),F560*$B560+K559)</f>
        <v>#N/A</v>
      </c>
    </row>
    <row r="561" spans="1:11" x14ac:dyDescent="0.4">
      <c r="A561" s="49">
        <v>558</v>
      </c>
      <c r="B561" s="49">
        <f>A561/$B$1</f>
        <v>23.25</v>
      </c>
      <c r="C561" s="49">
        <f>(('Input and Output'!B$23*'Input and Output'!$B$10)+('Input and Output'!B$24*Calculations!$C$5)+('Input and Output'!B$25*Calculations!$C$6)+('Input and Output'!B$26*(IF('Input and Output'!D$7="Detritus",Calculations!$C$4,G561))-(SUM('Input and Output'!B$27:B$32))*H560))</f>
        <v>0.58029945160194529</v>
      </c>
      <c r="D561" s="49">
        <f>(('Input and Output'!C$23*'Input and Output'!$B$10)+('Input and Output'!C$24*Calculations!$C$5)+('Input and Output'!C$25*Calculations!$C$6)+('Input and Output'!C$26*(IF('Input and Output'!E$7="Detritus",Calculations!$C$4,H561))-(SUM('Input and Output'!C$27:C$32))*I560))</f>
        <v>4.9087016564308215</v>
      </c>
      <c r="E561" s="49">
        <f>(('Input and Output'!D$23*'Input and Output'!$B$10)+('Input and Output'!D$24*Calculations!$C$5)+('Input and Output'!D$25*Calculations!$C$6)+('Input and Output'!D$26*(IF('Input and Output'!F$7="Detritus",Calculations!$C$4,I561))-(SUM('Input and Output'!D$27:D$32))*J560))</f>
        <v>2.1666393644882191</v>
      </c>
      <c r="F561" s="49" t="e">
        <f>(('Input and Output'!E$23*'Input and Output'!$B$10)+('Input and Output'!E$24*Calculations!$C$5)+('Input and Output'!E$25*Calculations!$C$6)+('Input and Output'!E$26*(IF('Input and Output'!G$7="Detritus",Calculations!$C$4,J561))-(SUM('Input and Output'!E$27:E$32))*K560))</f>
        <v>#N/A</v>
      </c>
      <c r="H561" s="49">
        <f>IF(H$2="",NA(),C561*$B561+H560)</f>
        <v>323892.36986367172</v>
      </c>
      <c r="I561" s="49">
        <f>IF(I$2="",NA(),D561*$B561+I560)</f>
        <v>2968194.5636302261</v>
      </c>
      <c r="J561" s="49">
        <f>IF(J$2="",NA(),E561*$B561+J560)</f>
        <v>1379698.2717906646</v>
      </c>
      <c r="K561" s="49" t="e">
        <f>IF(K$2="",NA(),F561*$B561+K560)</f>
        <v>#N/A</v>
      </c>
    </row>
    <row r="562" spans="1:11" x14ac:dyDescent="0.4">
      <c r="A562" s="49">
        <v>559</v>
      </c>
      <c r="B562" s="49">
        <f>A562/$B$1</f>
        <v>23.291666666666668</v>
      </c>
      <c r="C562" s="49">
        <f>(('Input and Output'!B$23*'Input and Output'!$B$10)+('Input and Output'!B$24*Calculations!$C$5)+('Input and Output'!B$25*Calculations!$C$6)+('Input and Output'!B$26*(IF('Input and Output'!D$7="Detritus",Calculations!$C$4,G562))-(SUM('Input and Output'!B$27:B$32))*H561))</f>
        <v>0.56729166052343771</v>
      </c>
      <c r="D562" s="49">
        <f>(('Input and Output'!C$23*'Input and Output'!$B$10)+('Input and Output'!C$24*Calculations!$C$5)+('Input and Output'!C$25*Calculations!$C$6)+('Input and Output'!C$26*(IF('Input and Output'!E$7="Detritus",Calculations!$C$4,H562))-(SUM('Input and Output'!C$27:C$32))*I561))</f>
        <v>4.7984486610994281</v>
      </c>
      <c r="E562" s="49">
        <f>(('Input and Output'!D$23*'Input and Output'!$B$10)+('Input and Output'!D$24*Calculations!$C$5)+('Input and Output'!D$25*Calculations!$C$6)+('Input and Output'!D$26*(IF('Input and Output'!F$7="Detritus",Calculations!$C$4,I562))-(SUM('Input and Output'!D$27:D$32))*J561))</f>
        <v>2.1178809891025594</v>
      </c>
      <c r="F562" s="49" t="e">
        <f>(('Input and Output'!E$23*'Input and Output'!$B$10)+('Input and Output'!E$24*Calculations!$C$5)+('Input and Output'!E$25*Calculations!$C$6)+('Input and Output'!E$26*(IF('Input and Output'!G$7="Detritus",Calculations!$C$4,J562))-(SUM('Input and Output'!E$27:E$32))*K561))</f>
        <v>#N/A</v>
      </c>
      <c r="H562" s="49">
        <f>IF(H$2="",NA(),C562*$B562+H561)</f>
        <v>323905.58303193143</v>
      </c>
      <c r="I562" s="49">
        <f>IF(I$2="",NA(),D562*$B562+I561)</f>
        <v>2968306.3274969575</v>
      </c>
      <c r="J562" s="49">
        <f>IF(J$2="",NA(),E562*$B562+J561)</f>
        <v>1379747.6007687026</v>
      </c>
      <c r="K562" s="49" t="e">
        <f>IF(K$2="",NA(),F562*$B562+K561)</f>
        <v>#N/A</v>
      </c>
    </row>
    <row r="563" spans="1:11" x14ac:dyDescent="0.4">
      <c r="A563" s="49">
        <v>560</v>
      </c>
      <c r="B563" s="49">
        <f>A563/$B$1</f>
        <v>23.333333333333332</v>
      </c>
      <c r="C563" s="49">
        <f>(('Input and Output'!B$23*'Input and Output'!$B$10)+('Input and Output'!B$24*Calculations!$C$5)+('Input and Output'!B$25*Calculations!$C$6)+('Input and Output'!B$26*(IF('Input and Output'!D$7="Detritus",Calculations!$C$4,G563))-(SUM('Input and Output'!B$27:B$32))*H562))</f>
        <v>0.55455265866243053</v>
      </c>
      <c r="D563" s="49">
        <f>(('Input and Output'!C$23*'Input and Output'!$B$10)+('Input and Output'!C$24*Calculations!$C$5)+('Input and Output'!C$25*Calculations!$C$6)+('Input and Output'!C$26*(IF('Input and Output'!E$7="Detritus",Calculations!$C$4,H563))-(SUM('Input and Output'!C$27:C$32))*I562))</f>
        <v>4.690479363387567</v>
      </c>
      <c r="E563" s="49">
        <f>(('Input and Output'!D$23*'Input and Output'!$B$10)+('Input and Output'!D$24*Calculations!$C$5)+('Input and Output'!D$25*Calculations!$C$6)+('Input and Output'!D$26*(IF('Input and Output'!F$7="Detritus",Calculations!$C$4,I563))-(SUM('Input and Output'!D$27:D$32))*J562))</f>
        <v>2.0701348685433913</v>
      </c>
      <c r="F563" s="49" t="e">
        <f>(('Input and Output'!E$23*'Input and Output'!$B$10)+('Input and Output'!E$24*Calculations!$C$5)+('Input and Output'!E$25*Calculations!$C$6)+('Input and Output'!E$26*(IF('Input and Output'!G$7="Detritus",Calculations!$C$4,J563))-(SUM('Input and Output'!E$27:E$32))*K562))</f>
        <v>#N/A</v>
      </c>
      <c r="H563" s="49">
        <f>IF(H$2="",NA(),C563*$B563+H562)</f>
        <v>323918.52259396686</v>
      </c>
      <c r="I563" s="49">
        <f>IF(I$2="",NA(),D563*$B563+I562)</f>
        <v>2968415.7720154366</v>
      </c>
      <c r="J563" s="49">
        <f>IF(J$2="",NA(),E563*$B563+J562)</f>
        <v>1379795.9039156353</v>
      </c>
      <c r="K563" s="49" t="e">
        <f>IF(K$2="",NA(),F563*$B563+K562)</f>
        <v>#N/A</v>
      </c>
    </row>
    <row r="564" spans="1:11" x14ac:dyDescent="0.4">
      <c r="A564" s="49">
        <v>561</v>
      </c>
      <c r="B564" s="49">
        <f>A564/$B$1</f>
        <v>23.375</v>
      </c>
      <c r="C564" s="49">
        <f>(('Input and Output'!B$23*'Input and Output'!$B$10)+('Input and Output'!B$24*Calculations!$C$5)+('Input and Output'!B$25*Calculations!$C$6)+('Input and Output'!B$26*(IF('Input and Output'!D$7="Detritus",Calculations!$C$4,G564))-(SUM('Input and Output'!B$27:B$32))*H563))</f>
        <v>0.54207744442089734</v>
      </c>
      <c r="D564" s="49">
        <f>(('Input and Output'!C$23*'Input and Output'!$B$10)+('Input and Output'!C$24*Calculations!$C$5)+('Input and Output'!C$25*Calculations!$C$6)+('Input and Output'!C$26*(IF('Input and Output'!E$7="Detritus",Calculations!$C$4,H564))-(SUM('Input and Output'!C$27:C$32))*I563))</f>
        <v>4.5847511394176763</v>
      </c>
      <c r="E564" s="49">
        <f>(('Input and Output'!D$23*'Input and Output'!$B$10)+('Input and Output'!D$24*Calculations!$C$5)+('Input and Output'!D$25*Calculations!$C$6)+('Input and Output'!D$26*(IF('Input and Output'!F$7="Detritus",Calculations!$C$4,I564))-(SUM('Input and Output'!D$27:D$32))*J563))</f>
        <v>2.0233820555913553</v>
      </c>
      <c r="F564" s="49" t="e">
        <f>(('Input and Output'!E$23*'Input and Output'!$B$10)+('Input and Output'!E$24*Calculations!$C$5)+('Input and Output'!E$25*Calculations!$C$6)+('Input and Output'!E$26*(IF('Input and Output'!G$7="Detritus",Calculations!$C$4,J564))-(SUM('Input and Output'!E$27:E$32))*K563))</f>
        <v>#N/A</v>
      </c>
      <c r="H564" s="49">
        <f>IF(H$2="",NA(),C564*$B564+H563)</f>
        <v>323931.19365423021</v>
      </c>
      <c r="I564" s="49">
        <f>IF(I$2="",NA(),D564*$B564+I563)</f>
        <v>2968522.9405733203</v>
      </c>
      <c r="J564" s="49">
        <f>IF(J$2="",NA(),E564*$B564+J563)</f>
        <v>1379843.2004711847</v>
      </c>
      <c r="K564" s="49" t="e">
        <f>IF(K$2="",NA(),F564*$B564+K563)</f>
        <v>#N/A</v>
      </c>
    </row>
    <row r="565" spans="1:11" x14ac:dyDescent="0.4">
      <c r="A565" s="49">
        <v>562</v>
      </c>
      <c r="B565" s="49">
        <f>A565/$B$1</f>
        <v>23.416666666666668</v>
      </c>
      <c r="C565" s="49">
        <f>(('Input and Output'!B$23*'Input and Output'!$B$10)+('Input and Output'!B$24*Calculations!$C$5)+('Input and Output'!B$25*Calculations!$C$6)+('Input and Output'!B$26*(IF('Input and Output'!D$7="Detritus",Calculations!$C$4,G565))-(SUM('Input and Output'!B$27:B$32))*H564))</f>
        <v>0.52986109652437108</v>
      </c>
      <c r="D565" s="49">
        <f>(('Input and Output'!C$23*'Input and Output'!$B$10)+('Input and Output'!C$24*Calculations!$C$5)+('Input and Output'!C$25*Calculations!$C$6)+('Input and Output'!C$26*(IF('Input and Output'!E$7="Detritus",Calculations!$C$4,H565))-(SUM('Input and Output'!C$27:C$32))*I564))</f>
        <v>4.4812220527746831</v>
      </c>
      <c r="E565" s="49">
        <f>(('Input and Output'!D$23*'Input and Output'!$B$10)+('Input and Output'!D$24*Calculations!$C$5)+('Input and Output'!D$25*Calculations!$C$6)+('Input and Output'!D$26*(IF('Input and Output'!F$7="Detritus",Calculations!$C$4,I565))-(SUM('Input and Output'!D$27:D$32))*J564))</f>
        <v>1.9776039096941531</v>
      </c>
      <c r="F565" s="49" t="e">
        <f>(('Input and Output'!E$23*'Input and Output'!$B$10)+('Input and Output'!E$24*Calculations!$C$5)+('Input and Output'!E$25*Calculations!$C$6)+('Input and Output'!E$26*(IF('Input and Output'!G$7="Detritus",Calculations!$C$4,J565))-(SUM('Input and Output'!E$27:E$32))*K564))</f>
        <v>#N/A</v>
      </c>
      <c r="H565" s="49">
        <f>IF(H$2="",NA(),C565*$B565+H564)</f>
        <v>323943.60123490717</v>
      </c>
      <c r="I565" s="49">
        <f>IF(I$2="",NA(),D565*$B565+I564)</f>
        <v>2968627.8758563893</v>
      </c>
      <c r="J565" s="49">
        <f>IF(J$2="",NA(),E565*$B565+J564)</f>
        <v>1379889.5093627367</v>
      </c>
      <c r="K565" s="49" t="e">
        <f>IF(K$2="",NA(),F565*$B565+K564)</f>
        <v>#N/A</v>
      </c>
    </row>
    <row r="566" spans="1:11" x14ac:dyDescent="0.4">
      <c r="A566" s="49">
        <v>563</v>
      </c>
      <c r="B566" s="49">
        <f>A566/$B$1</f>
        <v>23.458333333333332</v>
      </c>
      <c r="C566" s="49">
        <f>(('Input and Output'!B$23*'Input and Output'!$B$10)+('Input and Output'!B$24*Calculations!$C$5)+('Input and Output'!B$25*Calculations!$C$6)+('Input and Output'!B$26*(IF('Input and Output'!D$7="Detritus",Calculations!$C$4,G566))-(SUM('Input and Output'!B$27:B$32))*H565))</f>
        <v>0.51789877301291654</v>
      </c>
      <c r="D566" s="49">
        <f>(('Input and Output'!C$23*'Input and Output'!$B$10)+('Input and Output'!C$24*Calculations!$C$5)+('Input and Output'!C$25*Calculations!$C$6)+('Input and Output'!C$26*(IF('Input and Output'!E$7="Detritus",Calculations!$C$4,H566))-(SUM('Input and Output'!C$27:C$32))*I565))</f>
        <v>4.3798508458030483</v>
      </c>
      <c r="E566" s="49">
        <f>(('Input and Output'!D$23*'Input and Output'!$B$10)+('Input and Output'!D$24*Calculations!$C$5)+('Input and Output'!D$25*Calculations!$C$6)+('Input and Output'!D$26*(IF('Input and Output'!F$7="Detritus",Calculations!$C$4,I566))-(SUM('Input and Output'!D$27:D$32))*J565))</f>
        <v>1.9327820931830502</v>
      </c>
      <c r="F566" s="49" t="e">
        <f>(('Input and Output'!E$23*'Input and Output'!$B$10)+('Input and Output'!E$24*Calculations!$C$5)+('Input and Output'!E$25*Calculations!$C$6)+('Input and Output'!E$26*(IF('Input and Output'!G$7="Detritus",Calculations!$C$4,J566))-(SUM('Input and Output'!E$27:E$32))*K565))</f>
        <v>#N/A</v>
      </c>
      <c r="H566" s="49">
        <f>IF(H$2="",NA(),C566*$B566+H565)</f>
        <v>323955.75027695741</v>
      </c>
      <c r="I566" s="49">
        <f>IF(I$2="",NA(),D566*$B566+I565)</f>
        <v>2968730.6198574803</v>
      </c>
      <c r="J566" s="49">
        <f>IF(J$2="",NA(),E566*$B566+J565)</f>
        <v>1379934.8492093394</v>
      </c>
      <c r="K566" s="49" t="e">
        <f>IF(K$2="",NA(),F566*$B566+K565)</f>
        <v>#N/A</v>
      </c>
    </row>
    <row r="567" spans="1:11" x14ac:dyDescent="0.4">
      <c r="A567" s="49">
        <v>564</v>
      </c>
      <c r="B567" s="49">
        <f>A567/$B$1</f>
        <v>23.5</v>
      </c>
      <c r="C567" s="49">
        <f>(('Input and Output'!B$23*'Input and Output'!$B$10)+('Input and Output'!B$24*Calculations!$C$5)+('Input and Output'!B$25*Calculations!$C$6)+('Input and Output'!B$26*(IF('Input and Output'!D$7="Detritus",Calculations!$C$4,G567))-(SUM('Input and Output'!B$27:B$32))*H566))</f>
        <v>0.5061857102376166</v>
      </c>
      <c r="D567" s="49">
        <f>(('Input and Output'!C$23*'Input and Output'!$B$10)+('Input and Output'!C$24*Calculations!$C$5)+('Input and Output'!C$25*Calculations!$C$6)+('Input and Output'!C$26*(IF('Input and Output'!E$7="Detritus",Calculations!$C$4,H567))-(SUM('Input and Output'!C$27:C$32))*I566))</f>
        <v>4.2805969309501961</v>
      </c>
      <c r="E567" s="49">
        <f>(('Input and Output'!D$23*'Input and Output'!$B$10)+('Input and Output'!D$24*Calculations!$C$5)+('Input and Output'!D$25*Calculations!$C$6)+('Input and Output'!D$26*(IF('Input and Output'!F$7="Detritus",Calculations!$C$4,I567))-(SUM('Input and Output'!D$27:D$32))*J566))</f>
        <v>1.8888985675912409</v>
      </c>
      <c r="F567" s="49" t="e">
        <f>(('Input and Output'!E$23*'Input and Output'!$B$10)+('Input and Output'!E$24*Calculations!$C$5)+('Input and Output'!E$25*Calculations!$C$6)+('Input and Output'!E$26*(IF('Input and Output'!G$7="Detritus",Calculations!$C$4,J567))-(SUM('Input and Output'!E$27:E$32))*K566))</f>
        <v>#N/A</v>
      </c>
      <c r="H567" s="49">
        <f>IF(H$2="",NA(),C567*$B567+H566)</f>
        <v>323967.64564114797</v>
      </c>
      <c r="I567" s="49">
        <f>IF(I$2="",NA(),D567*$B567+I566)</f>
        <v>2968831.2138853576</v>
      </c>
      <c r="J567" s="49">
        <f>IF(J$2="",NA(),E567*$B567+J566)</f>
        <v>1379979.2383256778</v>
      </c>
      <c r="K567" s="49" t="e">
        <f>IF(K$2="",NA(),F567*$B567+K566)</f>
        <v>#N/A</v>
      </c>
    </row>
    <row r="568" spans="1:11" x14ac:dyDescent="0.4">
      <c r="A568" s="49">
        <v>565</v>
      </c>
      <c r="B568" s="49">
        <f>A568/$B$1</f>
        <v>23.541666666666668</v>
      </c>
      <c r="C568" s="49">
        <f>(('Input and Output'!B$23*'Input and Output'!$B$10)+('Input and Output'!B$24*Calculations!$C$5)+('Input and Output'!B$25*Calculations!$C$6)+('Input and Output'!B$26*(IF('Input and Output'!D$7="Detritus",Calculations!$C$4,G568))-(SUM('Input and Output'!B$27:B$32))*H567))</f>
        <v>0.49471722186433453</v>
      </c>
      <c r="D568" s="49">
        <f>(('Input and Output'!C$23*'Input and Output'!$B$10)+('Input and Output'!C$24*Calculations!$C$5)+('Input and Output'!C$25*Calculations!$C$6)+('Input and Output'!C$26*(IF('Input and Output'!E$7="Detritus",Calculations!$C$4,H568))-(SUM('Input and Output'!C$27:C$32))*I567))</f>
        <v>4.1834203821872507</v>
      </c>
      <c r="E568" s="49">
        <f>(('Input and Output'!D$23*'Input and Output'!$B$10)+('Input and Output'!D$24*Calculations!$C$5)+('Input and Output'!D$25*Calculations!$C$6)+('Input and Output'!D$26*(IF('Input and Output'!F$7="Detritus",Calculations!$C$4,I568))-(SUM('Input and Output'!D$27:D$32))*J567))</f>
        <v>1.8459355893173779</v>
      </c>
      <c r="F568" s="49" t="e">
        <f>(('Input and Output'!E$23*'Input and Output'!$B$10)+('Input and Output'!E$24*Calculations!$C$5)+('Input and Output'!E$25*Calculations!$C$6)+('Input and Output'!E$26*(IF('Input and Output'!G$7="Detritus",Calculations!$C$4,J568))-(SUM('Input and Output'!E$27:E$32))*K567))</f>
        <v>#N/A</v>
      </c>
      <c r="H568" s="49">
        <f>IF(H$2="",NA(),C568*$B568+H567)</f>
        <v>323979.29210907937</v>
      </c>
      <c r="I568" s="49">
        <f>IF(I$2="",NA(),D568*$B568+I567)</f>
        <v>2968929.6985735218</v>
      </c>
      <c r="J568" s="49">
        <f>IF(J$2="",NA(),E568*$B568+J567)</f>
        <v>1380022.6947260096</v>
      </c>
      <c r="K568" s="49" t="e">
        <f>IF(K$2="",NA(),F568*$B568+K567)</f>
        <v>#N/A</v>
      </c>
    </row>
    <row r="569" spans="1:11" x14ac:dyDescent="0.4">
      <c r="A569" s="49">
        <v>566</v>
      </c>
      <c r="B569" s="49">
        <f>A569/$B$1</f>
        <v>23.583333333333332</v>
      </c>
      <c r="C569" s="49">
        <f>(('Input and Output'!B$23*'Input and Output'!$B$10)+('Input and Output'!B$24*Calculations!$C$5)+('Input and Output'!B$25*Calculations!$C$6)+('Input and Output'!B$26*(IF('Input and Output'!D$7="Detritus",Calculations!$C$4,G569))-(SUM('Input and Output'!B$27:B$32))*H568))</f>
        <v>0.48348869788463844</v>
      </c>
      <c r="D569" s="49">
        <f>(('Input and Output'!C$23*'Input and Output'!$B$10)+('Input and Output'!C$24*Calculations!$C$5)+('Input and Output'!C$25*Calculations!$C$6)+('Input and Output'!C$26*(IF('Input and Output'!E$7="Detritus",Calculations!$C$4,H569))-(SUM('Input and Output'!C$27:C$32))*I568))</f>
        <v>4.0882819264697901</v>
      </c>
      <c r="E569" s="49">
        <f>(('Input and Output'!D$23*'Input and Output'!$B$10)+('Input and Output'!D$24*Calculations!$C$5)+('Input and Output'!D$25*Calculations!$C$6)+('Input and Output'!D$26*(IF('Input and Output'!F$7="Detritus",Calculations!$C$4,I569))-(SUM('Input and Output'!D$27:D$32))*J568))</f>
        <v>1.8038757064095989</v>
      </c>
      <c r="F569" s="49" t="e">
        <f>(('Input and Output'!E$23*'Input and Output'!$B$10)+('Input and Output'!E$24*Calculations!$C$5)+('Input and Output'!E$25*Calculations!$C$6)+('Input and Output'!E$26*(IF('Input and Output'!G$7="Detritus",Calculations!$C$4,J569))-(SUM('Input and Output'!E$27:E$32))*K568))</f>
        <v>#N/A</v>
      </c>
      <c r="H569" s="49">
        <f>IF(H$2="",NA(),C569*$B569+H568)</f>
        <v>323990.69438420446</v>
      </c>
      <c r="I569" s="49">
        <f>IF(I$2="",NA(),D569*$B569+I568)</f>
        <v>2969026.1138889543</v>
      </c>
      <c r="J569" s="49">
        <f>IF(J$2="",NA(),E569*$B569+J568)</f>
        <v>1380065.2361280858</v>
      </c>
      <c r="K569" s="49" t="e">
        <f>IF(K$2="",NA(),F569*$B569+K568)</f>
        <v>#N/A</v>
      </c>
    </row>
    <row r="570" spans="1:11" x14ac:dyDescent="0.4">
      <c r="A570" s="49">
        <v>567</v>
      </c>
      <c r="B570" s="49">
        <f>A570/$B$1</f>
        <v>23.625</v>
      </c>
      <c r="C570" s="49">
        <f>(('Input and Output'!B$23*'Input and Output'!$B$10)+('Input and Output'!B$24*Calculations!$C$5)+('Input and Output'!B$25*Calculations!$C$6)+('Input and Output'!B$26*(IF('Input and Output'!D$7="Detritus",Calculations!$C$4,G570))-(SUM('Input and Output'!B$27:B$32))*H569))</f>
        <v>0.47249560363326282</v>
      </c>
      <c r="D570" s="49">
        <f>(('Input and Output'!C$23*'Input and Output'!$B$10)+('Input and Output'!C$24*Calculations!$C$5)+('Input and Output'!C$25*Calculations!$C$6)+('Input and Output'!C$26*(IF('Input and Output'!E$7="Detritus",Calculations!$C$4,H570))-(SUM('Input and Output'!C$27:C$32))*I569))</f>
        <v>3.9951429352877312</v>
      </c>
      <c r="E570" s="49">
        <f>(('Input and Output'!D$23*'Input and Output'!$B$10)+('Input and Output'!D$24*Calculations!$C$5)+('Input and Output'!D$25*Calculations!$C$6)+('Input and Output'!D$26*(IF('Input and Output'!F$7="Detritus",Calculations!$C$4,I570))-(SUM('Input and Output'!D$27:D$32))*J569))</f>
        <v>1.7627017541126406</v>
      </c>
      <c r="F570" s="49" t="e">
        <f>(('Input and Output'!E$23*'Input and Output'!$B$10)+('Input and Output'!E$24*Calculations!$C$5)+('Input and Output'!E$25*Calculations!$C$6)+('Input and Output'!E$26*(IF('Input and Output'!G$7="Detritus",Calculations!$C$4,J570))-(SUM('Input and Output'!E$27:E$32))*K569))</f>
        <v>#N/A</v>
      </c>
      <c r="H570" s="49">
        <f>IF(H$2="",NA(),C570*$B570+H569)</f>
        <v>324001.85709284031</v>
      </c>
      <c r="I570" s="49">
        <f>IF(I$2="",NA(),D570*$B570+I569)</f>
        <v>2969120.4991408004</v>
      </c>
      <c r="J570" s="49">
        <f>IF(J$2="",NA(),E570*$B570+J569)</f>
        <v>1380106.8799570266</v>
      </c>
      <c r="K570" s="49" t="e">
        <f>IF(K$2="",NA(),F570*$B570+K569)</f>
        <v>#N/A</v>
      </c>
    </row>
    <row r="571" spans="1:11" x14ac:dyDescent="0.4">
      <c r="A571" s="49">
        <v>568</v>
      </c>
      <c r="B571" s="49">
        <f>A571/$B$1</f>
        <v>23.666666666666668</v>
      </c>
      <c r="C571" s="49">
        <f>(('Input and Output'!B$23*'Input and Output'!$B$10)+('Input and Output'!B$24*Calculations!$C$5)+('Input and Output'!B$25*Calculations!$C$6)+('Input and Output'!B$26*(IF('Input and Output'!D$7="Detritus",Calculations!$C$4,G571))-(SUM('Input and Output'!B$27:B$32))*H570))</f>
        <v>0.4617334788127323</v>
      </c>
      <c r="D571" s="49">
        <f>(('Input and Output'!C$23*'Input and Output'!$B$10)+('Input and Output'!C$24*Calculations!$C$5)+('Input and Output'!C$25*Calculations!$C$6)+('Input and Output'!C$26*(IF('Input and Output'!E$7="Detritus",Calculations!$C$4,H571))-(SUM('Input and Output'!C$27:C$32))*I570))</f>
        <v>3.9039654162443185</v>
      </c>
      <c r="E571" s="49">
        <f>(('Input and Output'!D$23*'Input and Output'!$B$10)+('Input and Output'!D$24*Calculations!$C$5)+('Input and Output'!D$25*Calculations!$C$6)+('Input and Output'!D$26*(IF('Input and Output'!F$7="Detritus",Calculations!$C$4,I571))-(SUM('Input and Output'!D$27:D$32))*J570))</f>
        <v>1.722396851695521</v>
      </c>
      <c r="F571" s="49" t="e">
        <f>(('Input and Output'!E$23*'Input and Output'!$B$10)+('Input and Output'!E$24*Calculations!$C$5)+('Input and Output'!E$25*Calculations!$C$6)+('Input and Output'!E$26*(IF('Input and Output'!G$7="Detritus",Calculations!$C$4,J571))-(SUM('Input and Output'!E$27:E$32))*K570))</f>
        <v>#N/A</v>
      </c>
      <c r="H571" s="49">
        <f>IF(H$2="",NA(),C571*$B571+H570)</f>
        <v>324012.7847851722</v>
      </c>
      <c r="I571" s="49">
        <f>IF(I$2="",NA(),D571*$B571+I570)</f>
        <v>2969212.8929889849</v>
      </c>
      <c r="J571" s="49">
        <f>IF(J$2="",NA(),E571*$B571+J570)</f>
        <v>1380147.6433491833</v>
      </c>
      <c r="K571" s="49" t="e">
        <f>IF(K$2="",NA(),F571*$B571+K570)</f>
        <v>#N/A</v>
      </c>
    </row>
    <row r="572" spans="1:11" x14ac:dyDescent="0.4">
      <c r="A572" s="49">
        <v>569</v>
      </c>
      <c r="B572" s="49">
        <f>A572/$B$1</f>
        <v>23.708333333333332</v>
      </c>
      <c r="C572" s="49">
        <f>(('Input and Output'!B$23*'Input and Output'!$B$10)+('Input and Output'!B$24*Calculations!$C$5)+('Input and Output'!B$25*Calculations!$C$6)+('Input and Output'!B$26*(IF('Input and Output'!D$7="Detritus",Calculations!$C$4,G572))-(SUM('Input and Output'!B$27:B$32))*H571))</f>
        <v>0.45119793652526141</v>
      </c>
      <c r="D572" s="49">
        <f>(('Input and Output'!C$23*'Input and Output'!$B$10)+('Input and Output'!C$24*Calculations!$C$5)+('Input and Output'!C$25*Calculations!$C$6)+('Input and Output'!C$26*(IF('Input and Output'!E$7="Detritus",Calculations!$C$4,H572))-(SUM('Input and Output'!C$27:C$32))*I571))</f>
        <v>3.8147120047260614</v>
      </c>
      <c r="E572" s="49">
        <f>(('Input and Output'!D$23*'Input and Output'!$B$10)+('Input and Output'!D$24*Calculations!$C$5)+('Input and Output'!D$25*Calculations!$C$6)+('Input and Output'!D$26*(IF('Input and Output'!F$7="Detritus",Calculations!$C$4,I572))-(SUM('Input and Output'!D$27:D$32))*J571))</f>
        <v>1.6829443982460361</v>
      </c>
      <c r="F572" s="49" t="e">
        <f>(('Input and Output'!E$23*'Input and Output'!$B$10)+('Input and Output'!E$24*Calculations!$C$5)+('Input and Output'!E$25*Calculations!$C$6)+('Input and Output'!E$26*(IF('Input and Output'!G$7="Detritus",Calculations!$C$4,J572))-(SUM('Input and Output'!E$27:E$32))*K571))</f>
        <v>#N/A</v>
      </c>
      <c r="H572" s="49">
        <f>IF(H$2="",NA(),C572*$B572+H571)</f>
        <v>324023.48193625064</v>
      </c>
      <c r="I572" s="49">
        <f>IF(I$2="",NA(),D572*$B572+I571)</f>
        <v>2969303.3334527635</v>
      </c>
      <c r="J572" s="49">
        <f>IF(J$2="",NA(),E572*$B572+J571)</f>
        <v>1380187.5431559584</v>
      </c>
      <c r="K572" s="49" t="e">
        <f>IF(K$2="",NA(),F572*$B572+K571)</f>
        <v>#N/A</v>
      </c>
    </row>
    <row r="573" spans="1:11" x14ac:dyDescent="0.4">
      <c r="A573" s="49">
        <v>570</v>
      </c>
      <c r="B573" s="49">
        <f>A573/$B$1</f>
        <v>23.75</v>
      </c>
      <c r="C573" s="49">
        <f>(('Input and Output'!B$23*'Input and Output'!$B$10)+('Input and Output'!B$24*Calculations!$C$5)+('Input and Output'!B$25*Calculations!$C$6)+('Input and Output'!B$26*(IF('Input and Output'!D$7="Detritus",Calculations!$C$4,G573))-(SUM('Input and Output'!B$27:B$32))*H572))</f>
        <v>0.44088466231147549</v>
      </c>
      <c r="D573" s="49">
        <f>(('Input and Output'!C$23*'Input and Output'!$B$10)+('Input and Output'!C$24*Calculations!$C$5)+('Input and Output'!C$25*Calculations!$C$6)+('Input and Output'!C$26*(IF('Input and Output'!E$7="Detritus",Calculations!$C$4,H573))-(SUM('Input and Output'!C$27:C$32))*I572))</f>
        <v>3.7273459556254238</v>
      </c>
      <c r="E573" s="49">
        <f>(('Input and Output'!D$23*'Input and Output'!$B$10)+('Input and Output'!D$24*Calculations!$C$5)+('Input and Output'!D$25*Calculations!$C$6)+('Input and Output'!D$26*(IF('Input and Output'!F$7="Detritus",Calculations!$C$4,I573))-(SUM('Input and Output'!D$27:D$32))*J572))</f>
        <v>1.644328069221956</v>
      </c>
      <c r="F573" s="49" t="e">
        <f>(('Input and Output'!E$23*'Input and Output'!$B$10)+('Input and Output'!E$24*Calculations!$C$5)+('Input and Output'!E$25*Calculations!$C$6)+('Input and Output'!E$26*(IF('Input and Output'!G$7="Detritus",Calculations!$C$4,J573))-(SUM('Input and Output'!E$27:E$32))*K572))</f>
        <v>#N/A</v>
      </c>
      <c r="H573" s="49">
        <f>IF(H$2="",NA(),C573*$B573+H572)</f>
        <v>324033.95294698054</v>
      </c>
      <c r="I573" s="49">
        <f>IF(I$2="",NA(),D573*$B573+I572)</f>
        <v>2969391.8579192096</v>
      </c>
      <c r="J573" s="49">
        <f>IF(J$2="",NA(),E573*$B573+J572)</f>
        <v>1380226.5959476025</v>
      </c>
      <c r="K573" s="49" t="e">
        <f>IF(K$2="",NA(),F573*$B573+K572)</f>
        <v>#N/A</v>
      </c>
    </row>
    <row r="574" spans="1:11" x14ac:dyDescent="0.4">
      <c r="A574" s="49">
        <v>571</v>
      </c>
      <c r="B574" s="49">
        <f>A574/$B$1</f>
        <v>23.791666666666668</v>
      </c>
      <c r="C574" s="49">
        <f>(('Input and Output'!B$23*'Input and Output'!$B$10)+('Input and Output'!B$24*Calculations!$C$5)+('Input and Output'!B$25*Calculations!$C$6)+('Input and Output'!B$26*(IF('Input and Output'!D$7="Detritus",Calculations!$C$4,G574))-(SUM('Input and Output'!B$27:B$32))*H573))</f>
        <v>0.43078941319686237</v>
      </c>
      <c r="D574" s="49">
        <f>(('Input and Output'!C$23*'Input and Output'!$B$10)+('Input and Output'!C$24*Calculations!$C$5)+('Input and Output'!C$25*Calculations!$C$6)+('Input and Output'!C$26*(IF('Input and Output'!E$7="Detritus",Calculations!$C$4,H574))-(SUM('Input and Output'!C$27:C$32))*I573))</f>
        <v>3.6418311351153534</v>
      </c>
      <c r="E574" s="49">
        <f>(('Input and Output'!D$23*'Input and Output'!$B$10)+('Input and Output'!D$24*Calculations!$C$5)+('Input and Output'!D$25*Calculations!$C$6)+('Input and Output'!D$26*(IF('Input and Output'!F$7="Detritus",Calculations!$C$4,I574))-(SUM('Input and Output'!D$27:D$32))*J573))</f>
        <v>1.6065318126820785</v>
      </c>
      <c r="F574" s="49" t="e">
        <f>(('Input and Output'!E$23*'Input and Output'!$B$10)+('Input and Output'!E$24*Calculations!$C$5)+('Input and Output'!E$25*Calculations!$C$6)+('Input and Output'!E$26*(IF('Input and Output'!G$7="Detritus",Calculations!$C$4,J574))-(SUM('Input and Output'!E$27:E$32))*K573))</f>
        <v>#N/A</v>
      </c>
      <c r="H574" s="49">
        <f>IF(H$2="",NA(),C574*$B574+H573)</f>
        <v>324044.20214510284</v>
      </c>
      <c r="I574" s="49">
        <f>IF(I$2="",NA(),D574*$B574+I573)</f>
        <v>2969478.5031516324</v>
      </c>
      <c r="J574" s="49">
        <f>IF(J$2="",NA(),E574*$B574+J573)</f>
        <v>1380264.8180169791</v>
      </c>
      <c r="K574" s="49" t="e">
        <f>IF(K$2="",NA(),F574*$B574+K573)</f>
        <v>#N/A</v>
      </c>
    </row>
    <row r="575" spans="1:11" x14ac:dyDescent="0.4">
      <c r="A575" s="49">
        <v>572</v>
      </c>
      <c r="B575" s="49">
        <f>A575/$B$1</f>
        <v>23.833333333333332</v>
      </c>
      <c r="C575" s="49">
        <f>(('Input and Output'!B$23*'Input and Output'!$B$10)+('Input and Output'!B$24*Calculations!$C$5)+('Input and Output'!B$25*Calculations!$C$6)+('Input and Output'!B$26*(IF('Input and Output'!D$7="Detritus",Calculations!$C$4,G575))-(SUM('Input and Output'!B$27:B$32))*H574))</f>
        <v>0.42090801674544309</v>
      </c>
      <c r="D575" s="49">
        <f>(('Input and Output'!C$23*'Input and Output'!$B$10)+('Input and Output'!C$24*Calculations!$C$5)+('Input and Output'!C$25*Calculations!$C$6)+('Input and Output'!C$26*(IF('Input and Output'!E$7="Detritus",Calculations!$C$4,H575))-(SUM('Input and Output'!C$27:C$32))*I574))</f>
        <v>3.5581320125147613</v>
      </c>
      <c r="E575" s="49">
        <f>(('Input and Output'!D$23*'Input and Output'!$B$10)+('Input and Output'!D$24*Calculations!$C$5)+('Input and Output'!D$25*Calculations!$C$6)+('Input and Output'!D$26*(IF('Input and Output'!F$7="Detritus",Calculations!$C$4,I575))-(SUM('Input and Output'!D$27:D$32))*J574))</f>
        <v>1.5695398456628027</v>
      </c>
      <c r="F575" s="49" t="e">
        <f>(('Input and Output'!E$23*'Input and Output'!$B$10)+('Input and Output'!E$24*Calculations!$C$5)+('Input and Output'!E$25*Calculations!$C$6)+('Input and Output'!E$26*(IF('Input and Output'!G$7="Detritus",Calculations!$C$4,J575))-(SUM('Input and Output'!E$27:E$32))*K574))</f>
        <v>#N/A</v>
      </c>
      <c r="H575" s="49">
        <f>IF(H$2="",NA(),C575*$B575+H574)</f>
        <v>324054.23378616862</v>
      </c>
      <c r="I575" s="49">
        <f>IF(I$2="",NA(),D575*$B575+I574)</f>
        <v>2969563.3052979307</v>
      </c>
      <c r="J575" s="49">
        <f>IF(J$2="",NA(),E575*$B575+J574)</f>
        <v>1380302.2253833008</v>
      </c>
      <c r="K575" s="49" t="e">
        <f>IF(K$2="",NA(),F575*$B575+K574)</f>
        <v>#N/A</v>
      </c>
    </row>
    <row r="576" spans="1:11" x14ac:dyDescent="0.4">
      <c r="A576" s="49">
        <v>573</v>
      </c>
      <c r="B576" s="49">
        <f>A576/$B$1</f>
        <v>23.875</v>
      </c>
      <c r="C576" s="49">
        <f>(('Input and Output'!B$23*'Input and Output'!$B$10)+('Input and Output'!B$24*Calculations!$C$5)+('Input and Output'!B$25*Calculations!$C$6)+('Input and Output'!B$26*(IF('Input and Output'!D$7="Detritus",Calculations!$C$4,G576))-(SUM('Input and Output'!B$27:B$32))*H575))</f>
        <v>0.41123637012037761</v>
      </c>
      <c r="D576" s="49">
        <f>(('Input and Output'!C$23*'Input and Output'!$B$10)+('Input and Output'!C$24*Calculations!$C$5)+('Input and Output'!C$25*Calculations!$C$6)+('Input and Output'!C$26*(IF('Input and Output'!E$7="Detritus",Calculations!$C$4,H576))-(SUM('Input and Output'!C$27:C$32))*I575))</f>
        <v>3.4762136521967477</v>
      </c>
      <c r="E576" s="49">
        <f>(('Input and Output'!D$23*'Input and Output'!$B$10)+('Input and Output'!D$24*Calculations!$C$5)+('Input and Output'!D$25*Calculations!$C$6)+('Input and Output'!D$26*(IF('Input and Output'!F$7="Detritus",Calculations!$C$4,I576))-(SUM('Input and Output'!D$27:D$32))*J575))</f>
        <v>1.5333366503218713</v>
      </c>
      <c r="F576" s="49" t="e">
        <f>(('Input and Output'!E$23*'Input and Output'!$B$10)+('Input and Output'!E$24*Calculations!$C$5)+('Input and Output'!E$25*Calculations!$C$6)+('Input and Output'!E$26*(IF('Input and Output'!G$7="Detritus",Calculations!$C$4,J576))-(SUM('Input and Output'!E$27:E$32))*K575))</f>
        <v>#N/A</v>
      </c>
      <c r="H576" s="49">
        <f>IF(H$2="",NA(),C576*$B576+H575)</f>
        <v>324064.05205450527</v>
      </c>
      <c r="I576" s="49">
        <f>IF(I$2="",NA(),D576*$B576+I575)</f>
        <v>2969646.2998988768</v>
      </c>
      <c r="J576" s="49">
        <f>IF(J$2="",NA(),E576*$B576+J575)</f>
        <v>1380338.8337958273</v>
      </c>
      <c r="K576" s="49" t="e">
        <f>IF(K$2="",NA(),F576*$B576+K575)</f>
        <v>#N/A</v>
      </c>
    </row>
    <row r="577" spans="1:11" x14ac:dyDescent="0.4">
      <c r="A577" s="49">
        <v>574</v>
      </c>
      <c r="B577" s="49">
        <f>A577/$B$1</f>
        <v>23.916666666666668</v>
      </c>
      <c r="C577" s="49">
        <f>(('Input and Output'!B$23*'Input and Output'!$B$10)+('Input and Output'!B$24*Calculations!$C$5)+('Input and Output'!B$25*Calculations!$C$6)+('Input and Output'!B$26*(IF('Input and Output'!D$7="Detritus",Calculations!$C$4,G577))-(SUM('Input and Output'!B$27:B$32))*H576))</f>
        <v>0.40177043915258537</v>
      </c>
      <c r="D577" s="49">
        <f>(('Input and Output'!C$23*'Input and Output'!$B$10)+('Input and Output'!C$24*Calculations!$C$5)+('Input and Output'!C$25*Calculations!$C$6)+('Input and Output'!C$26*(IF('Input and Output'!E$7="Detritus",Calculations!$C$4,H577))-(SUM('Input and Output'!C$27:C$32))*I576))</f>
        <v>3.3960417055723155</v>
      </c>
      <c r="E577" s="49">
        <f>(('Input and Output'!D$23*'Input and Output'!$B$10)+('Input and Output'!D$24*Calculations!$C$5)+('Input and Output'!D$25*Calculations!$C$6)+('Input and Output'!D$26*(IF('Input and Output'!F$7="Detritus",Calculations!$C$4,I577))-(SUM('Input and Output'!D$27:D$32))*J576))</f>
        <v>1.4979069708679162</v>
      </c>
      <c r="F577" s="49" t="e">
        <f>(('Input and Output'!E$23*'Input and Output'!$B$10)+('Input and Output'!E$24*Calculations!$C$5)+('Input and Output'!E$25*Calculations!$C$6)+('Input and Output'!E$26*(IF('Input and Output'!G$7="Detritus",Calculations!$C$4,J577))-(SUM('Input and Output'!E$27:E$32))*K576))</f>
        <v>#N/A</v>
      </c>
      <c r="H577" s="49">
        <f>IF(H$2="",NA(),C577*$B577+H576)</f>
        <v>324073.66106417502</v>
      </c>
      <c r="I577" s="49">
        <f>IF(I$2="",NA(),D577*$B577+I576)</f>
        <v>2969727.5218963353</v>
      </c>
      <c r="J577" s="49">
        <f>IF(J$2="",NA(),E577*$B577+J576)</f>
        <v>1380374.6587375472</v>
      </c>
      <c r="K577" s="49" t="e">
        <f>IF(K$2="",NA(),F577*$B577+K576)</f>
        <v>#N/A</v>
      </c>
    </row>
    <row r="578" spans="1:11" x14ac:dyDescent="0.4">
      <c r="A578" s="49">
        <v>575</v>
      </c>
      <c r="B578" s="49">
        <f>A578/$B$1</f>
        <v>23.958333333333332</v>
      </c>
      <c r="C578" s="49">
        <f>(('Input and Output'!B$23*'Input and Output'!$B$10)+('Input and Output'!B$24*Calculations!$C$5)+('Input and Output'!B$25*Calculations!$C$6)+('Input and Output'!B$26*(IF('Input and Output'!D$7="Detritus",Calculations!$C$4,G578))-(SUM('Input and Output'!B$27:B$32))*H577))</f>
        <v>0.39250625741669865</v>
      </c>
      <c r="D578" s="49">
        <f>(('Input and Output'!C$23*'Input and Output'!$B$10)+('Input and Output'!C$24*Calculations!$C$5)+('Input and Output'!C$25*Calculations!$C$6)+('Input and Output'!C$26*(IF('Input and Output'!E$7="Detritus",Calculations!$C$4,H578))-(SUM('Input and Output'!C$27:C$32))*I577))</f>
        <v>3.3175824031286538</v>
      </c>
      <c r="E578" s="49">
        <f>(('Input and Output'!D$23*'Input and Output'!$B$10)+('Input and Output'!D$24*Calculations!$C$5)+('Input and Output'!D$25*Calculations!$C$6)+('Input and Output'!D$26*(IF('Input and Output'!F$7="Detritus",Calculations!$C$4,I578))-(SUM('Input and Output'!D$27:D$32))*J577))</f>
        <v>1.4632358093695075</v>
      </c>
      <c r="F578" s="49" t="e">
        <f>(('Input and Output'!E$23*'Input and Output'!$B$10)+('Input and Output'!E$24*Calculations!$C$5)+('Input and Output'!E$25*Calculations!$C$6)+('Input and Output'!E$26*(IF('Input and Output'!G$7="Detritus",Calculations!$C$4,J578))-(SUM('Input and Output'!E$27:E$32))*K577))</f>
        <v>#N/A</v>
      </c>
      <c r="H578" s="49">
        <f>IF(H$2="",NA(),C578*$B578+H577)</f>
        <v>324083.06485992565</v>
      </c>
      <c r="I578" s="49">
        <f>IF(I$2="",NA(),D578*$B578+I577)</f>
        <v>2969807.0056414101</v>
      </c>
      <c r="J578" s="49">
        <f>IF(J$2="",NA(),E578*$B578+J577)</f>
        <v>1380409.7154288134</v>
      </c>
      <c r="K578" s="49" t="e">
        <f>IF(K$2="",NA(),F578*$B578+K577)</f>
        <v>#N/A</v>
      </c>
    </row>
    <row r="579" spans="1:11" x14ac:dyDescent="0.4">
      <c r="A579" s="49">
        <v>576</v>
      </c>
      <c r="B579" s="49">
        <f>A579/$B$1</f>
        <v>24</v>
      </c>
      <c r="C579" s="49">
        <f>(('Input and Output'!B$23*'Input and Output'!$B$10)+('Input and Output'!B$24*Calculations!$C$5)+('Input and Output'!B$25*Calculations!$C$6)+('Input and Output'!B$26*(IF('Input and Output'!D$7="Detritus",Calculations!$C$4,G579))-(SUM('Input and Output'!B$27:B$32))*H578))</f>
        <v>0.38343992531429194</v>
      </c>
      <c r="D579" s="49">
        <f>(('Input and Output'!C$23*'Input and Output'!$B$10)+('Input and Output'!C$24*Calculations!$C$5)+('Input and Output'!C$25*Calculations!$C$6)+('Input and Output'!C$26*(IF('Input and Output'!E$7="Detritus",Calculations!$C$4,H579))-(SUM('Input and Output'!C$27:C$32))*I578))</f>
        <v>3.2408025465620085</v>
      </c>
      <c r="E579" s="49">
        <f>(('Input and Output'!D$23*'Input and Output'!$B$10)+('Input and Output'!D$24*Calculations!$C$5)+('Input and Output'!D$25*Calculations!$C$6)+('Input and Output'!D$26*(IF('Input and Output'!F$7="Detritus",Calculations!$C$4,I579))-(SUM('Input and Output'!D$27:D$32))*J578))</f>
        <v>1.4293084226846986</v>
      </c>
      <c r="F579" s="49" t="e">
        <f>(('Input and Output'!E$23*'Input and Output'!$B$10)+('Input and Output'!E$24*Calculations!$C$5)+('Input and Output'!E$25*Calculations!$C$6)+('Input and Output'!E$26*(IF('Input and Output'!G$7="Detritus",Calculations!$C$4,J579))-(SUM('Input and Output'!E$27:E$32))*K578))</f>
        <v>#N/A</v>
      </c>
      <c r="H579" s="49">
        <f>IF(H$2="",NA(),C579*$B579+H578)</f>
        <v>324092.26741813321</v>
      </c>
      <c r="I579" s="49">
        <f>IF(I$2="",NA(),D579*$B579+I578)</f>
        <v>2969884.7849025275</v>
      </c>
      <c r="J579" s="49">
        <f>IF(J$2="",NA(),E579*$B579+J578)</f>
        <v>1380444.0188309578</v>
      </c>
      <c r="K579" s="49" t="e">
        <f>IF(K$2="",NA(),F579*$B579+K578)</f>
        <v>#N/A</v>
      </c>
    </row>
    <row r="580" spans="1:11" x14ac:dyDescent="0.4">
      <c r="A580" s="49">
        <v>577</v>
      </c>
      <c r="B580" s="49">
        <f>A580/$B$1</f>
        <v>24.041666666666668</v>
      </c>
      <c r="C580" s="49">
        <f>(('Input and Output'!B$23*'Input and Output'!$B$10)+('Input and Output'!B$24*Calculations!$C$5)+('Input and Output'!B$25*Calculations!$C$6)+('Input and Output'!B$26*(IF('Input and Output'!D$7="Detritus",Calculations!$C$4,G580))-(SUM('Input and Output'!B$27:B$32))*H579))</f>
        <v>0.37456760916512621</v>
      </c>
      <c r="D580" s="49">
        <f>(('Input and Output'!C$23*'Input and Output'!$B$10)+('Input and Output'!C$24*Calculations!$C$5)+('Input and Output'!C$25*Calculations!$C$6)+('Input and Output'!C$26*(IF('Input and Output'!E$7="Detritus",Calculations!$C$4,H580))-(SUM('Input and Output'!C$27:C$32))*I579))</f>
        <v>3.1656695009342002</v>
      </c>
      <c r="E580" s="49">
        <f>(('Input and Output'!D$23*'Input and Output'!$B$10)+('Input and Output'!D$24*Calculations!$C$5)+('Input and Output'!D$25*Calculations!$C$6)+('Input and Output'!D$26*(IF('Input and Output'!F$7="Detritus",Calculations!$C$4,I580))-(SUM('Input and Output'!D$27:D$32))*J579))</f>
        <v>1.3961103186338732</v>
      </c>
      <c r="F580" s="49" t="e">
        <f>(('Input and Output'!E$23*'Input and Output'!$B$10)+('Input and Output'!E$24*Calculations!$C$5)+('Input and Output'!E$25*Calculations!$C$6)+('Input and Output'!E$26*(IF('Input and Output'!G$7="Detritus",Calculations!$C$4,J580))-(SUM('Input and Output'!E$27:E$32))*K579))</f>
        <v>#N/A</v>
      </c>
      <c r="H580" s="49">
        <f>IF(H$2="",NA(),C580*$B580+H579)</f>
        <v>324101.27264773689</v>
      </c>
      <c r="I580" s="49">
        <f>IF(I$2="",NA(),D580*$B580+I579)</f>
        <v>2969960.8928734455</v>
      </c>
      <c r="J580" s="49">
        <f>IF(J$2="",NA(),E580*$B580+J579)</f>
        <v>1380477.5836498684</v>
      </c>
      <c r="K580" s="49" t="e">
        <f>IF(K$2="",NA(),F580*$B580+K579)</f>
        <v>#N/A</v>
      </c>
    </row>
    <row r="581" spans="1:11" x14ac:dyDescent="0.4">
      <c r="A581" s="49">
        <v>578</v>
      </c>
      <c r="B581" s="49">
        <f>A581/$B$1</f>
        <v>24.083333333333332</v>
      </c>
      <c r="C581" s="49">
        <f>(('Input and Output'!B$23*'Input and Output'!$B$10)+('Input and Output'!B$24*Calculations!$C$5)+('Input and Output'!B$25*Calculations!$C$6)+('Input and Output'!B$26*(IF('Input and Output'!D$7="Detritus",Calculations!$C$4,G581))-(SUM('Input and Output'!B$27:B$32))*H580))</f>
        <v>0.36588554030589648</v>
      </c>
      <c r="D581" s="49">
        <f>(('Input and Output'!C$23*'Input and Output'!$B$10)+('Input and Output'!C$24*Calculations!$C$5)+('Input and Output'!C$25*Calculations!$C$6)+('Input and Output'!C$26*(IF('Input and Output'!E$7="Detritus",Calculations!$C$4,H581))-(SUM('Input and Output'!C$27:C$32))*I580))</f>
        <v>3.0921511869373717</v>
      </c>
      <c r="E581" s="49">
        <f>(('Input and Output'!D$23*'Input and Output'!$B$10)+('Input and Output'!D$24*Calculations!$C$5)+('Input and Output'!D$25*Calculations!$C$6)+('Input and Output'!D$26*(IF('Input and Output'!F$7="Detritus",Calculations!$C$4,I581))-(SUM('Input and Output'!D$27:D$32))*J580))</f>
        <v>1.3636272528565314</v>
      </c>
      <c r="F581" s="49" t="e">
        <f>(('Input and Output'!E$23*'Input and Output'!$B$10)+('Input and Output'!E$24*Calculations!$C$5)+('Input and Output'!E$25*Calculations!$C$6)+('Input and Output'!E$26*(IF('Input and Output'!G$7="Detritus",Calculations!$C$4,J581))-(SUM('Input and Output'!E$27:E$32))*K580))</f>
        <v>#N/A</v>
      </c>
      <c r="H581" s="49">
        <f>IF(H$2="",NA(),C581*$B581+H580)</f>
        <v>324110.08439116593</v>
      </c>
      <c r="I581" s="49">
        <f>IF(I$2="",NA(),D581*$B581+I580)</f>
        <v>2970035.3621811974</v>
      </c>
      <c r="J581" s="49">
        <f>IF(J$2="",NA(),E581*$B581+J580)</f>
        <v>1380510.4243395412</v>
      </c>
      <c r="K581" s="49" t="e">
        <f>IF(K$2="",NA(),F581*$B581+K580)</f>
        <v>#N/A</v>
      </c>
    </row>
    <row r="582" spans="1:11" x14ac:dyDescent="0.4">
      <c r="A582" s="49">
        <v>579</v>
      </c>
      <c r="B582" s="49">
        <f>A582/$B$1</f>
        <v>24.125</v>
      </c>
      <c r="C582" s="49">
        <f>(('Input and Output'!B$23*'Input and Output'!$B$10)+('Input and Output'!B$24*Calculations!$C$5)+('Input and Output'!B$25*Calculations!$C$6)+('Input and Output'!B$26*(IF('Input and Output'!D$7="Detritus",Calculations!$C$4,G582))-(SUM('Input and Output'!B$27:B$32))*H581))</f>
        <v>0.35739001419625538</v>
      </c>
      <c r="D582" s="49">
        <f>(('Input and Output'!C$23*'Input and Output'!$B$10)+('Input and Output'!C$24*Calculations!$C$5)+('Input and Output'!C$25*Calculations!$C$6)+('Input and Output'!C$26*(IF('Input and Output'!E$7="Detritus",Calculations!$C$4,H582))-(SUM('Input and Output'!C$27:C$32))*I581))</f>
        <v>3.0202160731987533</v>
      </c>
      <c r="E582" s="49">
        <f>(('Input and Output'!D$23*'Input and Output'!$B$10)+('Input and Output'!D$24*Calculations!$C$5)+('Input and Output'!D$25*Calculations!$C$6)+('Input and Output'!D$26*(IF('Input and Output'!F$7="Detritus",Calculations!$C$4,I582))-(SUM('Input and Output'!D$27:D$32))*J581))</f>
        <v>1.3318452250423434</v>
      </c>
      <c r="F582" s="49" t="e">
        <f>(('Input and Output'!E$23*'Input and Output'!$B$10)+('Input and Output'!E$24*Calculations!$C$5)+('Input and Output'!E$25*Calculations!$C$6)+('Input and Output'!E$26*(IF('Input and Output'!G$7="Detritus",Calculations!$C$4,J582))-(SUM('Input and Output'!E$27:E$32))*K581))</f>
        <v>#N/A</v>
      </c>
      <c r="H582" s="49">
        <f>IF(H$2="",NA(),C582*$B582+H581)</f>
        <v>324118.70642525842</v>
      </c>
      <c r="I582" s="49">
        <f>IF(I$2="",NA(),D582*$B582+I581)</f>
        <v>2970108.2248939634</v>
      </c>
      <c r="J582" s="49">
        <f>IF(J$2="",NA(),E582*$B582+J581)</f>
        <v>1380542.5551055954</v>
      </c>
      <c r="K582" s="49" t="e">
        <f>IF(K$2="",NA(),F582*$B582+K581)</f>
        <v>#N/A</v>
      </c>
    </row>
    <row r="583" spans="1:11" x14ac:dyDescent="0.4">
      <c r="A583" s="49">
        <v>580</v>
      </c>
      <c r="B583" s="49">
        <f>A583/$B$1</f>
        <v>24.166666666666668</v>
      </c>
      <c r="C583" s="49">
        <f>(('Input and Output'!B$23*'Input and Output'!$B$10)+('Input and Output'!B$24*Calculations!$C$5)+('Input and Output'!B$25*Calculations!$C$6)+('Input and Output'!B$26*(IF('Input and Output'!D$7="Detritus",Calculations!$C$4,G583))-(SUM('Input and Output'!B$27:B$32))*H582))</f>
        <v>0.34907738953342005</v>
      </c>
      <c r="D583" s="49">
        <f>(('Input and Output'!C$23*'Input and Output'!$B$10)+('Input and Output'!C$24*Calculations!$C$5)+('Input and Output'!C$25*Calculations!$C$6)+('Input and Output'!C$26*(IF('Input and Output'!E$7="Detritus",Calculations!$C$4,H583))-(SUM('Input and Output'!C$27:C$32))*I582))</f>
        <v>2.9498331686654637</v>
      </c>
      <c r="E583" s="49">
        <f>(('Input and Output'!D$23*'Input and Output'!$B$10)+('Input and Output'!D$24*Calculations!$C$5)+('Input and Output'!D$25*Calculations!$C$6)+('Input and Output'!D$26*(IF('Input and Output'!F$7="Detritus",Calculations!$C$4,I583))-(SUM('Input and Output'!D$27:D$32))*J582))</f>
        <v>1.3007504756860726</v>
      </c>
      <c r="F583" s="49" t="e">
        <f>(('Input and Output'!E$23*'Input and Output'!$B$10)+('Input and Output'!E$24*Calculations!$C$5)+('Input and Output'!E$25*Calculations!$C$6)+('Input and Output'!E$26*(IF('Input and Output'!G$7="Detritus",Calculations!$C$4,J583))-(SUM('Input and Output'!E$27:E$32))*K582))</f>
        <v>#N/A</v>
      </c>
      <c r="H583" s="49">
        <f>IF(H$2="",NA(),C583*$B583+H582)</f>
        <v>324127.14246217214</v>
      </c>
      <c r="I583" s="49">
        <f>IF(I$2="",NA(),D583*$B583+I582)</f>
        <v>2970179.512528873</v>
      </c>
      <c r="J583" s="49">
        <f>IF(J$2="",NA(),E583*$B583+J582)</f>
        <v>1380573.9899087579</v>
      </c>
      <c r="K583" s="49" t="e">
        <f>IF(K$2="",NA(),F583*$B583+K582)</f>
        <v>#N/A</v>
      </c>
    </row>
    <row r="584" spans="1:11" x14ac:dyDescent="0.4">
      <c r="A584" s="49">
        <v>581</v>
      </c>
      <c r="B584" s="49">
        <f>A584/$B$1</f>
        <v>24.208333333333332</v>
      </c>
      <c r="C584" s="49">
        <f>(('Input and Output'!B$23*'Input and Output'!$B$10)+('Input and Output'!B$24*Calculations!$C$5)+('Input and Output'!B$25*Calculations!$C$6)+('Input and Output'!B$26*(IF('Input and Output'!D$7="Detritus",Calculations!$C$4,G584))-(SUM('Input and Output'!B$27:B$32))*H583))</f>
        <v>0.3409440873737708</v>
      </c>
      <c r="D584" s="49">
        <f>(('Input and Output'!C$23*'Input and Output'!$B$10)+('Input and Output'!C$24*Calculations!$C$5)+('Input and Output'!C$25*Calculations!$C$6)+('Input and Output'!C$26*(IF('Input and Output'!E$7="Detritus",Calculations!$C$4,H584))-(SUM('Input and Output'!C$27:C$32))*I583))</f>
        <v>2.8809720150538851</v>
      </c>
      <c r="E584" s="49">
        <f>(('Input and Output'!D$23*'Input and Output'!$B$10)+('Input and Output'!D$24*Calculations!$C$5)+('Input and Output'!D$25*Calculations!$C$6)+('Input and Output'!D$26*(IF('Input and Output'!F$7="Detritus",Calculations!$C$4,I584))-(SUM('Input and Output'!D$27:D$32))*J583))</f>
        <v>1.27032948262422</v>
      </c>
      <c r="F584" s="49" t="e">
        <f>(('Input and Output'!E$23*'Input and Output'!$B$10)+('Input and Output'!E$24*Calculations!$C$5)+('Input and Output'!E$25*Calculations!$C$6)+('Input and Output'!E$26*(IF('Input and Output'!G$7="Detritus",Calculations!$C$4,J584))-(SUM('Input and Output'!E$27:E$32))*K583))</f>
        <v>#N/A</v>
      </c>
      <c r="H584" s="49">
        <f>IF(H$2="",NA(),C584*$B584+H583)</f>
        <v>324135.3961502873</v>
      </c>
      <c r="I584" s="49">
        <f>IF(I$2="",NA(),D584*$B584+I583)</f>
        <v>2970249.2560597374</v>
      </c>
      <c r="J584" s="49">
        <f>IF(J$2="",NA(),E584*$B584+J583)</f>
        <v>1380604.7424683163</v>
      </c>
      <c r="K584" s="49" t="e">
        <f>IF(K$2="",NA(),F584*$B584+K583)</f>
        <v>#N/A</v>
      </c>
    </row>
    <row r="585" spans="1:11" x14ac:dyDescent="0.4">
      <c r="A585" s="49">
        <v>582</v>
      </c>
      <c r="B585" s="49">
        <f>A585/$B$1</f>
        <v>24.25</v>
      </c>
      <c r="C585" s="49">
        <f>(('Input and Output'!B$23*'Input and Output'!$B$10)+('Input and Output'!B$24*Calculations!$C$5)+('Input and Output'!B$25*Calculations!$C$6)+('Input and Output'!B$26*(IF('Input and Output'!D$7="Detritus",Calculations!$C$4,G585))-(SUM('Input and Output'!B$27:B$32))*H584))</f>
        <v>0.332986590262351</v>
      </c>
      <c r="D585" s="49">
        <f>(('Input and Output'!C$23*'Input and Output'!$B$10)+('Input and Output'!C$24*Calculations!$C$5)+('Input and Output'!C$25*Calculations!$C$6)+('Input and Output'!C$26*(IF('Input and Output'!E$7="Detritus",Calculations!$C$4,H585))-(SUM('Input and Output'!C$27:C$32))*I584))</f>
        <v>2.8136026793745259</v>
      </c>
      <c r="E585" s="49">
        <f>(('Input and Output'!D$23*'Input and Output'!$B$10)+('Input and Output'!D$24*Calculations!$C$5)+('Input and Output'!D$25*Calculations!$C$6)+('Input and Output'!D$26*(IF('Input and Output'!F$7="Detritus",Calculations!$C$4,I585))-(SUM('Input and Output'!D$27:D$32))*J584))</f>
        <v>1.2405689579209138</v>
      </c>
      <c r="F585" s="49" t="e">
        <f>(('Input and Output'!E$23*'Input and Output'!$B$10)+('Input and Output'!E$24*Calculations!$C$5)+('Input and Output'!E$25*Calculations!$C$6)+('Input and Output'!E$26*(IF('Input and Output'!G$7="Detritus",Calculations!$C$4,J585))-(SUM('Input and Output'!E$27:E$32))*K584))</f>
        <v>#N/A</v>
      </c>
      <c r="H585" s="49">
        <f>IF(H$2="",NA(),C585*$B585+H584)</f>
        <v>324143.47107510117</v>
      </c>
      <c r="I585" s="49">
        <f>IF(I$2="",NA(),D585*$B585+I584)</f>
        <v>2970317.4859247124</v>
      </c>
      <c r="J585" s="49">
        <f>IF(J$2="",NA(),E585*$B585+J584)</f>
        <v>1380634.826265546</v>
      </c>
      <c r="K585" s="49" t="e">
        <f>IF(K$2="",NA(),F585*$B585+K584)</f>
        <v>#N/A</v>
      </c>
    </row>
    <row r="586" spans="1:11" x14ac:dyDescent="0.4">
      <c r="A586" s="49">
        <v>583</v>
      </c>
      <c r="B586" s="49">
        <f>A586/$B$1</f>
        <v>24.291666666666668</v>
      </c>
      <c r="C586" s="49">
        <f>(('Input and Output'!B$23*'Input and Output'!$B$10)+('Input and Output'!B$24*Calculations!$C$5)+('Input and Output'!B$25*Calculations!$C$6)+('Input and Output'!B$26*(IF('Input and Output'!D$7="Detritus",Calculations!$C$4,G586))-(SUM('Input and Output'!B$27:B$32))*H585))</f>
        <v>0.32520144137077978</v>
      </c>
      <c r="D586" s="49">
        <f>(('Input and Output'!C$23*'Input and Output'!$B$10)+('Input and Output'!C$24*Calculations!$C$5)+('Input and Output'!C$25*Calculations!$C$6)+('Input and Output'!C$26*(IF('Input and Output'!E$7="Detritus",Calculations!$C$4,H586))-(SUM('Input and Output'!C$27:C$32))*I585))</f>
        <v>2.7476957465005398</v>
      </c>
      <c r="E586" s="49">
        <f>(('Input and Output'!D$23*'Input and Output'!$B$10)+('Input and Output'!D$24*Calculations!$C$5)+('Input and Output'!D$25*Calculations!$C$6)+('Input and Output'!D$26*(IF('Input and Output'!F$7="Detritus",Calculations!$C$4,I586))-(SUM('Input and Output'!D$27:D$32))*J585))</f>
        <v>1.2114558440407563</v>
      </c>
      <c r="F586" s="49" t="e">
        <f>(('Input and Output'!E$23*'Input and Output'!$B$10)+('Input and Output'!E$24*Calculations!$C$5)+('Input and Output'!E$25*Calculations!$C$6)+('Input and Output'!E$26*(IF('Input and Output'!G$7="Detritus",Calculations!$C$4,J586))-(SUM('Input and Output'!E$27:E$32))*K585))</f>
        <v>#N/A</v>
      </c>
      <c r="H586" s="49">
        <f>IF(H$2="",NA(),C586*$B586+H585)</f>
        <v>324151.37076011446</v>
      </c>
      <c r="I586" s="49">
        <f>IF(I$2="",NA(),D586*$B586+I585)</f>
        <v>2970384.2320338879</v>
      </c>
      <c r="J586" s="49">
        <f>IF(J$2="",NA(),E586*$B586+J585)</f>
        <v>1380664.2545470907</v>
      </c>
      <c r="K586" s="49" t="e">
        <f>IF(K$2="",NA(),F586*$B586+K585)</f>
        <v>#N/A</v>
      </c>
    </row>
    <row r="587" spans="1:11" x14ac:dyDescent="0.4">
      <c r="A587" s="49">
        <v>584</v>
      </c>
      <c r="B587" s="49">
        <f>A587/$B$1</f>
        <v>24.333333333333332</v>
      </c>
      <c r="C587" s="49">
        <f>(('Input and Output'!B$23*'Input and Output'!$B$10)+('Input and Output'!B$24*Calculations!$C$5)+('Input and Output'!B$25*Calculations!$C$6)+('Input and Output'!B$26*(IF('Input and Output'!D$7="Detritus",Calculations!$C$4,G587))-(SUM('Input and Output'!B$27:B$32))*H586))</f>
        <v>0.31758524364232699</v>
      </c>
      <c r="D587" s="49">
        <f>(('Input and Output'!C$23*'Input and Output'!$B$10)+('Input and Output'!C$24*Calculations!$C$5)+('Input and Output'!C$25*Calculations!$C$6)+('Input and Output'!C$26*(IF('Input and Output'!E$7="Detritus",Calculations!$C$4,H587))-(SUM('Input and Output'!C$27:C$32))*I586))</f>
        <v>2.683222311841746</v>
      </c>
      <c r="E587" s="49">
        <f>(('Input and Output'!D$23*'Input and Output'!$B$10)+('Input and Output'!D$24*Calculations!$C$5)+('Input and Output'!D$25*Calculations!$C$6)+('Input and Output'!D$26*(IF('Input and Output'!F$7="Detritus",Calculations!$C$4,I587))-(SUM('Input and Output'!D$27:D$32))*J586))</f>
        <v>1.1829773111858231</v>
      </c>
      <c r="F587" s="49" t="e">
        <f>(('Input and Output'!E$23*'Input and Output'!$B$10)+('Input and Output'!E$24*Calculations!$C$5)+('Input and Output'!E$25*Calculations!$C$6)+('Input and Output'!E$26*(IF('Input and Output'!G$7="Detritus",Calculations!$C$4,J587))-(SUM('Input and Output'!E$27:E$32))*K586))</f>
        <v>#N/A</v>
      </c>
      <c r="H587" s="49">
        <f>IF(H$2="",NA(),C587*$B587+H586)</f>
        <v>324159.09866770974</v>
      </c>
      <c r="I587" s="49">
        <f>IF(I$2="",NA(),D587*$B587+I586)</f>
        <v>2970449.5237768092</v>
      </c>
      <c r="J587" s="49">
        <f>IF(J$2="",NA(),E587*$B587+J586)</f>
        <v>1380693.0403283297</v>
      </c>
      <c r="K587" s="49" t="e">
        <f>IF(K$2="",NA(),F587*$B587+K586)</f>
        <v>#N/A</v>
      </c>
    </row>
    <row r="588" spans="1:11" x14ac:dyDescent="0.4">
      <c r="A588" s="49">
        <v>585</v>
      </c>
      <c r="B588" s="49">
        <f>A588/$B$1</f>
        <v>24.375</v>
      </c>
      <c r="C588" s="49">
        <f>(('Input and Output'!B$23*'Input and Output'!$B$10)+('Input and Output'!B$24*Calculations!$C$5)+('Input and Output'!B$25*Calculations!$C$6)+('Input and Output'!B$26*(IF('Input and Output'!D$7="Detritus",Calculations!$C$4,G588))-(SUM('Input and Output'!B$27:B$32))*H587))</f>
        <v>0.31013465894511683</v>
      </c>
      <c r="D588" s="49">
        <f>(('Input and Output'!C$23*'Input and Output'!$B$10)+('Input and Output'!C$24*Calculations!$C$5)+('Input and Output'!C$25*Calculations!$C$6)+('Input and Output'!C$26*(IF('Input and Output'!E$7="Detritus",Calculations!$C$4,H588))-(SUM('Input and Output'!C$27:C$32))*I587))</f>
        <v>2.6201539740577573</v>
      </c>
      <c r="E588" s="49">
        <f>(('Input and Output'!D$23*'Input and Output'!$B$10)+('Input and Output'!D$24*Calculations!$C$5)+('Input and Output'!D$25*Calculations!$C$6)+('Input and Output'!D$26*(IF('Input and Output'!F$7="Detritus",Calculations!$C$4,I588))-(SUM('Input and Output'!D$27:D$32))*J587))</f>
        <v>1.1551207535267167</v>
      </c>
      <c r="F588" s="49" t="e">
        <f>(('Input and Output'!E$23*'Input and Output'!$B$10)+('Input and Output'!E$24*Calculations!$C$5)+('Input and Output'!E$25*Calculations!$C$6)+('Input and Output'!E$26*(IF('Input and Output'!G$7="Detritus",Calculations!$C$4,J588))-(SUM('Input and Output'!E$27:E$32))*K587))</f>
        <v>#N/A</v>
      </c>
      <c r="H588" s="49">
        <f>IF(H$2="",NA(),C588*$B588+H587)</f>
        <v>324166.65820002154</v>
      </c>
      <c r="I588" s="49">
        <f>IF(I$2="",NA(),D588*$B588+I587)</f>
        <v>2970513.3900299268</v>
      </c>
      <c r="J588" s="49">
        <f>IF(J$2="",NA(),E588*$B588+J587)</f>
        <v>1380721.1963966968</v>
      </c>
      <c r="K588" s="49" t="e">
        <f>IF(K$2="",NA(),F588*$B588+K587)</f>
        <v>#N/A</v>
      </c>
    </row>
    <row r="589" spans="1:11" x14ac:dyDescent="0.4">
      <c r="A589" s="49">
        <v>586</v>
      </c>
      <c r="B589" s="49">
        <f>A589/$B$1</f>
        <v>24.416666666666668</v>
      </c>
      <c r="C589" s="49">
        <f>(('Input and Output'!B$23*'Input and Output'!$B$10)+('Input and Output'!B$24*Calculations!$C$5)+('Input and Output'!B$25*Calculations!$C$6)+('Input and Output'!B$26*(IF('Input and Output'!D$7="Detritus",Calculations!$C$4,G589))-(SUM('Input and Output'!B$27:B$32))*H588))</f>
        <v>0.30284640723323264</v>
      </c>
      <c r="D589" s="49">
        <f>(('Input and Output'!C$23*'Input and Output'!$B$10)+('Input and Output'!C$24*Calculations!$C$5)+('Input and Output'!C$25*Calculations!$C$6)+('Input and Output'!C$26*(IF('Input and Output'!E$7="Detritus",Calculations!$C$4,H589))-(SUM('Input and Output'!C$27:C$32))*I588))</f>
        <v>2.558462827852054</v>
      </c>
      <c r="E589" s="49">
        <f>(('Input and Output'!D$23*'Input and Output'!$B$10)+('Input and Output'!D$24*Calculations!$C$5)+('Input and Output'!D$25*Calculations!$C$6)+('Input and Output'!D$26*(IF('Input and Output'!F$7="Detritus",Calculations!$C$4,I589))-(SUM('Input and Output'!D$27:D$32))*J588))</f>
        <v>1.1278737862339767</v>
      </c>
      <c r="F589" s="49" t="e">
        <f>(('Input and Output'!E$23*'Input and Output'!$B$10)+('Input and Output'!E$24*Calculations!$C$5)+('Input and Output'!E$25*Calculations!$C$6)+('Input and Output'!E$26*(IF('Input and Output'!G$7="Detritus",Calculations!$C$4,J589))-(SUM('Input and Output'!E$27:E$32))*K588))</f>
        <v>#N/A</v>
      </c>
      <c r="H589" s="49">
        <f>IF(H$2="",NA(),C589*$B589+H588)</f>
        <v>324174.05269979814</v>
      </c>
      <c r="I589" s="49">
        <f>IF(I$2="",NA(),D589*$B589+I588)</f>
        <v>2970575.8591639735</v>
      </c>
      <c r="J589" s="49">
        <f>IF(J$2="",NA(),E589*$B589+J588)</f>
        <v>1380748.7353149774</v>
      </c>
      <c r="K589" s="49" t="e">
        <f>IF(K$2="",NA(),F589*$B589+K588)</f>
        <v>#N/A</v>
      </c>
    </row>
    <row r="590" spans="1:11" x14ac:dyDescent="0.4">
      <c r="A590" s="49">
        <v>587</v>
      </c>
      <c r="B590" s="49">
        <f>A590/$B$1</f>
        <v>24.458333333333332</v>
      </c>
      <c r="C590" s="49">
        <f>(('Input and Output'!B$23*'Input and Output'!$B$10)+('Input and Output'!B$24*Calculations!$C$5)+('Input and Output'!B$25*Calculations!$C$6)+('Input and Output'!B$26*(IF('Input and Output'!D$7="Detritus",Calculations!$C$4,G590))-(SUM('Input and Output'!B$27:B$32))*H589))</f>
        <v>0.29571726571595036</v>
      </c>
      <c r="D590" s="49">
        <f>(('Input and Output'!C$23*'Input and Output'!$B$10)+('Input and Output'!C$24*Calculations!$C$5)+('Input and Output'!C$25*Calculations!$C$6)+('Input and Output'!C$26*(IF('Input and Output'!E$7="Detritus",Calculations!$C$4,H590))-(SUM('Input and Output'!C$27:C$32))*I589))</f>
        <v>2.4981214568351788</v>
      </c>
      <c r="E590" s="49">
        <f>(('Input and Output'!D$23*'Input and Output'!$B$10)+('Input and Output'!D$24*Calculations!$C$5)+('Input and Output'!D$25*Calculations!$C$6)+('Input and Output'!D$26*(IF('Input and Output'!F$7="Detritus",Calculations!$C$4,I590))-(SUM('Input and Output'!D$27:D$32))*J589))</f>
        <v>1.1012242421747942</v>
      </c>
      <c r="F590" s="49" t="e">
        <f>(('Input and Output'!E$23*'Input and Output'!$B$10)+('Input and Output'!E$24*Calculations!$C$5)+('Input and Output'!E$25*Calculations!$C$6)+('Input and Output'!E$26*(IF('Input and Output'!G$7="Detritus",Calculations!$C$4,J590))-(SUM('Input and Output'!E$27:E$32))*K589))</f>
        <v>#N/A</v>
      </c>
      <c r="H590" s="49">
        <f>IF(H$2="",NA(),C590*$B590+H589)</f>
        <v>324181.28545125545</v>
      </c>
      <c r="I590" s="49">
        <f>IF(I$2="",NA(),D590*$B590+I589)</f>
        <v>2970636.9590512719</v>
      </c>
      <c r="J590" s="49">
        <f>IF(J$2="",NA(),E590*$B590+J589)</f>
        <v>1380775.6694245671</v>
      </c>
      <c r="K590" s="49" t="e">
        <f>IF(K$2="",NA(),F590*$B590+K589)</f>
        <v>#N/A</v>
      </c>
    </row>
    <row r="591" spans="1:11" x14ac:dyDescent="0.4">
      <c r="A591" s="49">
        <v>588</v>
      </c>
      <c r="B591" s="49">
        <f>A591/$B$1</f>
        <v>24.5</v>
      </c>
      <c r="C591" s="49">
        <f>(('Input and Output'!B$23*'Input and Output'!$B$10)+('Input and Output'!B$24*Calculations!$C$5)+('Input and Output'!B$25*Calculations!$C$6)+('Input and Output'!B$26*(IF('Input and Output'!D$7="Detritus",Calculations!$C$4,G591))-(SUM('Input and Output'!B$27:B$32))*H590))</f>
        <v>0.28874406803436159</v>
      </c>
      <c r="D591" s="49">
        <f>(('Input and Output'!C$23*'Input and Output'!$B$10)+('Input and Output'!C$24*Calculations!$C$5)+('Input and Output'!C$25*Calculations!$C$6)+('Input and Output'!C$26*(IF('Input and Output'!E$7="Detritus",Calculations!$C$4,H591))-(SUM('Input and Output'!C$27:C$32))*I590))</f>
        <v>2.4391029264534154</v>
      </c>
      <c r="E591" s="49">
        <f>(('Input and Output'!D$23*'Input and Output'!$B$10)+('Input and Output'!D$24*Calculations!$C$5)+('Input and Output'!D$25*Calculations!$C$6)+('Input and Output'!D$26*(IF('Input and Output'!F$7="Detritus",Calculations!$C$4,I591))-(SUM('Input and Output'!D$27:D$32))*J590))</f>
        <v>1.0751601689007657</v>
      </c>
      <c r="F591" s="49" t="e">
        <f>(('Input and Output'!E$23*'Input and Output'!$B$10)+('Input and Output'!E$24*Calculations!$C$5)+('Input and Output'!E$25*Calculations!$C$6)+('Input and Output'!E$26*(IF('Input and Output'!G$7="Detritus",Calculations!$C$4,J591))-(SUM('Input and Output'!E$27:E$32))*K590))</f>
        <v>#N/A</v>
      </c>
      <c r="H591" s="49">
        <f>IF(H$2="",NA(),C591*$B591+H590)</f>
        <v>324188.35968092229</v>
      </c>
      <c r="I591" s="49">
        <f>IF(I$2="",NA(),D591*$B591+I590)</f>
        <v>2970696.7170729702</v>
      </c>
      <c r="J591" s="49">
        <f>IF(J$2="",NA(),E591*$B591+J590)</f>
        <v>1380802.0108487052</v>
      </c>
      <c r="K591" s="49" t="e">
        <f>IF(K$2="",NA(),F591*$B591+K590)</f>
        <v>#N/A</v>
      </c>
    </row>
    <row r="592" spans="1:11" x14ac:dyDescent="0.4">
      <c r="A592" s="49">
        <v>589</v>
      </c>
      <c r="B592" s="49">
        <f>A592/$B$1</f>
        <v>24.541666666666668</v>
      </c>
      <c r="C592" s="49">
        <f>(('Input and Output'!B$23*'Input and Output'!$B$10)+('Input and Output'!B$24*Calculations!$C$5)+('Input and Output'!B$25*Calculations!$C$6)+('Input and Output'!B$26*(IF('Input and Output'!D$7="Detritus",Calculations!$C$4,G592))-(SUM('Input and Output'!B$27:B$32))*H591))</f>
        <v>0.28192370344658002</v>
      </c>
      <c r="D592" s="49">
        <f>(('Input and Output'!C$23*'Input and Output'!$B$10)+('Input and Output'!C$24*Calculations!$C$5)+('Input and Output'!C$25*Calculations!$C$6)+('Input and Output'!C$26*(IF('Input and Output'!E$7="Detritus",Calculations!$C$4,H592))-(SUM('Input and Output'!C$27:C$32))*I591))</f>
        <v>2.3813807769874984</v>
      </c>
      <c r="E592" s="49">
        <f>(('Input and Output'!D$23*'Input and Output'!$B$10)+('Input and Output'!D$24*Calculations!$C$5)+('Input and Output'!D$25*Calculations!$C$6)+('Input and Output'!D$26*(IF('Input and Output'!F$7="Detritus",Calculations!$C$4,I592))-(SUM('Input and Output'!D$27:D$32))*J591))</f>
        <v>1.0496698252572969</v>
      </c>
      <c r="F592" s="49" t="e">
        <f>(('Input and Output'!E$23*'Input and Output'!$B$10)+('Input and Output'!E$24*Calculations!$C$5)+('Input and Output'!E$25*Calculations!$C$6)+('Input and Output'!E$26*(IF('Input and Output'!G$7="Detritus",Calculations!$C$4,J592))-(SUM('Input and Output'!E$27:E$32))*K591))</f>
        <v>#N/A</v>
      </c>
      <c r="H592" s="49">
        <f>IF(H$2="",NA(),C592*$B592+H591)</f>
        <v>324195.2785584777</v>
      </c>
      <c r="I592" s="49">
        <f>IF(I$2="",NA(),D592*$B592+I591)</f>
        <v>2970755.1601262055</v>
      </c>
      <c r="J592" s="49">
        <f>IF(J$2="",NA(),E592*$B592+J591)</f>
        <v>1380827.7714956668</v>
      </c>
      <c r="K592" s="49" t="e">
        <f>IF(K$2="",NA(),F592*$B592+K591)</f>
        <v>#N/A</v>
      </c>
    </row>
    <row r="593" spans="1:11" x14ac:dyDescent="0.4">
      <c r="A593" s="49">
        <v>590</v>
      </c>
      <c r="B593" s="49">
        <f>A593/$B$1</f>
        <v>24.583333333333332</v>
      </c>
      <c r="C593" s="49">
        <f>(('Input and Output'!B$23*'Input and Output'!$B$10)+('Input and Output'!B$24*Calculations!$C$5)+('Input and Output'!B$25*Calculations!$C$6)+('Input and Output'!B$26*(IF('Input and Output'!D$7="Detritus",Calculations!$C$4,G593))-(SUM('Input and Output'!B$27:B$32))*H592))</f>
        <v>0.27525311602033753</v>
      </c>
      <c r="D593" s="49">
        <f>(('Input and Output'!C$23*'Input and Output'!$B$10)+('Input and Output'!C$24*Calculations!$C$5)+('Input and Output'!C$25*Calculations!$C$6)+('Input and Output'!C$26*(IF('Input and Output'!E$7="Detritus",Calculations!$C$4,H593))-(SUM('Input and Output'!C$27:C$32))*I592))</f>
        <v>2.3249290166268111</v>
      </c>
      <c r="E593" s="49">
        <f>(('Input and Output'!D$23*'Input and Output'!$B$10)+('Input and Output'!D$24*Calculations!$C$5)+('Input and Output'!D$25*Calculations!$C$6)+('Input and Output'!D$26*(IF('Input and Output'!F$7="Detritus",Calculations!$C$4,I593))-(SUM('Input and Output'!D$27:D$32))*J592))</f>
        <v>1.0247416785168753</v>
      </c>
      <c r="F593" s="49" t="e">
        <f>(('Input and Output'!E$23*'Input and Output'!$B$10)+('Input and Output'!E$24*Calculations!$C$5)+('Input and Output'!E$25*Calculations!$C$6)+('Input and Output'!E$26*(IF('Input and Output'!G$7="Detritus",Calculations!$C$4,J593))-(SUM('Input and Output'!E$27:E$32))*K592))</f>
        <v>#N/A</v>
      </c>
      <c r="H593" s="49">
        <f>IF(H$2="",NA(),C593*$B593+H592)</f>
        <v>324202.04519757989</v>
      </c>
      <c r="I593" s="49">
        <f>IF(I$2="",NA(),D593*$B593+I592)</f>
        <v>2970812.3146311976</v>
      </c>
      <c r="J593" s="49">
        <f>IF(J$2="",NA(),E593*$B593+J592)</f>
        <v>1380852.9630619304</v>
      </c>
      <c r="K593" s="49" t="e">
        <f>IF(K$2="",NA(),F593*$B593+K592)</f>
        <v>#N/A</v>
      </c>
    </row>
    <row r="594" spans="1:11" x14ac:dyDescent="0.4">
      <c r="A594" s="49">
        <v>591</v>
      </c>
      <c r="B594" s="49">
        <f>A594/$B$1</f>
        <v>24.625</v>
      </c>
      <c r="C594" s="49">
        <f>(('Input and Output'!B$23*'Input and Output'!$B$10)+('Input and Output'!B$24*Calculations!$C$5)+('Input and Output'!B$25*Calculations!$C$6)+('Input and Output'!B$26*(IF('Input and Output'!D$7="Detritus",Calculations!$C$4,G594))-(SUM('Input and Output'!B$27:B$32))*H593))</f>
        <v>0.26872930383382254</v>
      </c>
      <c r="D594" s="49">
        <f>(('Input and Output'!C$23*'Input and Output'!$B$10)+('Input and Output'!C$24*Calculations!$C$5)+('Input and Output'!C$25*Calculations!$C$6)+('Input and Output'!C$26*(IF('Input and Output'!E$7="Detritus",Calculations!$C$4,H594))-(SUM('Input and Output'!C$27:C$32))*I593))</f>
        <v>2.2697221146008815</v>
      </c>
      <c r="E594" s="49">
        <f>(('Input and Output'!D$23*'Input and Output'!$B$10)+('Input and Output'!D$24*Calculations!$C$5)+('Input and Output'!D$25*Calculations!$C$6)+('Input and Output'!D$26*(IF('Input and Output'!F$7="Detritus",Calculations!$C$4,I594))-(SUM('Input and Output'!D$27:D$32))*J593))</f>
        <v>1.0003644011922006</v>
      </c>
      <c r="F594" s="49" t="e">
        <f>(('Input and Output'!E$23*'Input and Output'!$B$10)+('Input and Output'!E$24*Calculations!$C$5)+('Input and Output'!E$25*Calculations!$C$6)+('Input and Output'!E$26*(IF('Input and Output'!G$7="Detritus",Calculations!$C$4,J594))-(SUM('Input and Output'!E$27:E$32))*K593))</f>
        <v>#N/A</v>
      </c>
      <c r="H594" s="49">
        <f>IF(H$2="",NA(),C594*$B594+H593)</f>
        <v>324208.66265668679</v>
      </c>
      <c r="I594" s="49">
        <f>IF(I$2="",NA(),D594*$B594+I593)</f>
        <v>2970868.2065382698</v>
      </c>
      <c r="J594" s="49">
        <f>IF(J$2="",NA(),E594*$B594+J593)</f>
        <v>1380877.5970353098</v>
      </c>
      <c r="K594" s="49" t="e">
        <f>IF(K$2="",NA(),F594*$B594+K593)</f>
        <v>#N/A</v>
      </c>
    </row>
    <row r="595" spans="1:11" x14ac:dyDescent="0.4">
      <c r="A595" s="49">
        <v>592</v>
      </c>
      <c r="B595" s="49">
        <f>A595/$B$1</f>
        <v>24.666666666666668</v>
      </c>
      <c r="C595" s="49">
        <f>(('Input and Output'!B$23*'Input and Output'!$B$10)+('Input and Output'!B$24*Calculations!$C$5)+('Input and Output'!B$25*Calculations!$C$6)+('Input and Output'!B$26*(IF('Input and Output'!D$7="Detritus",Calculations!$C$4,G595))-(SUM('Input and Output'!B$27:B$32))*H594))</f>
        <v>0.26234931818459017</v>
      </c>
      <c r="D595" s="49">
        <f>(('Input and Output'!C$23*'Input and Output'!$B$10)+('Input and Output'!C$24*Calculations!$C$5)+('Input and Output'!C$25*Calculations!$C$6)+('Input and Output'!C$26*(IF('Input and Output'!E$7="Detritus",Calculations!$C$4,H595))-(SUM('Input and Output'!C$27:C$32))*I594))</f>
        <v>2.2157349943918234</v>
      </c>
      <c r="E595" s="49">
        <f>(('Input and Output'!D$23*'Input and Output'!$B$10)+('Input and Output'!D$24*Calculations!$C$5)+('Input and Output'!D$25*Calculations!$C$6)+('Input and Output'!D$26*(IF('Input and Output'!F$7="Detritus",Calculations!$C$4,I595))-(SUM('Input and Output'!D$27:D$32))*J594))</f>
        <v>0.97652686806759448</v>
      </c>
      <c r="F595" s="49" t="e">
        <f>(('Input and Output'!E$23*'Input and Output'!$B$10)+('Input and Output'!E$24*Calculations!$C$5)+('Input and Output'!E$25*Calculations!$C$6)+('Input and Output'!E$26*(IF('Input and Output'!G$7="Detritus",Calculations!$C$4,J595))-(SUM('Input and Output'!E$27:E$32))*K594))</f>
        <v>#N/A</v>
      </c>
      <c r="H595" s="49">
        <f>IF(H$2="",NA(),C595*$B595+H594)</f>
        <v>324215.13393986865</v>
      </c>
      <c r="I595" s="49">
        <f>IF(I$2="",NA(),D595*$B595+I594)</f>
        <v>2970922.8613347979</v>
      </c>
      <c r="J595" s="49">
        <f>IF(J$2="",NA(),E595*$B595+J594)</f>
        <v>1380901.6846980555</v>
      </c>
      <c r="K595" s="49" t="e">
        <f>IF(K$2="",NA(),F595*$B595+K594)</f>
        <v>#N/A</v>
      </c>
    </row>
    <row r="596" spans="1:11" x14ac:dyDescent="0.4">
      <c r="A596" s="49">
        <v>593</v>
      </c>
      <c r="B596" s="49">
        <f>A596/$B$1</f>
        <v>24.708333333333332</v>
      </c>
      <c r="C596" s="49">
        <f>(('Input and Output'!B$23*'Input and Output'!$B$10)+('Input and Output'!B$24*Calculations!$C$5)+('Input and Output'!B$25*Calculations!$C$6)+('Input and Output'!B$26*(IF('Input and Output'!D$7="Detritus",Calculations!$C$4,G596))-(SUM('Input and Output'!B$27:B$32))*H595))</f>
        <v>0.25611026280614624</v>
      </c>
      <c r="D596" s="49">
        <f>(('Input and Output'!C$23*'Input and Output'!$B$10)+('Input and Output'!C$24*Calculations!$C$5)+('Input and Output'!C$25*Calculations!$C$6)+('Input and Output'!C$26*(IF('Input and Output'!E$7="Detritus",Calculations!$C$4,H596))-(SUM('Input and Output'!C$27:C$32))*I595))</f>
        <v>2.1629430270077137</v>
      </c>
      <c r="E596" s="49">
        <f>(('Input and Output'!D$23*'Input and Output'!$B$10)+('Input and Output'!D$24*Calculations!$C$5)+('Input and Output'!D$25*Calculations!$C$6)+('Input and Output'!D$26*(IF('Input and Output'!F$7="Detritus",Calculations!$C$4,I596))-(SUM('Input and Output'!D$27:D$32))*J595))</f>
        <v>0.95321815304123447</v>
      </c>
      <c r="F596" s="49" t="e">
        <f>(('Input and Output'!E$23*'Input and Output'!$B$10)+('Input and Output'!E$24*Calculations!$C$5)+('Input and Output'!E$25*Calculations!$C$6)+('Input and Output'!E$26*(IF('Input and Output'!G$7="Detritus",Calculations!$C$4,J596))-(SUM('Input and Output'!E$27:E$32))*K595))</f>
        <v>#N/A</v>
      </c>
      <c r="H596" s="49">
        <f>IF(H$2="",NA(),C596*$B596+H595)</f>
        <v>324221.46199761215</v>
      </c>
      <c r="I596" s="49">
        <f>IF(I$2="",NA(),D596*$B596+I595)</f>
        <v>2970976.3040520903</v>
      </c>
      <c r="J596" s="49">
        <f>IF(J$2="",NA(),E596*$B596+J595)</f>
        <v>1380925.2371299202</v>
      </c>
      <c r="K596" s="49" t="e">
        <f>IF(K$2="",NA(),F596*$B596+K595)</f>
        <v>#N/A</v>
      </c>
    </row>
    <row r="597" spans="1:11" x14ac:dyDescent="0.4">
      <c r="A597" s="49">
        <v>594</v>
      </c>
      <c r="B597" s="49">
        <f>A597/$B$1</f>
        <v>24.75</v>
      </c>
      <c r="C597" s="49">
        <f>(('Input and Output'!B$23*'Input and Output'!$B$10)+('Input and Output'!B$24*Calculations!$C$5)+('Input and Output'!B$25*Calculations!$C$6)+('Input and Output'!B$26*(IF('Input and Output'!D$7="Detritus",Calculations!$C$4,G597))-(SUM('Input and Output'!B$27:B$32))*H596))</f>
        <v>0.25000929309277353</v>
      </c>
      <c r="D597" s="49">
        <f>(('Input and Output'!C$23*'Input and Output'!$B$10)+('Input and Output'!C$24*Calculations!$C$5)+('Input and Output'!C$25*Calculations!$C$6)+('Input and Output'!C$26*(IF('Input and Output'!E$7="Detritus",Calculations!$C$4,H597))-(SUM('Input and Output'!C$27:C$32))*I596))</f>
        <v>2.1113220243332762</v>
      </c>
      <c r="E597" s="49">
        <f>(('Input and Output'!D$23*'Input and Output'!$B$10)+('Input and Output'!D$24*Calculations!$C$5)+('Input and Output'!D$25*Calculations!$C$6)+('Input and Output'!D$26*(IF('Input and Output'!F$7="Detritus",Calculations!$C$4,I597))-(SUM('Input and Output'!D$27:D$32))*J596))</f>
        <v>0.93042752634573844</v>
      </c>
      <c r="F597" s="49" t="e">
        <f>(('Input and Output'!E$23*'Input and Output'!$B$10)+('Input and Output'!E$24*Calculations!$C$5)+('Input and Output'!E$25*Calculations!$C$6)+('Input and Output'!E$26*(IF('Input and Output'!G$7="Detritus",Calculations!$C$4,J597))-(SUM('Input and Output'!E$27:E$32))*K596))</f>
        <v>#N/A</v>
      </c>
      <c r="H597" s="49">
        <f>IF(H$2="",NA(),C597*$B597+H596)</f>
        <v>324227.64972761617</v>
      </c>
      <c r="I597" s="49">
        <f>IF(I$2="",NA(),D597*$B597+I596)</f>
        <v>2971028.5592721924</v>
      </c>
      <c r="J597" s="49">
        <f>IF(J$2="",NA(),E597*$B597+J596)</f>
        <v>1380948.2652111973</v>
      </c>
      <c r="K597" s="49" t="e">
        <f>IF(K$2="",NA(),F597*$B597+K596)</f>
        <v>#N/A</v>
      </c>
    </row>
    <row r="598" spans="1:11" x14ac:dyDescent="0.4">
      <c r="A598" s="49">
        <v>595</v>
      </c>
      <c r="B598" s="49">
        <f>A598/$B$1</f>
        <v>24.791666666666668</v>
      </c>
      <c r="C598" s="49">
        <f>(('Input and Output'!B$23*'Input and Output'!$B$10)+('Input and Output'!B$24*Calculations!$C$5)+('Input and Output'!B$25*Calculations!$C$6)+('Input and Output'!B$26*(IF('Input and Output'!D$7="Detritus",Calculations!$C$4,G598))-(SUM('Input and Output'!B$27:B$32))*H597))</f>
        <v>0.24404361533197516</v>
      </c>
      <c r="D598" s="49">
        <f>(('Input and Output'!C$23*'Input and Output'!$B$10)+('Input and Output'!C$24*Calculations!$C$5)+('Input and Output'!C$25*Calculations!$C$6)+('Input and Output'!C$26*(IF('Input and Output'!E$7="Detritus",Calculations!$C$4,H598))-(SUM('Input and Output'!C$27:C$32))*I597))</f>
        <v>2.0608482325415025</v>
      </c>
      <c r="E598" s="49">
        <f>(('Input and Output'!D$23*'Input and Output'!$B$10)+('Input and Output'!D$24*Calculations!$C$5)+('Input and Output'!D$25*Calculations!$C$6)+('Input and Output'!D$26*(IF('Input and Output'!F$7="Detritus",Calculations!$C$4,I598))-(SUM('Input and Output'!D$27:D$32))*J597))</f>
        <v>0.90814445146315848</v>
      </c>
      <c r="F598" s="49" t="e">
        <f>(('Input and Output'!E$23*'Input and Output'!$B$10)+('Input and Output'!E$24*Calculations!$C$5)+('Input and Output'!E$25*Calculations!$C$6)+('Input and Output'!E$26*(IF('Input and Output'!G$7="Detritus",Calculations!$C$4,J598))-(SUM('Input and Output'!E$27:E$32))*K597))</f>
        <v>#N/A</v>
      </c>
      <c r="H598" s="49">
        <f>IF(H$2="",NA(),C598*$B598+H597)</f>
        <v>324233.69997557963</v>
      </c>
      <c r="I598" s="49">
        <f>IF(I$2="",NA(),D598*$B598+I597)</f>
        <v>2971079.6511346241</v>
      </c>
      <c r="J598" s="49">
        <f>IF(J$2="",NA(),E598*$B598+J597)</f>
        <v>1380970.7796257231</v>
      </c>
      <c r="K598" s="49" t="e">
        <f>IF(K$2="",NA(),F598*$B598+K597)</f>
        <v>#N/A</v>
      </c>
    </row>
    <row r="599" spans="1:11" x14ac:dyDescent="0.4">
      <c r="A599" s="49">
        <v>596</v>
      </c>
      <c r="B599" s="49">
        <f>A599/$B$1</f>
        <v>24.833333333333332</v>
      </c>
      <c r="C599" s="49">
        <f>(('Input and Output'!B$23*'Input and Output'!$B$10)+('Input and Output'!B$24*Calculations!$C$5)+('Input and Output'!B$25*Calculations!$C$6)+('Input and Output'!B$26*(IF('Input and Output'!D$7="Detritus",Calculations!$C$4,G599))-(SUM('Input and Output'!B$27:B$32))*H598))</f>
        <v>0.23821048594538752</v>
      </c>
      <c r="D599" s="49">
        <f>(('Input and Output'!C$23*'Input and Output'!$B$10)+('Input and Output'!C$24*Calculations!$C$5)+('Input and Output'!C$25*Calculations!$C$6)+('Input and Output'!C$26*(IF('Input and Output'!E$7="Detritus",Calculations!$C$4,H599))-(SUM('Input and Output'!C$27:C$32))*I598))</f>
        <v>2.0114983255753032</v>
      </c>
      <c r="E599" s="49">
        <f>(('Input and Output'!D$23*'Input and Output'!$B$10)+('Input and Output'!D$24*Calculations!$C$5)+('Input and Output'!D$25*Calculations!$C$6)+('Input and Output'!D$26*(IF('Input and Output'!F$7="Detritus",Calculations!$C$4,I599))-(SUM('Input and Output'!D$27:D$32))*J598))</f>
        <v>0.88635858227280551</v>
      </c>
      <c r="F599" s="49" t="e">
        <f>(('Input and Output'!E$23*'Input and Output'!$B$10)+('Input and Output'!E$24*Calculations!$C$5)+('Input and Output'!E$25*Calculations!$C$6)+('Input and Output'!E$26*(IF('Input and Output'!G$7="Detritus",Calculations!$C$4,J599))-(SUM('Input and Output'!E$27:E$32))*K598))</f>
        <v>#N/A</v>
      </c>
      <c r="H599" s="49">
        <f>IF(H$2="",NA(),C599*$B599+H598)</f>
        <v>324239.61553598061</v>
      </c>
      <c r="I599" s="49">
        <f>IF(I$2="",NA(),D599*$B599+I598)</f>
        <v>2971129.6033430425</v>
      </c>
      <c r="J599" s="49">
        <f>IF(J$2="",NA(),E599*$B599+J598)</f>
        <v>1380992.7908638497</v>
      </c>
      <c r="K599" s="49" t="e">
        <f>IF(K$2="",NA(),F599*$B599+K598)</f>
        <v>#N/A</v>
      </c>
    </row>
    <row r="600" spans="1:11" x14ac:dyDescent="0.4">
      <c r="A600" s="49">
        <v>597</v>
      </c>
      <c r="B600" s="49">
        <f>A600/$B$1</f>
        <v>24.875</v>
      </c>
      <c r="C600" s="49">
        <f>(('Input and Output'!B$23*'Input and Output'!$B$10)+('Input and Output'!B$24*Calculations!$C$5)+('Input and Output'!B$25*Calculations!$C$6)+('Input and Output'!B$26*(IF('Input and Output'!D$7="Detritus",Calculations!$C$4,G600))-(SUM('Input and Output'!B$27:B$32))*H599))</f>
        <v>0.2325072107371966</v>
      </c>
      <c r="D600" s="49">
        <f>(('Input and Output'!C$23*'Input and Output'!$B$10)+('Input and Output'!C$24*Calculations!$C$5)+('Input and Output'!C$25*Calculations!$C$6)+('Input and Output'!C$26*(IF('Input and Output'!E$7="Detritus",Calculations!$C$4,H600))-(SUM('Input and Output'!C$27:C$32))*I599))</f>
        <v>1.9632493987101043</v>
      </c>
      <c r="E600" s="49">
        <f>(('Input and Output'!D$23*'Input and Output'!$B$10)+('Input and Output'!D$24*Calculations!$C$5)+('Input and Output'!D$25*Calculations!$C$6)+('Input and Output'!D$26*(IF('Input and Output'!F$7="Detritus",Calculations!$C$4,I600))-(SUM('Input and Output'!D$27:D$32))*J599))</f>
        <v>0.86505976012631436</v>
      </c>
      <c r="F600" s="49" t="e">
        <f>(('Input and Output'!E$23*'Input and Output'!$B$10)+('Input and Output'!E$24*Calculations!$C$5)+('Input and Output'!E$25*Calculations!$C$6)+('Input and Output'!E$26*(IF('Input and Output'!G$7="Detritus",Calculations!$C$4,J600))-(SUM('Input and Output'!E$27:E$32))*K599))</f>
        <v>#N/A</v>
      </c>
      <c r="H600" s="49">
        <f>IF(H$2="",NA(),C600*$B600+H599)</f>
        <v>324245.39915284771</v>
      </c>
      <c r="I600" s="49">
        <f>IF(I$2="",NA(),D600*$B600+I599)</f>
        <v>2971178.4391718353</v>
      </c>
      <c r="J600" s="49">
        <f>IF(J$2="",NA(),E600*$B600+J599)</f>
        <v>1381014.3092253827</v>
      </c>
      <c r="K600" s="49" t="e">
        <f>IF(K$2="",NA(),F600*$B600+K599)</f>
        <v>#N/A</v>
      </c>
    </row>
    <row r="601" spans="1:11" x14ac:dyDescent="0.4">
      <c r="A601" s="49">
        <v>598</v>
      </c>
      <c r="B601" s="49">
        <f>A601/$B$1</f>
        <v>24.916666666666668</v>
      </c>
      <c r="C601" s="49">
        <f>(('Input and Output'!B$23*'Input and Output'!$B$10)+('Input and Output'!B$24*Calculations!$C$5)+('Input and Output'!B$25*Calculations!$C$6)+('Input and Output'!B$26*(IF('Input and Output'!D$7="Detritus",Calculations!$C$4,G601))-(SUM('Input and Output'!B$27:B$32))*H600))</f>
        <v>0.22693114415085347</v>
      </c>
      <c r="D601" s="49">
        <f>(('Input and Output'!C$23*'Input and Output'!$B$10)+('Input and Output'!C$24*Calculations!$C$5)+('Input and Output'!C$25*Calculations!$C$6)+('Input and Output'!C$26*(IF('Input and Output'!E$7="Detritus",Calculations!$C$4,H601))-(SUM('Input and Output'!C$27:C$32))*I600))</f>
        <v>1.9160789621682852</v>
      </c>
      <c r="E601" s="49">
        <f>(('Input and Output'!D$23*'Input and Output'!$B$10)+('Input and Output'!D$24*Calculations!$C$5)+('Input and Output'!D$25*Calculations!$C$6)+('Input and Output'!D$26*(IF('Input and Output'!F$7="Detritus",Calculations!$C$4,I601))-(SUM('Input and Output'!D$27:D$32))*J600))</f>
        <v>0.84423801106822793</v>
      </c>
      <c r="F601" s="49" t="e">
        <f>(('Input and Output'!E$23*'Input and Output'!$B$10)+('Input and Output'!E$24*Calculations!$C$5)+('Input and Output'!E$25*Calculations!$C$6)+('Input and Output'!E$26*(IF('Input and Output'!G$7="Detritus",Calculations!$C$4,J601))-(SUM('Input and Output'!E$27:E$32))*K600))</f>
        <v>#N/A</v>
      </c>
      <c r="H601" s="49">
        <f>IF(H$2="",NA(),C601*$B601+H600)</f>
        <v>324251.05352052278</v>
      </c>
      <c r="I601" s="49">
        <f>IF(I$2="",NA(),D601*$B601+I600)</f>
        <v>2971226.1814726428</v>
      </c>
      <c r="J601" s="49">
        <f>IF(J$2="",NA(),E601*$B601+J600)</f>
        <v>1381035.3448224918</v>
      </c>
      <c r="K601" s="49" t="e">
        <f>IF(K$2="",NA(),F601*$B601+K600)</f>
        <v>#N/A</v>
      </c>
    </row>
    <row r="602" spans="1:11" x14ac:dyDescent="0.4">
      <c r="A602" s="49">
        <v>599</v>
      </c>
      <c r="B602" s="49">
        <f>A602/$B$1</f>
        <v>24.958333333333332</v>
      </c>
      <c r="C602" s="49">
        <f>(('Input and Output'!B$23*'Input and Output'!$B$10)+('Input and Output'!B$24*Calculations!$C$5)+('Input and Output'!B$25*Calculations!$C$6)+('Input and Output'!B$26*(IF('Input and Output'!D$7="Detritus",Calculations!$C$4,G602))-(SUM('Input and Output'!B$27:B$32))*H601))</f>
        <v>0.22147968853323619</v>
      </c>
      <c r="D602" s="49">
        <f>(('Input and Output'!C$23*'Input and Output'!$B$10)+('Input and Output'!C$24*Calculations!$C$5)+('Input and Output'!C$25*Calculations!$C$6)+('Input and Output'!C$26*(IF('Input and Output'!E$7="Detritus",Calculations!$C$4,H602))-(SUM('Input and Output'!C$27:C$32))*I601))</f>
        <v>1.8699649348163803</v>
      </c>
      <c r="E602" s="49">
        <f>(('Input and Output'!D$23*'Input and Output'!$B$10)+('Input and Output'!D$24*Calculations!$C$5)+('Input and Output'!D$25*Calculations!$C$6)+('Input and Output'!D$26*(IF('Input and Output'!F$7="Detritus",Calculations!$C$4,I602))-(SUM('Input and Output'!D$27:D$32))*J601))</f>
        <v>0.82388354288195842</v>
      </c>
      <c r="F602" s="49" t="e">
        <f>(('Input and Output'!E$23*'Input and Output'!$B$10)+('Input and Output'!E$24*Calculations!$C$5)+('Input and Output'!E$25*Calculations!$C$6)+('Input and Output'!E$26*(IF('Input and Output'!G$7="Detritus",Calculations!$C$4,J602))-(SUM('Input and Output'!E$27:E$32))*K601))</f>
        <v>#N/A</v>
      </c>
      <c r="H602" s="49">
        <f>IF(H$2="",NA(),C602*$B602+H601)</f>
        <v>324256.58128441573</v>
      </c>
      <c r="I602" s="49">
        <f>IF(I$2="",NA(),D602*$B602+I601)</f>
        <v>2971272.8526808075</v>
      </c>
      <c r="J602" s="49">
        <f>IF(J$2="",NA(),E602*$B602+J601)</f>
        <v>1381055.9075825829</v>
      </c>
      <c r="K602" s="49" t="e">
        <f>IF(K$2="",NA(),F602*$B602+K601)</f>
        <v>#N/A</v>
      </c>
    </row>
    <row r="603" spans="1:11" x14ac:dyDescent="0.4">
      <c r="A603" s="49">
        <v>600</v>
      </c>
      <c r="B603" s="49">
        <f>A603/$B$1</f>
        <v>25</v>
      </c>
      <c r="C603" s="49">
        <f>(('Input and Output'!B$23*'Input and Output'!$B$10)+('Input and Output'!B$24*Calculations!$C$5)+('Input and Output'!B$25*Calculations!$C$6)+('Input and Output'!B$26*(IF('Input and Output'!D$7="Detritus",Calculations!$C$4,G603))-(SUM('Input and Output'!B$27:B$32))*H602))</f>
        <v>0.21615029340745195</v>
      </c>
      <c r="D603" s="49">
        <f>(('Input and Output'!C$23*'Input and Output'!$B$10)+('Input and Output'!C$24*Calculations!$C$5)+('Input and Output'!C$25*Calculations!$C$6)+('Input and Output'!C$26*(IF('Input and Output'!E$7="Detritus",Calculations!$C$4,H603))-(SUM('Input and Output'!C$27:C$32))*I602))</f>
        <v>1.8248856379232166</v>
      </c>
      <c r="E603" s="49">
        <f>(('Input and Output'!D$23*'Input and Output'!$B$10)+('Input and Output'!D$24*Calculations!$C$5)+('Input and Output'!D$25*Calculations!$C$6)+('Input and Output'!D$26*(IF('Input and Output'!F$7="Detritus",Calculations!$C$4,I603))-(SUM('Input and Output'!D$27:D$32))*J602))</f>
        <v>0.80398674247044255</v>
      </c>
      <c r="F603" s="49" t="e">
        <f>(('Input and Output'!E$23*'Input and Output'!$B$10)+('Input and Output'!E$24*Calculations!$C$5)+('Input and Output'!E$25*Calculations!$C$6)+('Input and Output'!E$26*(IF('Input and Output'!G$7="Detritus",Calculations!$C$4,J603))-(SUM('Input and Output'!E$27:E$32))*K602))</f>
        <v>#N/A</v>
      </c>
      <c r="H603" s="49">
        <f>IF(H$2="",NA(),C603*$B603+H602)</f>
        <v>324261.98504175094</v>
      </c>
      <c r="I603" s="49">
        <f>IF(I$2="",NA(),D603*$B603+I602)</f>
        <v>2971318.4748217557</v>
      </c>
      <c r="J603" s="49">
        <f>IF(J$2="",NA(),E603*$B603+J602)</f>
        <v>1381076.0072511446</v>
      </c>
      <c r="K603" s="49" t="e">
        <f>IF(K$2="",NA(),F603*$B603+K602)</f>
        <v>#N/A</v>
      </c>
    </row>
    <row r="604" spans="1:11" x14ac:dyDescent="0.4">
      <c r="A604" s="49">
        <v>601</v>
      </c>
      <c r="B604" s="49">
        <f>A604/$B$1</f>
        <v>25.041666666666668</v>
      </c>
      <c r="C604" s="49">
        <f>(('Input and Output'!B$23*'Input and Output'!$B$10)+('Input and Output'!B$24*Calculations!$C$5)+('Input and Output'!B$25*Calculations!$C$6)+('Input and Output'!B$26*(IF('Input and Output'!D$7="Detritus",Calculations!$C$4,G604))-(SUM('Input and Output'!B$27:B$32))*H603))</f>
        <v>0.21094045475285839</v>
      </c>
      <c r="D604" s="49">
        <f>(('Input and Output'!C$23*'Input and Output'!$B$10)+('Input and Output'!C$24*Calculations!$C$5)+('Input and Output'!C$25*Calculations!$C$6)+('Input and Output'!C$26*(IF('Input and Output'!E$7="Detritus",Calculations!$C$4,H604))-(SUM('Input and Output'!C$27:C$32))*I603))</f>
        <v>1.780819788986264</v>
      </c>
      <c r="E604" s="49">
        <f>(('Input and Output'!D$23*'Input and Output'!$B$10)+('Input and Output'!D$24*Calculations!$C$5)+('Input and Output'!D$25*Calculations!$C$6)+('Input and Output'!D$26*(IF('Input and Output'!F$7="Detritus",Calculations!$C$4,I604))-(SUM('Input and Output'!D$27:D$32))*J603))</f>
        <v>0.78453817296031048</v>
      </c>
      <c r="F604" s="49" t="e">
        <f>(('Input and Output'!E$23*'Input and Output'!$B$10)+('Input and Output'!E$24*Calculations!$C$5)+('Input and Output'!E$25*Calculations!$C$6)+('Input and Output'!E$26*(IF('Input and Output'!G$7="Detritus",Calculations!$C$4,J604))-(SUM('Input and Output'!E$27:E$32))*K603))</f>
        <v>#N/A</v>
      </c>
      <c r="H604" s="49">
        <f>IF(H$2="",NA(),C604*$B604+H603)</f>
        <v>324267.26734230539</v>
      </c>
      <c r="I604" s="49">
        <f>IF(I$2="",NA(),D604*$B604+I603)</f>
        <v>2971363.0695173047</v>
      </c>
      <c r="J604" s="49">
        <f>IF(J$2="",NA(),E604*$B604+J603)</f>
        <v>1381095.6533945592</v>
      </c>
      <c r="K604" s="49" t="e">
        <f>IF(K$2="",NA(),F604*$B604+K603)</f>
        <v>#N/A</v>
      </c>
    </row>
    <row r="605" spans="1:11" x14ac:dyDescent="0.4">
      <c r="A605" s="49">
        <v>602</v>
      </c>
      <c r="B605" s="49">
        <f>A605/$B$1</f>
        <v>25.083333333333332</v>
      </c>
      <c r="C605" s="49">
        <f>(('Input and Output'!B$23*'Input and Output'!$B$10)+('Input and Output'!B$24*Calculations!$C$5)+('Input and Output'!B$25*Calculations!$C$6)+('Input and Output'!B$26*(IF('Input and Output'!D$7="Detritus",Calculations!$C$4,G605))-(SUM('Input and Output'!B$27:B$32))*H604))</f>
        <v>0.20584771429344073</v>
      </c>
      <c r="D605" s="49">
        <f>(('Input and Output'!C$23*'Input and Output'!$B$10)+('Input and Output'!C$24*Calculations!$C$5)+('Input and Output'!C$25*Calculations!$C$6)+('Input and Output'!C$26*(IF('Input and Output'!E$7="Detritus",Calculations!$C$4,H605))-(SUM('Input and Output'!C$27:C$32))*I604))</f>
        <v>1.7377464956389304</v>
      </c>
      <c r="E605" s="49">
        <f>(('Input and Output'!D$23*'Input and Output'!$B$10)+('Input and Output'!D$24*Calculations!$C$5)+('Input and Output'!D$25*Calculations!$C$6)+('Input and Output'!D$26*(IF('Input and Output'!F$7="Detritus",Calculations!$C$4,I605))-(SUM('Input and Output'!D$27:D$32))*J604))</f>
        <v>0.76552857105343719</v>
      </c>
      <c r="F605" s="49" t="e">
        <f>(('Input and Output'!E$23*'Input and Output'!$B$10)+('Input and Output'!E$24*Calculations!$C$5)+('Input and Output'!E$25*Calculations!$C$6)+('Input and Output'!E$26*(IF('Input and Output'!G$7="Detritus",Calculations!$C$4,J605))-(SUM('Input and Output'!E$27:E$32))*K604))</f>
        <v>#N/A</v>
      </c>
      <c r="H605" s="49">
        <f>IF(H$2="",NA(),C605*$B605+H604)</f>
        <v>324272.43068913894</v>
      </c>
      <c r="I605" s="49">
        <f>IF(I$2="",NA(),D605*$B605+I604)</f>
        <v>2971406.6579919034</v>
      </c>
      <c r="J605" s="49">
        <f>IF(J$2="",NA(),E605*$B605+J604)</f>
        <v>1381114.8554028831</v>
      </c>
      <c r="K605" s="49" t="e">
        <f>IF(K$2="",NA(),F605*$B605+K604)</f>
        <v>#N/A</v>
      </c>
    </row>
    <row r="606" spans="1:11" x14ac:dyDescent="0.4">
      <c r="A606" s="49">
        <v>603</v>
      </c>
      <c r="B606" s="49">
        <f>A606/$B$1</f>
        <v>25.125</v>
      </c>
      <c r="C606" s="49">
        <f>(('Input and Output'!B$23*'Input and Output'!$B$10)+('Input and Output'!B$24*Calculations!$C$5)+('Input and Output'!B$25*Calculations!$C$6)+('Input and Output'!B$26*(IF('Input and Output'!D$7="Detritus",Calculations!$C$4,G606))-(SUM('Input and Output'!B$27:B$32))*H605))</f>
        <v>0.20086965879391983</v>
      </c>
      <c r="D606" s="49">
        <f>(('Input and Output'!C$23*'Input and Output'!$B$10)+('Input and Output'!C$24*Calculations!$C$5)+('Input and Output'!C$25*Calculations!$C$6)+('Input and Output'!C$26*(IF('Input and Output'!E$7="Detritus",Calculations!$C$4,H606))-(SUM('Input and Output'!C$27:C$32))*I605))</f>
        <v>1.6956452495978738</v>
      </c>
      <c r="E606" s="49">
        <f>(('Input and Output'!D$23*'Input and Output'!$B$10)+('Input and Output'!D$24*Calculations!$C$5)+('Input and Output'!D$25*Calculations!$C$6)+('Input and Output'!D$26*(IF('Input and Output'!F$7="Detritus",Calculations!$C$4,I606))-(SUM('Input and Output'!D$27:D$32))*J605))</f>
        <v>0.74694884424752672</v>
      </c>
      <c r="F606" s="49" t="e">
        <f>(('Input and Output'!E$23*'Input and Output'!$B$10)+('Input and Output'!E$24*Calculations!$C$5)+('Input and Output'!E$25*Calculations!$C$6)+('Input and Output'!E$26*(IF('Input and Output'!G$7="Detritus",Calculations!$C$4,J606))-(SUM('Input and Output'!E$27:E$32))*K605))</f>
        <v>#N/A</v>
      </c>
      <c r="H606" s="49">
        <f>IF(H$2="",NA(),C606*$B606+H605)</f>
        <v>324277.47753931611</v>
      </c>
      <c r="I606" s="49">
        <f>IF(I$2="",NA(),D606*$B606+I605)</f>
        <v>2971449.2610787996</v>
      </c>
      <c r="J606" s="49">
        <f>IF(J$2="",NA(),E606*$B606+J605)</f>
        <v>1381133.6224925949</v>
      </c>
      <c r="K606" s="49" t="e">
        <f>IF(K$2="",NA(),F606*$B606+K605)</f>
        <v>#N/A</v>
      </c>
    </row>
    <row r="607" spans="1:11" x14ac:dyDescent="0.4">
      <c r="A607" s="49">
        <v>604</v>
      </c>
      <c r="B607" s="49">
        <f>A607/$B$1</f>
        <v>25.166666666666668</v>
      </c>
      <c r="C607" s="49">
        <f>(('Input and Output'!B$23*'Input and Output'!$B$10)+('Input and Output'!B$24*Calculations!$C$5)+('Input and Output'!B$25*Calculations!$C$6)+('Input and Output'!B$26*(IF('Input and Output'!D$7="Detritus",Calculations!$C$4,G607))-(SUM('Input and Output'!B$27:B$32))*H606))</f>
        <v>0.19600391936370443</v>
      </c>
      <c r="D607" s="49">
        <f>(('Input and Output'!C$23*'Input and Output'!$B$10)+('Input and Output'!C$24*Calculations!$C$5)+('Input and Output'!C$25*Calculations!$C$6)+('Input and Output'!C$26*(IF('Input and Output'!E$7="Detritus",Calculations!$C$4,H607))-(SUM('Input and Output'!C$27:C$32))*I606))</f>
        <v>1.6544959207203647</v>
      </c>
      <c r="E607" s="49">
        <f>(('Input and Output'!D$23*'Input and Output'!$B$10)+('Input and Output'!D$24*Calculations!$C$5)+('Input and Output'!D$25*Calculations!$C$6)+('Input and Output'!D$26*(IF('Input and Output'!F$7="Detritus",Calculations!$C$4,I607))-(SUM('Input and Output'!D$27:D$32))*J606))</f>
        <v>0.72879006833318272</v>
      </c>
      <c r="F607" s="49" t="e">
        <f>(('Input and Output'!E$23*'Input and Output'!$B$10)+('Input and Output'!E$24*Calculations!$C$5)+('Input and Output'!E$25*Calculations!$C$6)+('Input and Output'!E$26*(IF('Input and Output'!G$7="Detritus",Calculations!$C$4,J607))-(SUM('Input and Output'!E$27:E$32))*K606))</f>
        <v>#N/A</v>
      </c>
      <c r="H607" s="49">
        <f>IF(H$2="",NA(),C607*$B607+H606)</f>
        <v>324282.41030462011</v>
      </c>
      <c r="I607" s="49">
        <f>IF(I$2="",NA(),D607*$B607+I606)</f>
        <v>2971490.8992261379</v>
      </c>
      <c r="J607" s="49">
        <f>IF(J$2="",NA(),E607*$B607+J606)</f>
        <v>1381151.9637093146</v>
      </c>
      <c r="K607" s="49" t="e">
        <f>IF(K$2="",NA(),F607*$B607+K606)</f>
        <v>#N/A</v>
      </c>
    </row>
    <row r="608" spans="1:11" x14ac:dyDescent="0.4">
      <c r="A608" s="49">
        <v>605</v>
      </c>
      <c r="B608" s="49">
        <f>A608/$B$1</f>
        <v>25.208333333333332</v>
      </c>
      <c r="C608" s="49">
        <f>(('Input and Output'!B$23*'Input and Output'!$B$10)+('Input and Output'!B$24*Calculations!$C$5)+('Input and Output'!B$25*Calculations!$C$6)+('Input and Output'!B$26*(IF('Input and Output'!D$7="Detritus",Calculations!$C$4,G608))-(SUM('Input and Output'!B$27:B$32))*H607))</f>
        <v>0.1912481707686311</v>
      </c>
      <c r="D608" s="49">
        <f>(('Input and Output'!C$23*'Input and Output'!$B$10)+('Input and Output'!C$24*Calculations!$C$5)+('Input and Output'!C$25*Calculations!$C$6)+('Input and Output'!C$26*(IF('Input and Output'!E$7="Detritus",Calculations!$C$4,H608))-(SUM('Input and Output'!C$27:C$32))*I607))</f>
        <v>1.6142787510880225</v>
      </c>
      <c r="E608" s="49">
        <f>(('Input and Output'!D$23*'Input and Output'!$B$10)+('Input and Output'!D$24*Calculations!$C$5)+('Input and Output'!D$25*Calculations!$C$6)+('Input and Output'!D$26*(IF('Input and Output'!F$7="Detritus",Calculations!$C$4,I608))-(SUM('Input and Output'!D$27:D$32))*J607))</f>
        <v>0.71104348448352539</v>
      </c>
      <c r="F608" s="49" t="e">
        <f>(('Input and Output'!E$23*'Input and Output'!$B$10)+('Input and Output'!E$24*Calculations!$C$5)+('Input and Output'!E$25*Calculations!$C$6)+('Input and Output'!E$26*(IF('Input and Output'!G$7="Detritus",Calculations!$C$4,J608))-(SUM('Input and Output'!E$27:E$32))*K607))</f>
        <v>#N/A</v>
      </c>
      <c r="H608" s="49">
        <f>IF(H$2="",NA(),C608*$B608+H607)</f>
        <v>324287.23135225824</v>
      </c>
      <c r="I608" s="49">
        <f>IF(I$2="",NA(),D608*$B608+I607)</f>
        <v>2971531.5925029884</v>
      </c>
      <c r="J608" s="49">
        <f>IF(J$2="",NA(),E608*$B608+J607)</f>
        <v>1381169.8879304859</v>
      </c>
      <c r="K608" s="49" t="e">
        <f>IF(K$2="",NA(),F608*$B608+K607)</f>
        <v>#N/A</v>
      </c>
    </row>
    <row r="609" spans="1:11" x14ac:dyDescent="0.4">
      <c r="A609" s="49">
        <v>606</v>
      </c>
      <c r="B609" s="49">
        <f>A609/$B$1</f>
        <v>25.25</v>
      </c>
      <c r="C609" s="49">
        <f>(('Input and Output'!B$23*'Input and Output'!$B$10)+('Input and Output'!B$24*Calculations!$C$5)+('Input and Output'!B$25*Calculations!$C$6)+('Input and Output'!B$26*(IF('Input and Output'!D$7="Detritus",Calculations!$C$4,G609))-(SUM('Input and Output'!B$27:B$32))*H608))</f>
        <v>0.18660013075077586</v>
      </c>
      <c r="D609" s="49">
        <f>(('Input and Output'!C$23*'Input and Output'!$B$10)+('Input and Output'!C$24*Calculations!$C$5)+('Input and Output'!C$25*Calculations!$C$6)+('Input and Output'!C$26*(IF('Input and Output'!E$7="Detritus",Calculations!$C$4,H609))-(SUM('Input and Output'!C$27:C$32))*I608))</f>
        <v>1.5749743491869594</v>
      </c>
      <c r="E609" s="49">
        <f>(('Input and Output'!D$23*'Input and Output'!$B$10)+('Input and Output'!D$24*Calculations!$C$5)+('Input and Output'!D$25*Calculations!$C$6)+('Input and Output'!D$26*(IF('Input and Output'!F$7="Detritus",Calculations!$C$4,I609))-(SUM('Input and Output'!D$27:D$32))*J608))</f>
        <v>0.69370049698409275</v>
      </c>
      <c r="F609" s="49" t="e">
        <f>(('Input and Output'!E$23*'Input and Output'!$B$10)+('Input and Output'!E$24*Calculations!$C$5)+('Input and Output'!E$25*Calculations!$C$6)+('Input and Output'!E$26*(IF('Input and Output'!G$7="Detritus",Calculations!$C$4,J609))-(SUM('Input and Output'!E$27:E$32))*K608))</f>
        <v>#N/A</v>
      </c>
      <c r="H609" s="49">
        <f>IF(H$2="",NA(),C609*$B609+H608)</f>
        <v>324291.94300555967</v>
      </c>
      <c r="I609" s="49">
        <f>IF(I$2="",NA(),D609*$B609+I608)</f>
        <v>2971571.3606053055</v>
      </c>
      <c r="J609" s="49">
        <f>IF(J$2="",NA(),E609*$B609+J608)</f>
        <v>1381187.4038680347</v>
      </c>
      <c r="K609" s="49" t="e">
        <f>IF(K$2="",NA(),F609*$B609+K608)</f>
        <v>#N/A</v>
      </c>
    </row>
    <row r="610" spans="1:11" x14ac:dyDescent="0.4">
      <c r="A610" s="49">
        <v>607</v>
      </c>
      <c r="B610" s="49">
        <f>A610/$B$1</f>
        <v>25.291666666666668</v>
      </c>
      <c r="C610" s="49">
        <f>(('Input and Output'!B$23*'Input and Output'!$B$10)+('Input and Output'!B$24*Calculations!$C$5)+('Input and Output'!B$25*Calculations!$C$6)+('Input and Output'!B$26*(IF('Input and Output'!D$7="Detritus",Calculations!$C$4,G610))-(SUM('Input and Output'!B$27:B$32))*H609))</f>
        <v>0.18205755935565548</v>
      </c>
      <c r="D610" s="49">
        <f>(('Input and Output'!C$23*'Input and Output'!$B$10)+('Input and Output'!C$24*Calculations!$C$5)+('Input and Output'!C$25*Calculations!$C$6)+('Input and Output'!C$26*(IF('Input and Output'!E$7="Detritus",Calculations!$C$4,H610))-(SUM('Input and Output'!C$27:C$32))*I609))</f>
        <v>1.536563684138855</v>
      </c>
      <c r="E610" s="49">
        <f>(('Input and Output'!D$23*'Input and Output'!$B$10)+('Input and Output'!D$24*Calculations!$C$5)+('Input and Output'!D$25*Calculations!$C$6)+('Input and Output'!D$26*(IF('Input and Output'!F$7="Detritus",Calculations!$C$4,I610))-(SUM('Input and Output'!D$27:D$32))*J609))</f>
        <v>0.67675267033700948</v>
      </c>
      <c r="F610" s="49" t="e">
        <f>(('Input and Output'!E$23*'Input and Output'!$B$10)+('Input and Output'!E$24*Calculations!$C$5)+('Input and Output'!E$25*Calculations!$C$6)+('Input and Output'!E$26*(IF('Input and Output'!G$7="Detritus",Calculations!$C$4,J610))-(SUM('Input and Output'!E$27:E$32))*K609))</f>
        <v>#N/A</v>
      </c>
      <c r="H610" s="49">
        <f>IF(H$2="",NA(),C610*$B610+H609)</f>
        <v>324296.54754466505</v>
      </c>
      <c r="I610" s="49">
        <f>IF(I$2="",NA(),D610*$B610+I609)</f>
        <v>2971610.2228618166</v>
      </c>
      <c r="J610" s="49">
        <f>IF(J$2="",NA(),E610*$B610+J609)</f>
        <v>1381204.5200709887</v>
      </c>
      <c r="K610" s="49" t="e">
        <f>IF(K$2="",NA(),F610*$B610+K609)</f>
        <v>#N/A</v>
      </c>
    </row>
    <row r="611" spans="1:11" x14ac:dyDescent="0.4">
      <c r="A611" s="49">
        <v>608</v>
      </c>
      <c r="B611" s="49">
        <f>A611/$B$1</f>
        <v>25.333333333333332</v>
      </c>
      <c r="C611" s="49">
        <f>(('Input and Output'!B$23*'Input and Output'!$B$10)+('Input and Output'!B$24*Calculations!$C$5)+('Input and Output'!B$25*Calculations!$C$6)+('Input and Output'!B$26*(IF('Input and Output'!D$7="Detritus",Calculations!$C$4,G611))-(SUM('Input and Output'!B$27:B$32))*H610))</f>
        <v>0.17761825826755739</v>
      </c>
      <c r="D611" s="49">
        <f>(('Input and Output'!C$23*'Input and Output'!$B$10)+('Input and Output'!C$24*Calculations!$C$5)+('Input and Output'!C$25*Calculations!$C$6)+('Input and Output'!C$26*(IF('Input and Output'!E$7="Detritus",Calculations!$C$4,H611))-(SUM('Input and Output'!C$27:C$32))*I610))</f>
        <v>1.4990280800120672</v>
      </c>
      <c r="E611" s="49">
        <f>(('Input and Output'!D$23*'Input and Output'!$B$10)+('Input and Output'!D$24*Calculations!$C$5)+('Input and Output'!D$25*Calculations!$C$6)+('Input and Output'!D$26*(IF('Input and Output'!F$7="Detritus",Calculations!$C$4,I611))-(SUM('Input and Output'!D$27:D$32))*J610))</f>
        <v>0.66019172703454387</v>
      </c>
      <c r="F611" s="49" t="e">
        <f>(('Input and Output'!E$23*'Input and Output'!$B$10)+('Input and Output'!E$24*Calculations!$C$5)+('Input and Output'!E$25*Calculations!$C$6)+('Input and Output'!E$26*(IF('Input and Output'!G$7="Detritus",Calculations!$C$4,J611))-(SUM('Input and Output'!E$27:E$32))*K610))</f>
        <v>#N/A</v>
      </c>
      <c r="H611" s="49">
        <f>IF(H$2="",NA(),C611*$B611+H610)</f>
        <v>324301.04720720783</v>
      </c>
      <c r="I611" s="49">
        <f>IF(I$2="",NA(),D611*$B611+I610)</f>
        <v>2971648.1982398438</v>
      </c>
      <c r="J611" s="49">
        <f>IF(J$2="",NA(),E611*$B611+J610)</f>
        <v>1381221.2449280736</v>
      </c>
      <c r="K611" s="49" t="e">
        <f>IF(K$2="",NA(),F611*$B611+K610)</f>
        <v>#N/A</v>
      </c>
    </row>
    <row r="612" spans="1:11" x14ac:dyDescent="0.4">
      <c r="A612" s="49">
        <v>609</v>
      </c>
      <c r="B612" s="49">
        <f>A612/$B$1</f>
        <v>25.375</v>
      </c>
      <c r="C612" s="49">
        <f>(('Input and Output'!B$23*'Input and Output'!$B$10)+('Input and Output'!B$24*Calculations!$C$5)+('Input and Output'!B$25*Calculations!$C$6)+('Input and Output'!B$26*(IF('Input and Output'!D$7="Detritus",Calculations!$C$4,G612))-(SUM('Input and Output'!B$27:B$32))*H611))</f>
        <v>0.17328007015254343</v>
      </c>
      <c r="D612" s="49">
        <f>(('Input and Output'!C$23*'Input and Output'!$B$10)+('Input and Output'!C$24*Calculations!$C$5)+('Input and Output'!C$25*Calculations!$C$6)+('Input and Output'!C$26*(IF('Input and Output'!E$7="Detritus",Calculations!$C$4,H612))-(SUM('Input and Output'!C$27:C$32))*I611))</f>
        <v>1.4623492101782176</v>
      </c>
      <c r="E612" s="49">
        <f>(('Input and Output'!D$23*'Input and Output'!$B$10)+('Input and Output'!D$24*Calculations!$C$5)+('Input and Output'!D$25*Calculations!$C$6)+('Input and Output'!D$26*(IF('Input and Output'!F$7="Detritus",Calculations!$C$4,I612))-(SUM('Input and Output'!D$27:D$32))*J611))</f>
        <v>0.64400954466327676</v>
      </c>
      <c r="F612" s="49" t="e">
        <f>(('Input and Output'!E$23*'Input and Output'!$B$10)+('Input and Output'!E$24*Calculations!$C$5)+('Input and Output'!E$25*Calculations!$C$6)+('Input and Output'!E$26*(IF('Input and Output'!G$7="Detritus",Calculations!$C$4,J612))-(SUM('Input and Output'!E$27:E$32))*K611))</f>
        <v>#N/A</v>
      </c>
      <c r="H612" s="49">
        <f>IF(H$2="",NA(),C612*$B612+H611)</f>
        <v>324305.44418898795</v>
      </c>
      <c r="I612" s="49">
        <f>IF(I$2="",NA(),D612*$B612+I611)</f>
        <v>2971685.305351052</v>
      </c>
      <c r="J612" s="49">
        <f>IF(J$2="",NA(),E612*$B612+J611)</f>
        <v>1381237.5866702695</v>
      </c>
      <c r="K612" s="49" t="e">
        <f>IF(K$2="",NA(),F612*$B612+K611)</f>
        <v>#N/A</v>
      </c>
    </row>
    <row r="613" spans="1:11" x14ac:dyDescent="0.4">
      <c r="A613" s="49">
        <v>610</v>
      </c>
      <c r="B613" s="49">
        <f>A613/$B$1</f>
        <v>25.416666666666668</v>
      </c>
      <c r="C613" s="49">
        <f>(('Input and Output'!B$23*'Input and Output'!$B$10)+('Input and Output'!B$24*Calculations!$C$5)+('Input and Output'!B$25*Calculations!$C$6)+('Input and Output'!B$26*(IF('Input and Output'!D$7="Detritus",Calculations!$C$4,G613))-(SUM('Input and Output'!B$27:B$32))*H612))</f>
        <v>0.16904087800890011</v>
      </c>
      <c r="D613" s="49">
        <f>(('Input and Output'!C$23*'Input and Output'!$B$10)+('Input and Output'!C$24*Calculations!$C$5)+('Input and Output'!C$25*Calculations!$C$6)+('Input and Output'!C$26*(IF('Input and Output'!E$7="Detritus",Calculations!$C$4,H613))-(SUM('Input and Output'!C$27:C$32))*I612))</f>
        <v>1.4265090917751877</v>
      </c>
      <c r="E613" s="49">
        <f>(('Input and Output'!D$23*'Input and Output'!$B$10)+('Input and Output'!D$24*Calculations!$C$5)+('Input and Output'!D$25*Calculations!$C$6)+('Input and Output'!D$26*(IF('Input and Output'!F$7="Detritus",Calculations!$C$4,I613))-(SUM('Input and Output'!D$27:D$32))*J612))</f>
        <v>0.62819815388138522</v>
      </c>
      <c r="F613" s="49" t="e">
        <f>(('Input and Output'!E$23*'Input and Output'!$B$10)+('Input and Output'!E$24*Calculations!$C$5)+('Input and Output'!E$25*Calculations!$C$6)+('Input and Output'!E$26*(IF('Input and Output'!G$7="Detritus",Calculations!$C$4,J613))-(SUM('Input and Output'!E$27:E$32))*K612))</f>
        <v>#N/A</v>
      </c>
      <c r="H613" s="49">
        <f>IF(H$2="",NA(),C613*$B613+H612)</f>
        <v>324309.74064463732</v>
      </c>
      <c r="I613" s="49">
        <f>IF(I$2="",NA(),D613*$B613+I612)</f>
        <v>2971721.5624571345</v>
      </c>
      <c r="J613" s="49">
        <f>IF(J$2="",NA(),E613*$B613+J612)</f>
        <v>1381253.5533733473</v>
      </c>
      <c r="K613" s="49" t="e">
        <f>IF(K$2="",NA(),F613*$B613+K612)</f>
        <v>#N/A</v>
      </c>
    </row>
    <row r="614" spans="1:11" x14ac:dyDescent="0.4">
      <c r="A614" s="49">
        <v>611</v>
      </c>
      <c r="B614" s="49">
        <f>A614/$B$1</f>
        <v>25.458333333333332</v>
      </c>
      <c r="C614" s="49">
        <f>(('Input and Output'!B$23*'Input and Output'!$B$10)+('Input and Output'!B$24*Calculations!$C$5)+('Input and Output'!B$25*Calculations!$C$6)+('Input and Output'!B$26*(IF('Input and Output'!D$7="Detritus",Calculations!$C$4,G614))-(SUM('Input and Output'!B$27:B$32))*H613))</f>
        <v>0.16489860452554694</v>
      </c>
      <c r="D614" s="49">
        <f>(('Input and Output'!C$23*'Input and Output'!$B$10)+('Input and Output'!C$24*Calculations!$C$5)+('Input and Output'!C$25*Calculations!$C$6)+('Input and Output'!C$26*(IF('Input and Output'!E$7="Detritus",Calculations!$C$4,H614))-(SUM('Input and Output'!C$27:C$32))*I613))</f>
        <v>1.3914900801855765</v>
      </c>
      <c r="E614" s="49">
        <f>(('Input and Output'!D$23*'Input and Output'!$B$10)+('Input and Output'!D$24*Calculations!$C$5)+('Input and Output'!D$25*Calculations!$C$6)+('Input and Output'!D$26*(IF('Input and Output'!F$7="Detritus",Calculations!$C$4,I614))-(SUM('Input and Output'!D$27:D$32))*J613))</f>
        <v>0.61274973547915579</v>
      </c>
      <c r="F614" s="49" t="e">
        <f>(('Input and Output'!E$23*'Input and Output'!$B$10)+('Input and Output'!E$24*Calculations!$C$5)+('Input and Output'!E$25*Calculations!$C$6)+('Input and Output'!E$26*(IF('Input and Output'!G$7="Detritus",Calculations!$C$4,J614))-(SUM('Input and Output'!E$27:E$32))*K613))</f>
        <v>#N/A</v>
      </c>
      <c r="H614" s="49">
        <f>IF(H$2="",NA(),C614*$B614+H613)</f>
        <v>324313.93868827756</v>
      </c>
      <c r="I614" s="49">
        <f>IF(I$2="",NA(),D614*$B614+I613)</f>
        <v>2971756.9874754259</v>
      </c>
      <c r="J614" s="49">
        <f>IF(J$2="",NA(),E614*$B614+J613)</f>
        <v>1381269.1529603631</v>
      </c>
      <c r="K614" s="49" t="e">
        <f>IF(K$2="",NA(),F614*$B614+K613)</f>
        <v>#N/A</v>
      </c>
    </row>
    <row r="615" spans="1:11" x14ac:dyDescent="0.4">
      <c r="A615" s="49">
        <v>612</v>
      </c>
      <c r="B615" s="49">
        <f>A615/$B$1</f>
        <v>25.5</v>
      </c>
      <c r="C615" s="49">
        <f>(('Input and Output'!B$23*'Input and Output'!$B$10)+('Input and Output'!B$24*Calculations!$C$5)+('Input and Output'!B$25*Calculations!$C$6)+('Input and Output'!B$26*(IF('Input and Output'!D$7="Detritus",Calculations!$C$4,G615))-(SUM('Input and Output'!B$27:B$32))*H614))</f>
        <v>0.16085121144811865</v>
      </c>
      <c r="D615" s="49">
        <f>(('Input and Output'!C$23*'Input and Output'!$B$10)+('Input and Output'!C$24*Calculations!$C$5)+('Input and Output'!C$25*Calculations!$C$6)+('Input and Output'!C$26*(IF('Input and Output'!E$7="Detritus",Calculations!$C$4,H615))-(SUM('Input and Output'!C$27:C$32))*I614))</f>
        <v>1.3572748636242977</v>
      </c>
      <c r="E615" s="49">
        <f>(('Input and Output'!D$23*'Input and Output'!$B$10)+('Input and Output'!D$24*Calculations!$C$5)+('Input and Output'!D$25*Calculations!$C$6)+('Input and Output'!D$26*(IF('Input and Output'!F$7="Detritus",Calculations!$C$4,I615))-(SUM('Input and Output'!D$27:D$32))*J614))</f>
        <v>0.59765661837082007</v>
      </c>
      <c r="F615" s="49" t="e">
        <f>(('Input and Output'!E$23*'Input and Output'!$B$10)+('Input and Output'!E$24*Calculations!$C$5)+('Input and Output'!E$25*Calculations!$C$6)+('Input and Output'!E$26*(IF('Input and Output'!G$7="Detritus",Calculations!$C$4,J615))-(SUM('Input and Output'!E$27:E$32))*K614))</f>
        <v>#N/A</v>
      </c>
      <c r="H615" s="49">
        <f>IF(H$2="",NA(),C615*$B615+H614)</f>
        <v>324318.04039416951</v>
      </c>
      <c r="I615" s="49">
        <f>IF(I$2="",NA(),D615*$B615+I614)</f>
        <v>2971791.5979844485</v>
      </c>
      <c r="J615" s="49">
        <f>IF(J$2="",NA(),E615*$B615+J614)</f>
        <v>1381284.3932041316</v>
      </c>
      <c r="K615" s="49" t="e">
        <f>IF(K$2="",NA(),F615*$B615+K614)</f>
        <v>#N/A</v>
      </c>
    </row>
    <row r="616" spans="1:11" x14ac:dyDescent="0.4">
      <c r="A616" s="49">
        <v>613</v>
      </c>
      <c r="B616" s="49">
        <f>A616/$B$1</f>
        <v>25.541666666666668</v>
      </c>
      <c r="C616" s="49">
        <f>(('Input and Output'!B$23*'Input and Output'!$B$10)+('Input and Output'!B$24*Calculations!$C$5)+('Input and Output'!B$25*Calculations!$C$6)+('Input and Output'!B$26*(IF('Input and Output'!D$7="Detritus",Calculations!$C$4,G616))-(SUM('Input and Output'!B$27:B$32))*H615))</f>
        <v>0.15689669895238012</v>
      </c>
      <c r="D616" s="49">
        <f>(('Input and Output'!C$23*'Input and Output'!$B$10)+('Input and Output'!C$24*Calculations!$C$5)+('Input and Output'!C$25*Calculations!$C$6)+('Input and Output'!C$26*(IF('Input and Output'!E$7="Detritus",Calculations!$C$4,H616))-(SUM('Input and Output'!C$27:C$32))*I615))</f>
        <v>1.3238464577680134</v>
      </c>
      <c r="E616" s="49">
        <f>(('Input and Output'!D$23*'Input and Output'!$B$10)+('Input and Output'!D$24*Calculations!$C$5)+('Input and Output'!D$25*Calculations!$C$6)+('Input and Output'!D$26*(IF('Input and Output'!F$7="Detritus",Calculations!$C$4,I616))-(SUM('Input and Output'!D$27:D$32))*J615))</f>
        <v>0.5829112769170024</v>
      </c>
      <c r="F616" s="49" t="e">
        <f>(('Input and Output'!E$23*'Input and Output'!$B$10)+('Input and Output'!E$24*Calculations!$C$5)+('Input and Output'!E$25*Calculations!$C$6)+('Input and Output'!E$26*(IF('Input and Output'!G$7="Detritus",Calculations!$C$4,J616))-(SUM('Input and Output'!E$27:E$32))*K615))</f>
        <v>#N/A</v>
      </c>
      <c r="H616" s="49">
        <f>IF(H$2="",NA(),C616*$B616+H615)</f>
        <v>324322.04779735528</v>
      </c>
      <c r="I616" s="49">
        <f>IF(I$2="",NA(),D616*$B616+I615)</f>
        <v>2971825.4112293907</v>
      </c>
      <c r="J616" s="49">
        <f>IF(J$2="",NA(),E616*$B616+J615)</f>
        <v>1381299.2817296628</v>
      </c>
      <c r="K616" s="49" t="e">
        <f>IF(K$2="",NA(),F616*$B616+K615)</f>
        <v>#N/A</v>
      </c>
    </row>
    <row r="617" spans="1:11" x14ac:dyDescent="0.4">
      <c r="A617" s="49">
        <v>614</v>
      </c>
      <c r="B617" s="49">
        <f>A617/$B$1</f>
        <v>25.583333333333332</v>
      </c>
      <c r="C617" s="49">
        <f>(('Input and Output'!B$23*'Input and Output'!$B$10)+('Input and Output'!B$24*Calculations!$C$5)+('Input and Output'!B$25*Calculations!$C$6)+('Input and Output'!B$26*(IF('Input and Output'!D$7="Detritus",Calculations!$C$4,G617))-(SUM('Input and Output'!B$27:B$32))*H616))</f>
        <v>0.15303310502565637</v>
      </c>
      <c r="D617" s="49">
        <f>(('Input and Output'!C$23*'Input and Output'!$B$10)+('Input and Output'!C$24*Calculations!$C$5)+('Input and Output'!C$25*Calculations!$C$6)+('Input and Output'!C$26*(IF('Input and Output'!E$7="Detritus",Calculations!$C$4,H617))-(SUM('Input and Output'!C$27:C$32))*I616))</f>
        <v>1.2911882004609652</v>
      </c>
      <c r="E617" s="49">
        <f>(('Input and Output'!D$23*'Input and Output'!$B$10)+('Input and Output'!D$24*Calculations!$C$5)+('Input and Output'!D$25*Calculations!$C$6)+('Input and Output'!D$26*(IF('Input and Output'!F$7="Detritus",Calculations!$C$4,I617))-(SUM('Input and Output'!D$27:D$32))*J616))</f>
        <v>0.56850632874193252</v>
      </c>
      <c r="F617" s="49" t="e">
        <f>(('Input and Output'!E$23*'Input and Output'!$B$10)+('Input and Output'!E$24*Calculations!$C$5)+('Input and Output'!E$25*Calculations!$C$6)+('Input and Output'!E$26*(IF('Input and Output'!G$7="Detritus",Calculations!$C$4,J617))-(SUM('Input and Output'!E$27:E$32))*K616))</f>
        <v>#N/A</v>
      </c>
      <c r="H617" s="49">
        <f>IF(H$2="",NA(),C617*$B617+H616)</f>
        <v>324325.9628942922</v>
      </c>
      <c r="I617" s="49">
        <f>IF(I$2="",NA(),D617*$B617+I616)</f>
        <v>2971858.4441275191</v>
      </c>
      <c r="J617" s="49">
        <f>IF(J$2="",NA(),E617*$B617+J616)</f>
        <v>1381313.826016573</v>
      </c>
      <c r="K617" s="49" t="e">
        <f>IF(K$2="",NA(),F617*$B617+K616)</f>
        <v>#N/A</v>
      </c>
    </row>
    <row r="618" spans="1:11" x14ac:dyDescent="0.4">
      <c r="A618" s="49">
        <v>615</v>
      </c>
      <c r="B618" s="49">
        <f>A618/$B$1</f>
        <v>25.625</v>
      </c>
      <c r="C618" s="49">
        <f>(('Input and Output'!B$23*'Input and Output'!$B$10)+('Input and Output'!B$24*Calculations!$C$5)+('Input and Output'!B$25*Calculations!$C$6)+('Input and Output'!B$26*(IF('Input and Output'!D$7="Detritus",Calculations!$C$4,G618))-(SUM('Input and Output'!B$27:B$32))*H617))</f>
        <v>0.14925850485519732</v>
      </c>
      <c r="D618" s="49">
        <f>(('Input and Output'!C$23*'Input and Output'!$B$10)+('Input and Output'!C$24*Calculations!$C$5)+('Input and Output'!C$25*Calculations!$C$6)+('Input and Output'!C$26*(IF('Input and Output'!E$7="Detritus",Calculations!$C$4,H618))-(SUM('Input and Output'!C$27:C$32))*I617))</f>
        <v>1.2592837464753757</v>
      </c>
      <c r="E618" s="49">
        <f>(('Input and Output'!D$23*'Input and Output'!$B$10)+('Input and Output'!D$24*Calculations!$C$5)+('Input and Output'!D$25*Calculations!$C$6)+('Input and Output'!D$26*(IF('Input and Output'!F$7="Detritus",Calculations!$C$4,I618))-(SUM('Input and Output'!D$27:D$32))*J617))</f>
        <v>0.55443453221596428</v>
      </c>
      <c r="F618" s="49" t="e">
        <f>(('Input and Output'!E$23*'Input and Output'!$B$10)+('Input and Output'!E$24*Calculations!$C$5)+('Input and Output'!E$25*Calculations!$C$6)+('Input and Output'!E$26*(IF('Input and Output'!G$7="Detritus",Calculations!$C$4,J618))-(SUM('Input and Output'!E$27:E$32))*K617))</f>
        <v>#N/A</v>
      </c>
      <c r="H618" s="49">
        <f>IF(H$2="",NA(),C618*$B618+H617)</f>
        <v>324329.78764347913</v>
      </c>
      <c r="I618" s="49">
        <f>IF(I$2="",NA(),D618*$B618+I617)</f>
        <v>2971890.7132735224</v>
      </c>
      <c r="J618" s="49">
        <f>IF(J$2="",NA(),E618*$B618+J617)</f>
        <v>1381328.0334014611</v>
      </c>
      <c r="K618" s="49" t="e">
        <f>IF(K$2="",NA(),F618*$B618+K617)</f>
        <v>#N/A</v>
      </c>
    </row>
    <row r="619" spans="1:11" x14ac:dyDescent="0.4">
      <c r="A619" s="49">
        <v>616</v>
      </c>
      <c r="B619" s="49">
        <f>A619/$B$1</f>
        <v>25.666666666666668</v>
      </c>
      <c r="C619" s="49">
        <f>(('Input and Output'!B$23*'Input and Output'!$B$10)+('Input and Output'!B$24*Calculations!$C$5)+('Input and Output'!B$25*Calculations!$C$6)+('Input and Output'!B$26*(IF('Input and Output'!D$7="Detritus",Calculations!$C$4,G619))-(SUM('Input and Output'!B$27:B$32))*H618))</f>
        <v>0.14557101022467123</v>
      </c>
      <c r="D619" s="49">
        <f>(('Input and Output'!C$23*'Input and Output'!$B$10)+('Input and Output'!C$24*Calculations!$C$5)+('Input and Output'!C$25*Calculations!$C$6)+('Input and Output'!C$26*(IF('Input and Output'!E$7="Detritus",Calculations!$C$4,H619))-(SUM('Input and Output'!C$27:C$32))*I618))</f>
        <v>1.2281170623555226</v>
      </c>
      <c r="E619" s="49">
        <f>(('Input and Output'!D$23*'Input and Output'!$B$10)+('Input and Output'!D$24*Calculations!$C$5)+('Input and Output'!D$25*Calculations!$C$6)+('Input and Output'!D$26*(IF('Input and Output'!F$7="Detritus",Calculations!$C$4,I619))-(SUM('Input and Output'!D$27:D$32))*J618))</f>
        <v>0.5406887843455479</v>
      </c>
      <c r="F619" s="49" t="e">
        <f>(('Input and Output'!E$23*'Input and Output'!$B$10)+('Input and Output'!E$24*Calculations!$C$5)+('Input and Output'!E$25*Calculations!$C$6)+('Input and Output'!E$26*(IF('Input and Output'!G$7="Detritus",Calculations!$C$4,J619))-(SUM('Input and Output'!E$27:E$32))*K618))</f>
        <v>#N/A</v>
      </c>
      <c r="H619" s="49">
        <f>IF(H$2="",NA(),C619*$B619+H618)</f>
        <v>324333.52396607486</v>
      </c>
      <c r="I619" s="49">
        <f>IF(I$2="",NA(),D619*$B619+I618)</f>
        <v>2971922.2349447897</v>
      </c>
      <c r="J619" s="49">
        <f>IF(J$2="",NA(),E619*$B619+J618)</f>
        <v>1381341.9110802594</v>
      </c>
      <c r="K619" s="49" t="e">
        <f>IF(K$2="",NA(),F619*$B619+K618)</f>
        <v>#N/A</v>
      </c>
    </row>
    <row r="620" spans="1:11" x14ac:dyDescent="0.4">
      <c r="A620" s="49">
        <v>617</v>
      </c>
      <c r="B620" s="49">
        <f>A620/$B$1</f>
        <v>25.708333333333332</v>
      </c>
      <c r="C620" s="49">
        <f>(('Input and Output'!B$23*'Input and Output'!$B$10)+('Input and Output'!B$24*Calculations!$C$5)+('Input and Output'!B$25*Calculations!$C$6)+('Input and Output'!B$26*(IF('Input and Output'!D$7="Detritus",Calculations!$C$4,G620))-(SUM('Input and Output'!B$27:B$32))*H619))</f>
        <v>0.14196876891776355</v>
      </c>
      <c r="D620" s="49">
        <f>(('Input and Output'!C$23*'Input and Output'!$B$10)+('Input and Output'!C$24*Calculations!$C$5)+('Input and Output'!C$25*Calculations!$C$6)+('Input and Output'!C$26*(IF('Input and Output'!E$7="Detritus",Calculations!$C$4,H620))-(SUM('Input and Output'!C$27:C$32))*I619))</f>
        <v>1.1976724212981935</v>
      </c>
      <c r="E620" s="49">
        <f>(('Input and Output'!D$23*'Input and Output'!$B$10)+('Input and Output'!D$24*Calculations!$C$5)+('Input and Output'!D$25*Calculations!$C$6)+('Input and Output'!D$26*(IF('Input and Output'!F$7="Detritus",Calculations!$C$4,I620))-(SUM('Input and Output'!D$27:D$32))*J619))</f>
        <v>0.52726211841581971</v>
      </c>
      <c r="F620" s="49" t="e">
        <f>(('Input and Output'!E$23*'Input and Output'!$B$10)+('Input and Output'!E$24*Calculations!$C$5)+('Input and Output'!E$25*Calculations!$C$6)+('Input and Output'!E$26*(IF('Input and Output'!G$7="Detritus",Calculations!$C$4,J620))-(SUM('Input and Output'!E$27:E$32))*K619))</f>
        <v>#N/A</v>
      </c>
      <c r="H620" s="49">
        <f>IF(H$2="",NA(),C620*$B620+H619)</f>
        <v>324337.17374650913</v>
      </c>
      <c r="I620" s="49">
        <f>IF(I$2="",NA(),D620*$B620+I619)</f>
        <v>2971953.0251066205</v>
      </c>
      <c r="J620" s="49">
        <f>IF(J$2="",NA(),E620*$B620+J619)</f>
        <v>1381355.4661105536</v>
      </c>
      <c r="K620" s="49" t="e">
        <f>IF(K$2="",NA(),F620*$B620+K619)</f>
        <v>#N/A</v>
      </c>
    </row>
    <row r="621" spans="1:11" x14ac:dyDescent="0.4">
      <c r="A621" s="49">
        <v>618</v>
      </c>
      <c r="B621" s="49">
        <f>A621/$B$1</f>
        <v>25.75</v>
      </c>
      <c r="C621" s="49">
        <f>(('Input and Output'!B$23*'Input and Output'!$B$10)+('Input and Output'!B$24*Calculations!$C$5)+('Input and Output'!B$25*Calculations!$C$6)+('Input and Output'!B$26*(IF('Input and Output'!D$7="Detritus",Calculations!$C$4,G621))-(SUM('Input and Output'!B$27:B$32))*H620))</f>
        <v>0.13844996412922228</v>
      </c>
      <c r="D621" s="49">
        <f>(('Input and Output'!C$23*'Input and Output'!$B$10)+('Input and Output'!C$24*Calculations!$C$5)+('Input and Output'!C$25*Calculations!$C$6)+('Input and Output'!C$26*(IF('Input and Output'!E$7="Detritus",Calculations!$C$4,H621))-(SUM('Input and Output'!C$27:C$32))*I620))</f>
        <v>1.1679343981304555</v>
      </c>
      <c r="E621" s="49">
        <f>(('Input and Output'!D$23*'Input and Output'!$B$10)+('Input and Output'!D$24*Calculations!$C$5)+('Input and Output'!D$25*Calculations!$C$6)+('Input and Output'!D$26*(IF('Input and Output'!F$7="Detritus",Calculations!$C$4,I621))-(SUM('Input and Output'!D$27:D$32))*J620))</f>
        <v>0.51414770160408807</v>
      </c>
      <c r="F621" s="49" t="e">
        <f>(('Input and Output'!E$23*'Input and Output'!$B$10)+('Input and Output'!E$24*Calculations!$C$5)+('Input and Output'!E$25*Calculations!$C$6)+('Input and Output'!E$26*(IF('Input and Output'!G$7="Detritus",Calculations!$C$4,J621))-(SUM('Input and Output'!E$27:E$32))*K620))</f>
        <v>#N/A</v>
      </c>
      <c r="H621" s="49">
        <f>IF(H$2="",NA(),C621*$B621+H620)</f>
        <v>324340.73883308546</v>
      </c>
      <c r="I621" s="49">
        <f>IF(I$2="",NA(),D621*$B621+I620)</f>
        <v>2971983.0994173721</v>
      </c>
      <c r="J621" s="49">
        <f>IF(J$2="",NA(),E621*$B621+J620)</f>
        <v>1381368.7054138698</v>
      </c>
      <c r="K621" s="49" t="e">
        <f>IF(K$2="",NA(),F621*$B621+K620)</f>
        <v>#N/A</v>
      </c>
    </row>
    <row r="622" spans="1:11" x14ac:dyDescent="0.4">
      <c r="A622" s="49">
        <v>619</v>
      </c>
      <c r="B622" s="49">
        <f>A622/$B$1</f>
        <v>25.791666666666668</v>
      </c>
      <c r="C622" s="49">
        <f>(('Input and Output'!B$23*'Input and Output'!$B$10)+('Input and Output'!B$24*Calculations!$C$5)+('Input and Output'!B$25*Calculations!$C$6)+('Input and Output'!B$26*(IF('Input and Output'!D$7="Detritus",Calculations!$C$4,G622))-(SUM('Input and Output'!B$27:B$32))*H621))</f>
        <v>0.13501281388352027</v>
      </c>
      <c r="D622" s="49">
        <f>(('Input and Output'!C$23*'Input and Output'!$B$10)+('Input and Output'!C$24*Calculations!$C$5)+('Input and Output'!C$25*Calculations!$C$6)+('Input and Output'!C$26*(IF('Input and Output'!E$7="Detritus",Calculations!$C$4,H622))-(SUM('Input and Output'!C$27:C$32))*I621))</f>
        <v>1.1388878643192584</v>
      </c>
      <c r="E622" s="49">
        <f>(('Input and Output'!D$23*'Input and Output'!$B$10)+('Input and Output'!D$24*Calculations!$C$5)+('Input and Output'!D$25*Calculations!$C$6)+('Input and Output'!D$26*(IF('Input and Output'!F$7="Detritus",Calculations!$C$4,I622))-(SUM('Input and Output'!D$27:D$32))*J621))</f>
        <v>0.5013388330298767</v>
      </c>
      <c r="F622" s="49" t="e">
        <f>(('Input and Output'!E$23*'Input and Output'!$B$10)+('Input and Output'!E$24*Calculations!$C$5)+('Input and Output'!E$25*Calculations!$C$6)+('Input and Output'!E$26*(IF('Input and Output'!G$7="Detritus",Calculations!$C$4,J622))-(SUM('Input and Output'!E$27:E$32))*K621))</f>
        <v>#N/A</v>
      </c>
      <c r="H622" s="49">
        <f>IF(H$2="",NA(),C622*$B622+H621)</f>
        <v>324344.22103857686</v>
      </c>
      <c r="I622" s="49">
        <f>IF(I$2="",NA(),D622*$B622+I621)</f>
        <v>2972012.4732335391</v>
      </c>
      <c r="J622" s="49">
        <f>IF(J$2="",NA(),E622*$B622+J621)</f>
        <v>1381381.6357779384</v>
      </c>
      <c r="K622" s="49" t="e">
        <f>IF(K$2="",NA(),F622*$B622+K621)</f>
        <v>#N/A</v>
      </c>
    </row>
    <row r="623" spans="1:11" x14ac:dyDescent="0.4">
      <c r="A623" s="49">
        <v>620</v>
      </c>
      <c r="B623" s="49">
        <f>A623/$B$1</f>
        <v>25.833333333333332</v>
      </c>
      <c r="C623" s="49">
        <f>(('Input and Output'!B$23*'Input and Output'!$B$10)+('Input and Output'!B$24*Calculations!$C$5)+('Input and Output'!B$25*Calculations!$C$6)+('Input and Output'!B$26*(IF('Input and Output'!D$7="Detritus",Calculations!$C$4,G623))-(SUM('Input and Output'!B$27:B$32))*H622))</f>
        <v>0.13165557046062304</v>
      </c>
      <c r="D623" s="49">
        <f>(('Input and Output'!C$23*'Input and Output'!$B$10)+('Input and Output'!C$24*Calculations!$C$5)+('Input and Output'!C$25*Calculations!$C$6)+('Input and Output'!C$26*(IF('Input and Output'!E$7="Detritus",Calculations!$C$4,H623))-(SUM('Input and Output'!C$27:C$32))*I622))</f>
        <v>1.1105179830692578</v>
      </c>
      <c r="E623" s="49">
        <f>(('Input and Output'!D$23*'Input and Output'!$B$10)+('Input and Output'!D$24*Calculations!$C$5)+('Input and Output'!D$25*Calculations!$C$6)+('Input and Output'!D$26*(IF('Input and Output'!F$7="Detritus",Calculations!$C$4,I623))-(SUM('Input and Output'!D$27:D$32))*J622))</f>
        <v>0.48882894129565102</v>
      </c>
      <c r="F623" s="49" t="e">
        <f>(('Input and Output'!E$23*'Input and Output'!$B$10)+('Input and Output'!E$24*Calculations!$C$5)+('Input and Output'!E$25*Calculations!$C$6)+('Input and Output'!E$26*(IF('Input and Output'!G$7="Detritus",Calculations!$C$4,J623))-(SUM('Input and Output'!E$27:E$32))*K622))</f>
        <v>#N/A</v>
      </c>
      <c r="H623" s="49">
        <f>IF(H$2="",NA(),C623*$B623+H622)</f>
        <v>324347.62214081374</v>
      </c>
      <c r="I623" s="49">
        <f>IF(I$2="",NA(),D623*$B623+I622)</f>
        <v>2972041.1616147682</v>
      </c>
      <c r="J623" s="49">
        <f>IF(J$2="",NA(),E623*$B623+J622)</f>
        <v>1381394.2638589218</v>
      </c>
      <c r="K623" s="49" t="e">
        <f>IF(K$2="",NA(),F623*$B623+K622)</f>
        <v>#N/A</v>
      </c>
    </row>
    <row r="624" spans="1:11" x14ac:dyDescent="0.4">
      <c r="A624" s="49">
        <v>621</v>
      </c>
      <c r="B624" s="49">
        <f>A624/$B$1</f>
        <v>25.875</v>
      </c>
      <c r="C624" s="49">
        <f>(('Input and Output'!B$23*'Input and Output'!$B$10)+('Input and Output'!B$24*Calculations!$C$5)+('Input and Output'!B$25*Calculations!$C$6)+('Input and Output'!B$26*(IF('Input and Output'!D$7="Detritus",Calculations!$C$4,G624))-(SUM('Input and Output'!B$27:B$32))*H623))</f>
        <v>0.12837651982920306</v>
      </c>
      <c r="D624" s="49">
        <f>(('Input and Output'!C$23*'Input and Output'!$B$10)+('Input and Output'!C$24*Calculations!$C$5)+('Input and Output'!C$25*Calculations!$C$6)+('Input and Output'!C$26*(IF('Input and Output'!E$7="Detritus",Calculations!$C$4,H624))-(SUM('Input and Output'!C$27:C$32))*I623))</f>
        <v>1.0828102044652042</v>
      </c>
      <c r="E624" s="49">
        <f>(('Input and Output'!D$23*'Input and Output'!$B$10)+('Input and Output'!D$24*Calculations!$C$5)+('Input and Output'!D$25*Calculations!$C$6)+('Input and Output'!D$26*(IF('Input and Output'!F$7="Detritus",Calculations!$C$4,I624))-(SUM('Input and Output'!D$27:D$32))*J623))</f>
        <v>0.47661158255141345</v>
      </c>
      <c r="F624" s="49" t="e">
        <f>(('Input and Output'!E$23*'Input and Output'!$B$10)+('Input and Output'!E$24*Calculations!$C$5)+('Input and Output'!E$25*Calculations!$C$6)+('Input and Output'!E$26*(IF('Input and Output'!G$7="Detritus",Calculations!$C$4,J624))-(SUM('Input and Output'!E$27:E$32))*K623))</f>
        <v>#N/A</v>
      </c>
      <c r="H624" s="49">
        <f>IF(H$2="",NA(),C624*$B624+H623)</f>
        <v>324350.94388326432</v>
      </c>
      <c r="I624" s="49">
        <f>IF(I$2="",NA(),D624*$B624+I623)</f>
        <v>2972069.1793288086</v>
      </c>
      <c r="J624" s="49">
        <f>IF(J$2="",NA(),E624*$B624+J623)</f>
        <v>1381406.5961836204</v>
      </c>
      <c r="K624" s="49" t="e">
        <f>IF(K$2="",NA(),F624*$B624+K623)</f>
        <v>#N/A</v>
      </c>
    </row>
    <row r="625" spans="1:11" x14ac:dyDescent="0.4">
      <c r="A625" s="49">
        <v>622</v>
      </c>
      <c r="B625" s="49">
        <f>A625/$B$1</f>
        <v>25.916666666666668</v>
      </c>
      <c r="C625" s="49">
        <f>(('Input and Output'!B$23*'Input and Output'!$B$10)+('Input and Output'!B$24*Calculations!$C$5)+('Input and Output'!B$25*Calculations!$C$6)+('Input and Output'!B$26*(IF('Input and Output'!D$7="Detritus",Calculations!$C$4,G625))-(SUM('Input and Output'!B$27:B$32))*H624))</f>
        <v>0.12517398108695943</v>
      </c>
      <c r="D625" s="49">
        <f>(('Input and Output'!C$23*'Input and Output'!$B$10)+('Input and Output'!C$24*Calculations!$C$5)+('Input and Output'!C$25*Calculations!$C$6)+('Input and Output'!C$26*(IF('Input and Output'!E$7="Detritus",Calculations!$C$4,H625))-(SUM('Input and Output'!C$27:C$32))*I624))</f>
        <v>1.0557502606961862</v>
      </c>
      <c r="E625" s="49">
        <f>(('Input and Output'!D$23*'Input and Output'!$B$10)+('Input and Output'!D$24*Calculations!$C$5)+('Input and Output'!D$25*Calculations!$C$6)+('Input and Output'!D$26*(IF('Input and Output'!F$7="Detritus",Calculations!$C$4,I625))-(SUM('Input and Output'!D$27:D$32))*J624))</f>
        <v>0.46468043819550076</v>
      </c>
      <c r="F625" s="49" t="e">
        <f>(('Input and Output'!E$23*'Input and Output'!$B$10)+('Input and Output'!E$24*Calculations!$C$5)+('Input and Output'!E$25*Calculations!$C$6)+('Input and Output'!E$26*(IF('Input and Output'!G$7="Detritus",Calculations!$C$4,J625))-(SUM('Input and Output'!E$27:E$32))*K624))</f>
        <v>#N/A</v>
      </c>
      <c r="H625" s="49">
        <f>IF(H$2="",NA(),C625*$B625+H624)</f>
        <v>324354.18797560746</v>
      </c>
      <c r="I625" s="49">
        <f>IF(I$2="",NA(),D625*$B625+I624)</f>
        <v>2972096.5408563982</v>
      </c>
      <c r="J625" s="49">
        <f>IF(J$2="",NA(),E625*$B625+J624)</f>
        <v>1381418.6391516437</v>
      </c>
      <c r="K625" s="49" t="e">
        <f>IF(K$2="",NA(),F625*$B625+K624)</f>
        <v>#N/A</v>
      </c>
    </row>
    <row r="626" spans="1:11" x14ac:dyDescent="0.4">
      <c r="A626" s="49">
        <v>623</v>
      </c>
      <c r="B626" s="49">
        <f>A626/$B$1</f>
        <v>25.958333333333332</v>
      </c>
      <c r="C626" s="49">
        <f>(('Input and Output'!B$23*'Input and Output'!$B$10)+('Input and Output'!B$24*Calculations!$C$5)+('Input and Output'!B$25*Calculations!$C$6)+('Input and Output'!B$26*(IF('Input and Output'!D$7="Detritus",Calculations!$C$4,G626))-(SUM('Input and Output'!B$27:B$32))*H625))</f>
        <v>0.12204630590838406</v>
      </c>
      <c r="D626" s="49">
        <f>(('Input and Output'!C$23*'Input and Output'!$B$10)+('Input and Output'!C$24*Calculations!$C$5)+('Input and Output'!C$25*Calculations!$C$6)+('Input and Output'!C$26*(IF('Input and Output'!E$7="Detritus",Calculations!$C$4,H626))-(SUM('Input and Output'!C$27:C$32))*I625))</f>
        <v>1.029324161324439</v>
      </c>
      <c r="E626" s="49">
        <f>(('Input and Output'!D$23*'Input and Output'!$B$10)+('Input and Output'!D$24*Calculations!$C$5)+('Input and Output'!D$25*Calculations!$C$6)+('Input and Output'!D$26*(IF('Input and Output'!F$7="Detritus",Calculations!$C$4,I626))-(SUM('Input and Output'!D$27:D$32))*J625))</f>
        <v>0.4530293127791083</v>
      </c>
      <c r="F626" s="49" t="e">
        <f>(('Input and Output'!E$23*'Input and Output'!$B$10)+('Input and Output'!E$24*Calculations!$C$5)+('Input and Output'!E$25*Calculations!$C$6)+('Input and Output'!E$26*(IF('Input and Output'!G$7="Detritus",Calculations!$C$4,J626))-(SUM('Input and Output'!E$27:E$32))*K625))</f>
        <v>#N/A</v>
      </c>
      <c r="H626" s="49">
        <f>IF(H$2="",NA(),C626*$B626+H625)</f>
        <v>324357.35609429836</v>
      </c>
      <c r="I626" s="49">
        <f>IF(I$2="",NA(),D626*$B626+I625)</f>
        <v>2972123.2603960857</v>
      </c>
      <c r="J626" s="49">
        <f>IF(J$2="",NA(),E626*$B626+J625)</f>
        <v>1381430.3990375546</v>
      </c>
      <c r="K626" s="49" t="e">
        <f>IF(K$2="",NA(),F626*$B626+K625)</f>
        <v>#N/A</v>
      </c>
    </row>
    <row r="627" spans="1:11" x14ac:dyDescent="0.4">
      <c r="A627" s="49">
        <v>624</v>
      </c>
      <c r="B627" s="49">
        <f>A627/$B$1</f>
        <v>26</v>
      </c>
      <c r="C627" s="49">
        <f>(('Input and Output'!B$23*'Input and Output'!$B$10)+('Input and Output'!B$24*Calculations!$C$5)+('Input and Output'!B$25*Calculations!$C$6)+('Input and Output'!B$26*(IF('Input and Output'!D$7="Detritus",Calculations!$C$4,G627))-(SUM('Input and Output'!B$27:B$32))*H626))</f>
        <v>0.11899187799934907</v>
      </c>
      <c r="D627" s="49">
        <f>(('Input and Output'!C$23*'Input and Output'!$B$10)+('Input and Output'!C$24*Calculations!$C$5)+('Input and Output'!C$25*Calculations!$C$6)+('Input and Output'!C$26*(IF('Input and Output'!E$7="Detritus",Calculations!$C$4,H627))-(SUM('Input and Output'!C$27:C$32))*I626))</f>
        <v>1.0035181886169084</v>
      </c>
      <c r="E627" s="49">
        <f>(('Input and Output'!D$23*'Input and Output'!$B$10)+('Input and Output'!D$24*Calculations!$C$5)+('Input and Output'!D$25*Calculations!$C$6)+('Input and Output'!D$26*(IF('Input and Output'!F$7="Detritus",Calculations!$C$4,I627))-(SUM('Input and Output'!D$27:D$32))*J626))</f>
        <v>0.4416521320999891</v>
      </c>
      <c r="F627" s="49" t="e">
        <f>(('Input and Output'!E$23*'Input and Output'!$B$10)+('Input and Output'!E$24*Calculations!$C$5)+('Input and Output'!E$25*Calculations!$C$6)+('Input and Output'!E$26*(IF('Input and Output'!G$7="Detritus",Calculations!$C$4,J627))-(SUM('Input and Output'!E$27:E$32))*K626))</f>
        <v>#N/A</v>
      </c>
      <c r="H627" s="49">
        <f>IF(H$2="",NA(),C627*$B627+H626)</f>
        <v>324360.44988312636</v>
      </c>
      <c r="I627" s="49">
        <f>IF(I$2="",NA(),D627*$B627+I626)</f>
        <v>2972149.3518689899</v>
      </c>
      <c r="J627" s="49">
        <f>IF(J$2="",NA(),E627*$B627+J626)</f>
        <v>1381441.8819929892</v>
      </c>
      <c r="K627" s="49" t="e">
        <f>IF(K$2="",NA(),F627*$B627+K626)</f>
        <v>#N/A</v>
      </c>
    </row>
    <row r="628" spans="1:11" x14ac:dyDescent="0.4">
      <c r="A628" s="49">
        <v>625</v>
      </c>
      <c r="B628" s="49">
        <f>A628/$B$1</f>
        <v>26.041666666666668</v>
      </c>
      <c r="C628" s="49">
        <f>(('Input and Output'!B$23*'Input and Output'!$B$10)+('Input and Output'!B$24*Calculations!$C$5)+('Input and Output'!B$25*Calculations!$C$6)+('Input and Output'!B$26*(IF('Input and Output'!D$7="Detritus",Calculations!$C$4,G628))-(SUM('Input and Output'!B$27:B$32))*H627))</f>
        <v>0.11600911255936808</v>
      </c>
      <c r="D628" s="49">
        <f>(('Input and Output'!C$23*'Input and Output'!$B$10)+('Input and Output'!C$24*Calculations!$C$5)+('Input and Output'!C$25*Calculations!$C$6)+('Input and Output'!C$26*(IF('Input and Output'!E$7="Detritus",Calculations!$C$4,H628))-(SUM('Input and Output'!C$27:C$32))*I627))</f>
        <v>0.9783188929568496</v>
      </c>
      <c r="E628" s="49">
        <f>(('Input and Output'!D$23*'Input and Output'!$B$10)+('Input and Output'!D$24*Calculations!$C$5)+('Input and Output'!D$25*Calculations!$C$6)+('Input and Output'!D$26*(IF('Input and Output'!F$7="Detritus",Calculations!$C$4,I628))-(SUM('Input and Output'!D$27:D$32))*J627))</f>
        <v>0.43054294090325129</v>
      </c>
      <c r="F628" s="49" t="e">
        <f>(('Input and Output'!E$23*'Input and Output'!$B$10)+('Input and Output'!E$24*Calculations!$C$5)+('Input and Output'!E$25*Calculations!$C$6)+('Input and Output'!E$26*(IF('Input and Output'!G$7="Detritus",Calculations!$C$4,J628))-(SUM('Input and Output'!E$27:E$32))*K627))</f>
        <v>#N/A</v>
      </c>
      <c r="H628" s="49">
        <f>IF(H$2="",NA(),C628*$B628+H627)</f>
        <v>324363.47095376591</v>
      </c>
      <c r="I628" s="49">
        <f>IF(I$2="",NA(),D628*$B628+I627)</f>
        <v>2972174.8289234941</v>
      </c>
      <c r="J628" s="49">
        <f>IF(J$2="",NA(),E628*$B628+J627)</f>
        <v>1381453.094048742</v>
      </c>
      <c r="K628" s="49" t="e">
        <f>IF(K$2="",NA(),F628*$B628+K627)</f>
        <v>#N/A</v>
      </c>
    </row>
    <row r="629" spans="1:11" x14ac:dyDescent="0.4">
      <c r="A629" s="49">
        <v>626</v>
      </c>
      <c r="B629" s="49">
        <f>A629/$B$1</f>
        <v>26.083333333333332</v>
      </c>
      <c r="C629" s="49">
        <f>(('Input and Output'!B$23*'Input and Output'!$B$10)+('Input and Output'!B$24*Calculations!$C$5)+('Input and Output'!B$25*Calculations!$C$6)+('Input and Output'!B$26*(IF('Input and Output'!D$7="Detritus",Calculations!$C$4,G629))-(SUM('Input and Output'!B$27:B$32))*H628))</f>
        <v>0.11309645575045124</v>
      </c>
      <c r="D629" s="49">
        <f>(('Input and Output'!C$23*'Input and Output'!$B$10)+('Input and Output'!C$24*Calculations!$C$5)+('Input and Output'!C$25*Calculations!$C$6)+('Input and Output'!C$26*(IF('Input and Output'!E$7="Detritus",Calculations!$C$4,H629))-(SUM('Input and Output'!C$27:C$32))*I628))</f>
        <v>0.9537130882990823</v>
      </c>
      <c r="E629" s="49">
        <f>(('Input and Output'!D$23*'Input and Output'!$B$10)+('Input and Output'!D$24*Calculations!$C$5)+('Input and Output'!D$25*Calculations!$C$6)+('Input and Output'!D$26*(IF('Input and Output'!F$7="Detritus",Calculations!$C$4,I629))-(SUM('Input and Output'!D$27:D$32))*J628))</f>
        <v>0.41969590100416099</v>
      </c>
      <c r="F629" s="49" t="e">
        <f>(('Input and Output'!E$23*'Input and Output'!$B$10)+('Input and Output'!E$24*Calculations!$C$5)+('Input and Output'!E$25*Calculations!$C$6)+('Input and Output'!E$26*(IF('Input and Output'!G$7="Detritus",Calculations!$C$4,J629))-(SUM('Input and Output'!E$27:E$32))*K628))</f>
        <v>#N/A</v>
      </c>
      <c r="H629" s="49">
        <f>IF(H$2="",NA(),C629*$B629+H628)</f>
        <v>324366.42088632006</v>
      </c>
      <c r="I629" s="49">
        <f>IF(I$2="",NA(),D629*$B629+I628)</f>
        <v>2972199.7049398804</v>
      </c>
      <c r="J629" s="49">
        <f>IF(J$2="",NA(),E629*$B629+J628)</f>
        <v>1381464.0411168265</v>
      </c>
      <c r="K629" s="49" t="e">
        <f>IF(K$2="",NA(),F629*$B629+K628)</f>
        <v>#N/A</v>
      </c>
    </row>
    <row r="630" spans="1:11" x14ac:dyDescent="0.4">
      <c r="A630" s="49">
        <v>627</v>
      </c>
      <c r="B630" s="49">
        <f>A630/$B$1</f>
        <v>26.125</v>
      </c>
      <c r="C630" s="49">
        <f>(('Input and Output'!B$23*'Input and Output'!$B$10)+('Input and Output'!B$24*Calculations!$C$5)+('Input and Output'!B$25*Calculations!$C$6)+('Input and Output'!B$26*(IF('Input and Output'!D$7="Detritus",Calculations!$C$4,G630))-(SUM('Input and Output'!B$27:B$32))*H629))</f>
        <v>0.11025238417289529</v>
      </c>
      <c r="D630" s="49">
        <f>(('Input and Output'!C$23*'Input and Output'!$B$10)+('Input and Output'!C$24*Calculations!$C$5)+('Input and Output'!C$25*Calculations!$C$6)+('Input and Output'!C$26*(IF('Input and Output'!E$7="Detritus",Calculations!$C$4,H630))-(SUM('Input and Output'!C$27:C$32))*I629))</f>
        <v>0.92968784768709156</v>
      </c>
      <c r="E630" s="49">
        <f>(('Input and Output'!D$23*'Input and Output'!$B$10)+('Input and Output'!D$24*Calculations!$C$5)+('Input and Output'!D$25*Calculations!$C$6)+('Input and Output'!D$26*(IF('Input and Output'!F$7="Detritus",Calculations!$C$4,I630))-(SUM('Input and Output'!D$27:D$32))*J629))</f>
        <v>0.40910528933818568</v>
      </c>
      <c r="F630" s="49" t="e">
        <f>(('Input and Output'!E$23*'Input and Output'!$B$10)+('Input and Output'!E$24*Calculations!$C$5)+('Input and Output'!E$25*Calculations!$C$6)+('Input and Output'!E$26*(IF('Input and Output'!G$7="Detritus",Calculations!$C$4,J630))-(SUM('Input and Output'!E$27:E$32))*K629))</f>
        <v>#N/A</v>
      </c>
      <c r="H630" s="49">
        <f>IF(H$2="",NA(),C630*$B630+H629)</f>
        <v>324369.30122985656</v>
      </c>
      <c r="I630" s="49">
        <f>IF(I$2="",NA(),D630*$B630+I629)</f>
        <v>2972223.9930349011</v>
      </c>
      <c r="J630" s="49">
        <f>IF(J$2="",NA(),E630*$B630+J629)</f>
        <v>1381474.7289925104</v>
      </c>
      <c r="K630" s="49" t="e">
        <f>IF(K$2="",NA(),F630*$B630+K629)</f>
        <v>#N/A</v>
      </c>
    </row>
    <row r="631" spans="1:11" x14ac:dyDescent="0.4">
      <c r="A631" s="49">
        <v>628</v>
      </c>
      <c r="B631" s="49">
        <f>A631/$B$1</f>
        <v>26.166666666666668</v>
      </c>
      <c r="C631" s="49">
        <f>(('Input and Output'!B$23*'Input and Output'!$B$10)+('Input and Output'!B$24*Calculations!$C$5)+('Input and Output'!B$25*Calculations!$C$6)+('Input and Output'!B$26*(IF('Input and Output'!D$7="Detritus",Calculations!$C$4,G631))-(SUM('Input and Output'!B$27:B$32))*H630))</f>
        <v>0.10747540434863367</v>
      </c>
      <c r="D631" s="49">
        <f>(('Input and Output'!C$23*'Input and Output'!$B$10)+('Input and Output'!C$24*Calculations!$C$5)+('Input and Output'!C$25*Calculations!$C$6)+('Input and Output'!C$26*(IF('Input and Output'!E$7="Detritus",Calculations!$C$4,H631))-(SUM('Input and Output'!C$27:C$32))*I630))</f>
        <v>0.90623049883379281</v>
      </c>
      <c r="E631" s="49">
        <f>(('Input and Output'!D$23*'Input and Output'!$B$10)+('Input and Output'!D$24*Calculations!$C$5)+('Input and Output'!D$25*Calculations!$C$6)+('Input and Output'!D$26*(IF('Input and Output'!F$7="Detritus",Calculations!$C$4,I631))-(SUM('Input and Output'!D$27:D$32))*J630))</f>
        <v>0.39876549583641463</v>
      </c>
      <c r="F631" s="49" t="e">
        <f>(('Input and Output'!E$23*'Input and Output'!$B$10)+('Input and Output'!E$24*Calculations!$C$5)+('Input and Output'!E$25*Calculations!$C$6)+('Input and Output'!E$26*(IF('Input and Output'!G$7="Detritus",Calculations!$C$4,J631))-(SUM('Input and Output'!E$27:E$32))*K630))</f>
        <v>#N/A</v>
      </c>
      <c r="H631" s="49">
        <f>IF(H$2="",NA(),C631*$B631+H630)</f>
        <v>324372.11350293702</v>
      </c>
      <c r="I631" s="49">
        <f>IF(I$2="",NA(),D631*$B631+I630)</f>
        <v>2972247.7060662871</v>
      </c>
      <c r="J631" s="49">
        <f>IF(J$2="",NA(),E631*$B631+J630)</f>
        <v>1381485.1633563181</v>
      </c>
      <c r="K631" s="49" t="e">
        <f>IF(K$2="",NA(),F631*$B631+K630)</f>
        <v>#N/A</v>
      </c>
    </row>
    <row r="632" spans="1:11" x14ac:dyDescent="0.4">
      <c r="A632" s="49">
        <v>629</v>
      </c>
      <c r="B632" s="49">
        <f>A632/$B$1</f>
        <v>26.208333333333332</v>
      </c>
      <c r="C632" s="49">
        <f>(('Input and Output'!B$23*'Input and Output'!$B$10)+('Input and Output'!B$24*Calculations!$C$5)+('Input and Output'!B$25*Calculations!$C$6)+('Input and Output'!B$26*(IF('Input and Output'!D$7="Detritus",Calculations!$C$4,G632))-(SUM('Input and Output'!B$27:B$32))*H631))</f>
        <v>0.10476405221101004</v>
      </c>
      <c r="D632" s="49">
        <f>(('Input and Output'!C$23*'Input and Output'!$B$10)+('Input and Output'!C$24*Calculations!$C$5)+('Input and Output'!C$25*Calculations!$C$6)+('Input and Output'!C$26*(IF('Input and Output'!E$7="Detritus",Calculations!$C$4,H632))-(SUM('Input and Output'!C$27:C$32))*I631))</f>
        <v>0.88332861976505228</v>
      </c>
      <c r="E632" s="49">
        <f>(('Input and Output'!D$23*'Input and Output'!$B$10)+('Input and Output'!D$24*Calculations!$C$5)+('Input and Output'!D$25*Calculations!$C$6)+('Input and Output'!D$26*(IF('Input and Output'!F$7="Detritus",Calculations!$C$4,I632))-(SUM('Input and Output'!D$27:D$32))*J631))</f>
        <v>0.38867102156291367</v>
      </c>
      <c r="F632" s="49" t="e">
        <f>(('Input and Output'!E$23*'Input and Output'!$B$10)+('Input and Output'!E$24*Calculations!$C$5)+('Input and Output'!E$25*Calculations!$C$6)+('Input and Output'!E$26*(IF('Input and Output'!G$7="Detritus",Calculations!$C$4,J632))-(SUM('Input and Output'!E$27:E$32))*K631))</f>
        <v>#N/A</v>
      </c>
      <c r="H632" s="49">
        <f>IF(H$2="",NA(),C632*$B632+H631)</f>
        <v>324374.85919413873</v>
      </c>
      <c r="I632" s="49">
        <f>IF(I$2="",NA(),D632*$B632+I631)</f>
        <v>2972270.8566371966</v>
      </c>
      <c r="J632" s="49">
        <f>IF(J$2="",NA(),E632*$B632+J631)</f>
        <v>1381495.3497760082</v>
      </c>
      <c r="K632" s="49" t="e">
        <f>IF(K$2="",NA(),F632*$B632+K631)</f>
        <v>#N/A</v>
      </c>
    </row>
    <row r="633" spans="1:11" x14ac:dyDescent="0.4">
      <c r="A633" s="49">
        <v>630</v>
      </c>
      <c r="B633" s="49">
        <f>A633/$B$1</f>
        <v>26.25</v>
      </c>
      <c r="C633" s="49">
        <f>(('Input and Output'!B$23*'Input and Output'!$B$10)+('Input and Output'!B$24*Calculations!$C$5)+('Input and Output'!B$25*Calculations!$C$6)+('Input and Output'!B$26*(IF('Input and Output'!D$7="Detritus",Calculations!$C$4,G633))-(SUM('Input and Output'!B$27:B$32))*H632))</f>
        <v>0.10211689260171397</v>
      </c>
      <c r="D633" s="49">
        <f>(('Input and Output'!C$23*'Input and Output'!$B$10)+('Input and Output'!C$24*Calculations!$C$5)+('Input and Output'!C$25*Calculations!$C$6)+('Input and Output'!C$26*(IF('Input and Output'!E$7="Detritus",Calculations!$C$4,H633))-(SUM('Input and Output'!C$27:C$32))*I632))</f>
        <v>0.86097003451777709</v>
      </c>
      <c r="E633" s="49">
        <f>(('Input and Output'!D$23*'Input and Output'!$B$10)+('Input and Output'!D$24*Calculations!$C$5)+('Input and Output'!D$25*Calculations!$C$6)+('Input and Output'!D$26*(IF('Input and Output'!F$7="Detritus",Calculations!$C$4,I633))-(SUM('Input and Output'!D$27:D$32))*J632))</f>
        <v>0.37881647685208009</v>
      </c>
      <c r="F633" s="49" t="e">
        <f>(('Input and Output'!E$23*'Input and Output'!$B$10)+('Input and Output'!E$24*Calculations!$C$5)+('Input and Output'!E$25*Calculations!$C$6)+('Input and Output'!E$26*(IF('Input and Output'!G$7="Detritus",Calculations!$C$4,J633))-(SUM('Input and Output'!E$27:E$32))*K632))</f>
        <v>#N/A</v>
      </c>
      <c r="H633" s="49">
        <f>IF(H$2="",NA(),C633*$B633+H632)</f>
        <v>324377.53976256953</v>
      </c>
      <c r="I633" s="49">
        <f>IF(I$2="",NA(),D633*$B633+I632)</f>
        <v>2972293.4571006028</v>
      </c>
      <c r="J633" s="49">
        <f>IF(J$2="",NA(),E633*$B633+J632)</f>
        <v>1381505.2937085256</v>
      </c>
      <c r="K633" s="49" t="e">
        <f>IF(K$2="",NA(),F633*$B633+K632)</f>
        <v>#N/A</v>
      </c>
    </row>
    <row r="634" spans="1:11" x14ac:dyDescent="0.4">
      <c r="A634" s="49">
        <v>631</v>
      </c>
      <c r="B634" s="49">
        <f>A634/$B$1</f>
        <v>26.291666666666668</v>
      </c>
      <c r="C634" s="49">
        <f>(('Input and Output'!B$23*'Input and Output'!$B$10)+('Input and Output'!B$24*Calculations!$C$5)+('Input and Output'!B$25*Calculations!$C$6)+('Input and Output'!B$26*(IF('Input and Output'!D$7="Detritus",Calculations!$C$4,G634))-(SUM('Input and Output'!B$27:B$32))*H633))</f>
        <v>9.9532518774196888E-2</v>
      </c>
      <c r="D634" s="49">
        <f>(('Input and Output'!C$23*'Input and Output'!$B$10)+('Input and Output'!C$24*Calculations!$C$5)+('Input and Output'!C$25*Calculations!$C$6)+('Input and Output'!C$26*(IF('Input and Output'!E$7="Detritus",Calculations!$C$4,H634))-(SUM('Input and Output'!C$27:C$32))*I633))</f>
        <v>0.83914280889712245</v>
      </c>
      <c r="E634" s="49">
        <f>(('Input and Output'!D$23*'Input and Output'!$B$10)+('Input and Output'!D$24*Calculations!$C$5)+('Input and Output'!D$25*Calculations!$C$6)+('Input and Output'!D$26*(IF('Input and Output'!F$7="Detritus",Calculations!$C$4,I634))-(SUM('Input and Output'!D$27:D$32))*J633))</f>
        <v>0.3691965792713745</v>
      </c>
      <c r="F634" s="49" t="e">
        <f>(('Input and Output'!E$23*'Input and Output'!$B$10)+('Input and Output'!E$24*Calculations!$C$5)+('Input and Output'!E$25*Calculations!$C$6)+('Input and Output'!E$26*(IF('Input and Output'!G$7="Detritus",Calculations!$C$4,J634))-(SUM('Input and Output'!E$27:E$32))*K633))</f>
        <v>#N/A</v>
      </c>
      <c r="H634" s="49">
        <f>IF(H$2="",NA(),C634*$B634+H633)</f>
        <v>324380.15663837566</v>
      </c>
      <c r="I634" s="49">
        <f>IF(I$2="",NA(),D634*$B634+I633)</f>
        <v>2972315.51956362</v>
      </c>
      <c r="J634" s="49">
        <f>IF(J$2="",NA(),E634*$B634+J633)</f>
        <v>1381515.0005019223</v>
      </c>
      <c r="K634" s="49" t="e">
        <f>IF(K$2="",NA(),F634*$B634+K633)</f>
        <v>#N/A</v>
      </c>
    </row>
    <row r="635" spans="1:11" x14ac:dyDescent="0.4">
      <c r="A635" s="49">
        <v>632</v>
      </c>
      <c r="B635" s="49">
        <f>A635/$B$1</f>
        <v>26.333333333333332</v>
      </c>
      <c r="C635" s="49">
        <f>(('Input and Output'!B$23*'Input and Output'!$B$10)+('Input and Output'!B$24*Calculations!$C$5)+('Input and Output'!B$25*Calculations!$C$6)+('Input and Output'!B$26*(IF('Input and Output'!D$7="Detritus",Calculations!$C$4,G635))-(SUM('Input and Output'!B$27:B$32))*H634))</f>
        <v>9.7009551904420732E-2</v>
      </c>
      <c r="D635" s="49">
        <f>(('Input and Output'!C$23*'Input and Output'!$B$10)+('Input and Output'!C$24*Calculations!$C$5)+('Input and Output'!C$25*Calculations!$C$6)+('Input and Output'!C$26*(IF('Input and Output'!E$7="Detritus",Calculations!$C$4,H635))-(SUM('Input and Output'!C$27:C$32))*I634))</f>
        <v>0.81783524629736348</v>
      </c>
      <c r="E635" s="49">
        <f>(('Input and Output'!D$23*'Input and Output'!$B$10)+('Input and Output'!D$24*Calculations!$C$5)+('Input and Output'!D$25*Calculations!$C$6)+('Input and Output'!D$26*(IF('Input and Output'!F$7="Detritus",Calculations!$C$4,I635))-(SUM('Input and Output'!D$27:D$32))*J634))</f>
        <v>0.35980615200605826</v>
      </c>
      <c r="F635" s="49" t="e">
        <f>(('Input and Output'!E$23*'Input and Output'!$B$10)+('Input and Output'!E$24*Calculations!$C$5)+('Input and Output'!E$25*Calculations!$C$6)+('Input and Output'!E$26*(IF('Input and Output'!G$7="Detritus",Calculations!$C$4,J635))-(SUM('Input and Output'!E$27:E$32))*K634))</f>
        <v>#N/A</v>
      </c>
      <c r="H635" s="49">
        <f>IF(H$2="",NA(),C635*$B635+H634)</f>
        <v>324382.71122324246</v>
      </c>
      <c r="I635" s="49">
        <f>IF(I$2="",NA(),D635*$B635+I634)</f>
        <v>2972337.0558917723</v>
      </c>
      <c r="J635" s="49">
        <f>IF(J$2="",NA(),E635*$B635+J634)</f>
        <v>1381524.4753972585</v>
      </c>
      <c r="K635" s="49" t="e">
        <f>IF(K$2="",NA(),F635*$B635+K634)</f>
        <v>#N/A</v>
      </c>
    </row>
    <row r="636" spans="1:11" x14ac:dyDescent="0.4">
      <c r="A636" s="49">
        <v>633</v>
      </c>
      <c r="B636" s="49">
        <f>A636/$B$1</f>
        <v>26.375</v>
      </c>
      <c r="C636" s="49">
        <f>(('Input and Output'!B$23*'Input and Output'!$B$10)+('Input and Output'!B$24*Calculations!$C$5)+('Input and Output'!B$25*Calculations!$C$6)+('Input and Output'!B$26*(IF('Input and Output'!D$7="Detritus",Calculations!$C$4,G636))-(SUM('Input and Output'!B$27:B$32))*H635))</f>
        <v>9.4546640607688914E-2</v>
      </c>
      <c r="D636" s="49">
        <f>(('Input and Output'!C$23*'Input and Output'!$B$10)+('Input and Output'!C$24*Calculations!$C$5)+('Input and Output'!C$25*Calculations!$C$6)+('Input and Output'!C$26*(IF('Input and Output'!E$7="Detritus",Calculations!$C$4,H636))-(SUM('Input and Output'!C$27:C$32))*I635))</f>
        <v>0.79703588357006083</v>
      </c>
      <c r="E636" s="49">
        <f>(('Input and Output'!D$23*'Input and Output'!$B$10)+('Input and Output'!D$24*Calculations!$C$5)+('Input and Output'!D$25*Calculations!$C$6)+('Input and Output'!D$26*(IF('Input and Output'!F$7="Detritus",Calculations!$C$4,I636))-(SUM('Input and Output'!D$27:D$32))*J635))</f>
        <v>0.35064012167640612</v>
      </c>
      <c r="F636" s="49" t="e">
        <f>(('Input and Output'!E$23*'Input and Output'!$B$10)+('Input and Output'!E$24*Calculations!$C$5)+('Input and Output'!E$25*Calculations!$C$6)+('Input and Output'!E$26*(IF('Input and Output'!G$7="Detritus",Calculations!$C$4,J636))-(SUM('Input and Output'!E$27:E$32))*K635))</f>
        <v>#N/A</v>
      </c>
      <c r="H636" s="49">
        <f>IF(H$2="",NA(),C636*$B636+H635)</f>
        <v>324385.20489088848</v>
      </c>
      <c r="I636" s="49">
        <f>IF(I$2="",NA(),D636*$B636+I635)</f>
        <v>2972358.0777132013</v>
      </c>
      <c r="J636" s="49">
        <f>IF(J$2="",NA(),E636*$B636+J635)</f>
        <v>1381533.7235304678</v>
      </c>
      <c r="K636" s="49" t="e">
        <f>IF(K$2="",NA(),F636*$B636+K635)</f>
        <v>#N/A</v>
      </c>
    </row>
    <row r="637" spans="1:11" x14ac:dyDescent="0.4">
      <c r="A637" s="49">
        <v>634</v>
      </c>
      <c r="B637" s="49">
        <f>A637/$B$1</f>
        <v>26.416666666666668</v>
      </c>
      <c r="C637" s="49">
        <f>(('Input and Output'!B$23*'Input and Output'!$B$10)+('Input and Output'!B$24*Calculations!$C$5)+('Input and Output'!B$25*Calculations!$C$6)+('Input and Output'!B$26*(IF('Input and Output'!D$7="Detritus",Calculations!$C$4,G637))-(SUM('Input and Output'!B$27:B$32))*H636))</f>
        <v>9.2142460462639519E-2</v>
      </c>
      <c r="D637" s="49">
        <f>(('Input and Output'!C$23*'Input and Output'!$B$10)+('Input and Output'!C$24*Calculations!$C$5)+('Input and Output'!C$25*Calculations!$C$6)+('Input and Output'!C$26*(IF('Input and Output'!E$7="Detritus",Calculations!$C$4,H637))-(SUM('Input and Output'!C$27:C$32))*I636))</f>
        <v>0.77673348695680033</v>
      </c>
      <c r="E637" s="49">
        <f>(('Input and Output'!D$23*'Input and Output'!$B$10)+('Input and Output'!D$24*Calculations!$C$5)+('Input and Output'!D$25*Calculations!$C$6)+('Input and Output'!D$26*(IF('Input and Output'!F$7="Detritus",Calculations!$C$4,I637))-(SUM('Input and Output'!D$27:D$32))*J636))</f>
        <v>0.34169351682430715</v>
      </c>
      <c r="F637" s="49" t="e">
        <f>(('Input and Output'!E$23*'Input and Output'!$B$10)+('Input and Output'!E$24*Calculations!$C$5)+('Input and Output'!E$25*Calculations!$C$6)+('Input and Output'!E$26*(IF('Input and Output'!G$7="Detritus",Calculations!$C$4,J637))-(SUM('Input and Output'!E$27:E$32))*K636))</f>
        <v>#N/A</v>
      </c>
      <c r="H637" s="49">
        <f>IF(H$2="",NA(),C637*$B637+H636)</f>
        <v>324387.63898755237</v>
      </c>
      <c r="I637" s="49">
        <f>IF(I$2="",NA(),D637*$B637+I636)</f>
        <v>2972378.5964228152</v>
      </c>
      <c r="J637" s="49">
        <f>IF(J$2="",NA(),E637*$B637+J636)</f>
        <v>1381542.7499342039</v>
      </c>
      <c r="K637" s="49" t="e">
        <f>IF(K$2="",NA(),F637*$B637+K636)</f>
        <v>#N/A</v>
      </c>
    </row>
    <row r="638" spans="1:11" x14ac:dyDescent="0.4">
      <c r="A638" s="49">
        <v>635</v>
      </c>
      <c r="B638" s="49">
        <f>A638/$B$1</f>
        <v>26.458333333333332</v>
      </c>
      <c r="C638" s="49">
        <f>(('Input and Output'!B$23*'Input and Output'!$B$10)+('Input and Output'!B$24*Calculations!$C$5)+('Input and Output'!B$25*Calculations!$C$6)+('Input and Output'!B$26*(IF('Input and Output'!D$7="Detritus",Calculations!$C$4,G638))-(SUM('Input and Output'!B$27:B$32))*H637))</f>
        <v>8.9795713541548139E-2</v>
      </c>
      <c r="D638" s="49">
        <f>(('Input and Output'!C$23*'Input and Output'!$B$10)+('Input and Output'!C$24*Calculations!$C$5)+('Input and Output'!C$25*Calculations!$C$6)+('Input and Output'!C$26*(IF('Input and Output'!E$7="Detritus",Calculations!$C$4,H638))-(SUM('Input and Output'!C$27:C$32))*I637))</f>
        <v>0.75691704808014038</v>
      </c>
      <c r="E638" s="49">
        <f>(('Input and Output'!D$23*'Input and Output'!$B$10)+('Input and Output'!D$24*Calculations!$C$5)+('Input and Output'!D$25*Calculations!$C$6)+('Input and Output'!D$26*(IF('Input and Output'!F$7="Detritus",Calculations!$C$4,I638))-(SUM('Input and Output'!D$27:D$32))*J637))</f>
        <v>0.33296146602151566</v>
      </c>
      <c r="F638" s="49" t="e">
        <f>(('Input and Output'!E$23*'Input and Output'!$B$10)+('Input and Output'!E$24*Calculations!$C$5)+('Input and Output'!E$25*Calculations!$C$6)+('Input and Output'!E$26*(IF('Input and Output'!G$7="Detritus",Calculations!$C$4,J638))-(SUM('Input and Output'!E$27:E$32))*K637))</f>
        <v>#N/A</v>
      </c>
      <c r="H638" s="49">
        <f>IF(H$2="",NA(),C638*$B638+H637)</f>
        <v>324390.01483247319</v>
      </c>
      <c r="I638" s="49">
        <f>IF(I$2="",NA(),D638*$B638+I637)</f>
        <v>2972398.6231863792</v>
      </c>
      <c r="J638" s="49">
        <f>IF(J$2="",NA(),E638*$B638+J637)</f>
        <v>1381551.5595396592</v>
      </c>
      <c r="K638" s="49" t="e">
        <f>IF(K$2="",NA(),F638*$B638+K637)</f>
        <v>#N/A</v>
      </c>
    </row>
    <row r="639" spans="1:11" x14ac:dyDescent="0.4">
      <c r="A639" s="49">
        <v>636</v>
      </c>
      <c r="B639" s="49">
        <f>A639/$B$1</f>
        <v>26.5</v>
      </c>
      <c r="C639" s="49">
        <f>(('Input and Output'!B$23*'Input and Output'!$B$10)+('Input and Output'!B$24*Calculations!$C$5)+('Input and Output'!B$25*Calculations!$C$6)+('Input and Output'!B$26*(IF('Input and Output'!D$7="Detritus",Calculations!$C$4,G639))-(SUM('Input and Output'!B$27:B$32))*H638))</f>
        <v>8.7505127947508754E-2</v>
      </c>
      <c r="D639" s="49">
        <f>(('Input and Output'!C$23*'Input and Output'!$B$10)+('Input and Output'!C$24*Calculations!$C$5)+('Input and Output'!C$25*Calculations!$C$6)+('Input and Output'!C$26*(IF('Input and Output'!E$7="Detritus",Calculations!$C$4,H639))-(SUM('Input and Output'!C$27:C$32))*I638))</f>
        <v>0.7375757799945859</v>
      </c>
      <c r="E639" s="49">
        <f>(('Input and Output'!D$23*'Input and Output'!$B$10)+('Input and Output'!D$24*Calculations!$C$5)+('Input and Output'!D$25*Calculations!$C$6)+('Input and Output'!D$26*(IF('Input and Output'!F$7="Detritus",Calculations!$C$4,I639))-(SUM('Input and Output'!D$27:D$32))*J638))</f>
        <v>0.32443919599245419</v>
      </c>
      <c r="F639" s="49" t="e">
        <f>(('Input and Output'!E$23*'Input and Output'!$B$10)+('Input and Output'!E$24*Calculations!$C$5)+('Input and Output'!E$25*Calculations!$C$6)+('Input and Output'!E$26*(IF('Input and Output'!G$7="Detritus",Calculations!$C$4,J639))-(SUM('Input and Output'!E$27:E$32))*K638))</f>
        <v>#N/A</v>
      </c>
      <c r="H639" s="49">
        <f>IF(H$2="",NA(),C639*$B639+H638)</f>
        <v>324392.33371836378</v>
      </c>
      <c r="I639" s="49">
        <f>IF(I$2="",NA(),D639*$B639+I638)</f>
        <v>2972418.1689445493</v>
      </c>
      <c r="J639" s="49">
        <f>IF(J$2="",NA(),E639*$B639+J638)</f>
        <v>1381560.1571783531</v>
      </c>
      <c r="K639" s="49" t="e">
        <f>IF(K$2="",NA(),F639*$B639+K638)</f>
        <v>#N/A</v>
      </c>
    </row>
    <row r="640" spans="1:11" x14ac:dyDescent="0.4">
      <c r="A640" s="49">
        <v>637</v>
      </c>
      <c r="B640" s="49">
        <f>A640/$B$1</f>
        <v>26.541666666666668</v>
      </c>
      <c r="C640" s="49">
        <f>(('Input and Output'!B$23*'Input and Output'!$B$10)+('Input and Output'!B$24*Calculations!$C$5)+('Input and Output'!B$25*Calculations!$C$6)+('Input and Output'!B$26*(IF('Input and Output'!D$7="Detritus",Calculations!$C$4,G640))-(SUM('Input and Output'!B$27:B$32))*H639))</f>
        <v>8.5269457357753708E-2</v>
      </c>
      <c r="D640" s="49">
        <f>(('Input and Output'!C$23*'Input and Output'!$B$10)+('Input and Output'!C$24*Calculations!$C$5)+('Input and Output'!C$25*Calculations!$C$6)+('Input and Output'!C$26*(IF('Input and Output'!E$7="Detritus",Calculations!$C$4,H640))-(SUM('Input and Output'!C$27:C$32))*I639))</f>
        <v>0.71869911327667069</v>
      </c>
      <c r="E640" s="49">
        <f>(('Input and Output'!D$23*'Input and Output'!$B$10)+('Input and Output'!D$24*Calculations!$C$5)+('Input and Output'!D$25*Calculations!$C$6)+('Input and Output'!D$26*(IF('Input and Output'!F$7="Detritus",Calculations!$C$4,I640))-(SUM('Input and Output'!D$27:D$32))*J639))</f>
        <v>0.31612203012991813</v>
      </c>
      <c r="F640" s="49" t="e">
        <f>(('Input and Output'!E$23*'Input and Output'!$B$10)+('Input and Output'!E$24*Calculations!$C$5)+('Input and Output'!E$25*Calculations!$C$6)+('Input and Output'!E$26*(IF('Input and Output'!G$7="Detritus",Calculations!$C$4,J640))-(SUM('Input and Output'!E$27:E$32))*K639))</f>
        <v>#N/A</v>
      </c>
      <c r="H640" s="49">
        <f>IF(H$2="",NA(),C640*$B640+H639)</f>
        <v>324394.5969118778</v>
      </c>
      <c r="I640" s="49">
        <f>IF(I$2="",NA(),D640*$B640+I639)</f>
        <v>2972437.2444168474</v>
      </c>
      <c r="J640" s="49">
        <f>IF(J$2="",NA(),E640*$B640+J639)</f>
        <v>1381568.5475839027</v>
      </c>
      <c r="K640" s="49" t="e">
        <f>IF(K$2="",NA(),F640*$B640+K639)</f>
        <v>#N/A</v>
      </c>
    </row>
    <row r="641" spans="1:11" x14ac:dyDescent="0.4">
      <c r="A641" s="49">
        <v>638</v>
      </c>
      <c r="B641" s="49">
        <f>A641/$B$1</f>
        <v>26.583333333333332</v>
      </c>
      <c r="C641" s="49">
        <f>(('Input and Output'!B$23*'Input and Output'!$B$10)+('Input and Output'!B$24*Calculations!$C$5)+('Input and Output'!B$25*Calculations!$C$6)+('Input and Output'!B$26*(IF('Input and Output'!D$7="Detritus",Calculations!$C$4,G641))-(SUM('Input and Output'!B$27:B$32))*H640))</f>
        <v>8.3087480573681205E-2</v>
      </c>
      <c r="D641" s="49">
        <f>(('Input and Output'!C$23*'Input and Output'!$B$10)+('Input and Output'!C$24*Calculations!$C$5)+('Input and Output'!C$25*Calculations!$C$6)+('Input and Output'!C$26*(IF('Input and Output'!E$7="Detritus",Calculations!$C$4,H641))-(SUM('Input and Output'!C$27:C$32))*I640))</f>
        <v>0.70027669218870869</v>
      </c>
      <c r="E641" s="49">
        <f>(('Input and Output'!D$23*'Input and Output'!$B$10)+('Input and Output'!D$24*Calculations!$C$5)+('Input and Output'!D$25*Calculations!$C$6)+('Input and Output'!D$26*(IF('Input and Output'!F$7="Detritus",Calculations!$C$4,I641))-(SUM('Input and Output'!D$27:D$32))*J640))</f>
        <v>0.30800538653056719</v>
      </c>
      <c r="F641" s="49" t="e">
        <f>(('Input and Output'!E$23*'Input and Output'!$B$10)+('Input and Output'!E$24*Calculations!$C$5)+('Input and Output'!E$25*Calculations!$C$6)+('Input and Output'!E$26*(IF('Input and Output'!G$7="Detritus",Calculations!$C$4,J641))-(SUM('Input and Output'!E$27:E$32))*K640))</f>
        <v>#N/A</v>
      </c>
      <c r="H641" s="49">
        <f>IF(H$2="",NA(),C641*$B641+H640)</f>
        <v>324396.8056540697</v>
      </c>
      <c r="I641" s="49">
        <f>IF(I$2="",NA(),D641*$B641+I640)</f>
        <v>2972455.8601055816</v>
      </c>
      <c r="J641" s="49">
        <f>IF(J$2="",NA(),E641*$B641+J640)</f>
        <v>1381576.7353937614</v>
      </c>
      <c r="K641" s="49" t="e">
        <f>IF(K$2="",NA(),F641*$B641+K640)</f>
        <v>#N/A</v>
      </c>
    </row>
    <row r="642" spans="1:11" x14ac:dyDescent="0.4">
      <c r="A642" s="49">
        <v>639</v>
      </c>
      <c r="B642" s="49">
        <f>A642/$B$1</f>
        <v>26.625</v>
      </c>
      <c r="C642" s="49">
        <f>(('Input and Output'!B$23*'Input and Output'!$B$10)+('Input and Output'!B$24*Calculations!$C$5)+('Input and Output'!B$25*Calculations!$C$6)+('Input and Output'!B$26*(IF('Input and Output'!D$7="Detritus",Calculations!$C$4,G642))-(SUM('Input and Output'!B$27:B$32))*H641))</f>
        <v>8.0958001077135577E-2</v>
      </c>
      <c r="D642" s="49">
        <f>(('Input and Output'!C$23*'Input and Output'!$B$10)+('Input and Output'!C$24*Calculations!$C$5)+('Input and Output'!C$25*Calculations!$C$6)+('Input and Output'!C$26*(IF('Input and Output'!E$7="Detritus",Calculations!$C$4,H642))-(SUM('Input and Output'!C$27:C$32))*I641))</f>
        <v>0.68229837088438217</v>
      </c>
      <c r="E642" s="49">
        <f>(('Input and Output'!D$23*'Input and Output'!$B$10)+('Input and Output'!D$24*Calculations!$C$5)+('Input and Output'!D$25*Calculations!$C$6)+('Input and Output'!D$26*(IF('Input and Output'!F$7="Detritus",Calculations!$C$4,I642))-(SUM('Input and Output'!D$27:D$32))*J641))</f>
        <v>0.30008477642331854</v>
      </c>
      <c r="F642" s="49" t="e">
        <f>(('Input and Output'!E$23*'Input and Output'!$B$10)+('Input and Output'!E$24*Calculations!$C$5)+('Input and Output'!E$25*Calculations!$C$6)+('Input and Output'!E$26*(IF('Input and Output'!G$7="Detritus",Calculations!$C$4,J642))-(SUM('Input and Output'!E$27:E$32))*K641))</f>
        <v>#N/A</v>
      </c>
      <c r="H642" s="49">
        <f>IF(H$2="",NA(),C642*$B642+H641)</f>
        <v>324398.96116084838</v>
      </c>
      <c r="I642" s="49">
        <f>IF(I$2="",NA(),D642*$B642+I641)</f>
        <v>2972474.0262997062</v>
      </c>
      <c r="J642" s="49">
        <f>IF(J$2="",NA(),E642*$B642+J641)</f>
        <v>1381584.7251509337</v>
      </c>
      <c r="K642" s="49" t="e">
        <f>IF(K$2="",NA(),F642*$B642+K641)</f>
        <v>#N/A</v>
      </c>
    </row>
    <row r="643" spans="1:11" x14ac:dyDescent="0.4">
      <c r="A643" s="49">
        <v>640</v>
      </c>
      <c r="B643" s="49">
        <f>A643/$B$1</f>
        <v>26.666666666666668</v>
      </c>
      <c r="C643" s="49">
        <f>(('Input and Output'!B$23*'Input and Output'!$B$10)+('Input and Output'!B$24*Calculations!$C$5)+('Input and Output'!B$25*Calculations!$C$6)+('Input and Output'!B$26*(IF('Input and Output'!D$7="Detritus",Calculations!$C$4,G643))-(SUM('Input and Output'!B$27:B$32))*H642))</f>
        <v>7.88798465932814E-2</v>
      </c>
      <c r="D643" s="49">
        <f>(('Input and Output'!C$23*'Input and Output'!$B$10)+('Input and Output'!C$24*Calculations!$C$5)+('Input and Output'!C$25*Calculations!$C$6)+('Input and Output'!C$26*(IF('Input and Output'!E$7="Detritus",Calculations!$C$4,H643))-(SUM('Input and Output'!C$27:C$32))*I642))</f>
        <v>0.66475420968345134</v>
      </c>
      <c r="E643" s="49">
        <f>(('Input and Output'!D$23*'Input and Output'!$B$10)+('Input and Output'!D$24*Calculations!$C$5)+('Input and Output'!D$25*Calculations!$C$6)+('Input and Output'!D$26*(IF('Input and Output'!F$7="Detritus",Calculations!$C$4,I643))-(SUM('Input and Output'!D$27:D$32))*J642))</f>
        <v>0.2923558026268438</v>
      </c>
      <c r="F643" s="49" t="e">
        <f>(('Input and Output'!E$23*'Input and Output'!$B$10)+('Input and Output'!E$24*Calculations!$C$5)+('Input and Output'!E$25*Calculations!$C$6)+('Input and Output'!E$26*(IF('Input and Output'!G$7="Detritus",Calculations!$C$4,J643))-(SUM('Input and Output'!E$27:E$32))*K642))</f>
        <v>#N/A</v>
      </c>
      <c r="H643" s="49">
        <f>IF(H$2="",NA(),C643*$B643+H642)</f>
        <v>324401.0646234242</v>
      </c>
      <c r="I643" s="49">
        <f>IF(I$2="",NA(),D643*$B643+I642)</f>
        <v>2972491.7530786311</v>
      </c>
      <c r="J643" s="49">
        <f>IF(J$2="",NA(),E643*$B643+J642)</f>
        <v>1381592.5213056705</v>
      </c>
      <c r="K643" s="49" t="e">
        <f>IF(K$2="",NA(),F643*$B643+K642)</f>
        <v>#N/A</v>
      </c>
    </row>
    <row r="644" spans="1:11" x14ac:dyDescent="0.4">
      <c r="A644" s="49">
        <v>641</v>
      </c>
      <c r="B644" s="49">
        <f>A644/$B$1</f>
        <v>26.708333333333332</v>
      </c>
      <c r="C644" s="49">
        <f>(('Input and Output'!B$23*'Input and Output'!$B$10)+('Input and Output'!B$24*Calculations!$C$5)+('Input and Output'!B$25*Calculations!$C$6)+('Input and Output'!B$26*(IF('Input and Output'!D$7="Detritus",Calculations!$C$4,G644))-(SUM('Input and Output'!B$27:B$32))*H643))</f>
        <v>7.6851868659389311E-2</v>
      </c>
      <c r="D644" s="49">
        <f>(('Input and Output'!C$23*'Input and Output'!$B$10)+('Input and Output'!C$24*Calculations!$C$5)+('Input and Output'!C$25*Calculations!$C$6)+('Input and Output'!C$26*(IF('Input and Output'!E$7="Detritus",Calculations!$C$4,H644))-(SUM('Input and Output'!C$27:C$32))*I643))</f>
        <v>0.6476344713846629</v>
      </c>
      <c r="E644" s="49">
        <f>(('Input and Output'!D$23*'Input and Output'!$B$10)+('Input and Output'!D$24*Calculations!$C$5)+('Input and Output'!D$25*Calculations!$C$6)+('Input and Output'!D$26*(IF('Input and Output'!F$7="Detritus",Calculations!$C$4,I644))-(SUM('Input and Output'!D$27:D$32))*J643))</f>
        <v>0.28481415754140471</v>
      </c>
      <c r="F644" s="49" t="e">
        <f>(('Input and Output'!E$23*'Input and Output'!$B$10)+('Input and Output'!E$24*Calculations!$C$5)+('Input and Output'!E$25*Calculations!$C$6)+('Input and Output'!E$26*(IF('Input and Output'!G$7="Detritus",Calculations!$C$4,J644))-(SUM('Input and Output'!E$27:E$32))*K643))</f>
        <v>#N/A</v>
      </c>
      <c r="H644" s="49">
        <f>IF(H$2="",NA(),C644*$B644+H643)</f>
        <v>324403.11720874964</v>
      </c>
      <c r="I644" s="49">
        <f>IF(I$2="",NA(),D644*$B644+I643)</f>
        <v>2972509.050315971</v>
      </c>
      <c r="J644" s="49">
        <f>IF(J$2="",NA(),E644*$B644+J643)</f>
        <v>1381600.1282171281</v>
      </c>
      <c r="K644" s="49" t="e">
        <f>IF(K$2="",NA(),F644*$B644+K643)</f>
        <v>#N/A</v>
      </c>
    </row>
    <row r="645" spans="1:11" x14ac:dyDescent="0.4">
      <c r="A645" s="49">
        <v>642</v>
      </c>
      <c r="B645" s="49">
        <f>A645/$B$1</f>
        <v>26.75</v>
      </c>
      <c r="C645" s="49">
        <f>(('Input and Output'!B$23*'Input and Output'!$B$10)+('Input and Output'!B$24*Calculations!$C$5)+('Input and Output'!B$25*Calculations!$C$6)+('Input and Output'!B$26*(IF('Input and Output'!D$7="Detritus",Calculations!$C$4,G645))-(SUM('Input and Output'!B$27:B$32))*H644))</f>
        <v>7.4872942200045145E-2</v>
      </c>
      <c r="D645" s="49">
        <f>(('Input and Output'!C$23*'Input and Output'!$B$10)+('Input and Output'!C$24*Calculations!$C$5)+('Input and Output'!C$25*Calculations!$C$6)+('Input and Output'!C$26*(IF('Input and Output'!E$7="Detritus",Calculations!$C$4,H645))-(SUM('Input and Output'!C$27:C$32))*I644))</f>
        <v>0.63092961764414213</v>
      </c>
      <c r="E645" s="49">
        <f>(('Input and Output'!D$23*'Input and Output'!$B$10)+('Input and Output'!D$24*Calculations!$C$5)+('Input and Output'!D$25*Calculations!$C$6)+('Input and Output'!D$26*(IF('Input and Output'!F$7="Detritus",Calculations!$C$4,I645))-(SUM('Input and Output'!D$27:D$32))*J644))</f>
        <v>0.27745562202835572</v>
      </c>
      <c r="F645" s="49" t="e">
        <f>(('Input and Output'!E$23*'Input and Output'!$B$10)+('Input and Output'!E$24*Calculations!$C$5)+('Input and Output'!E$25*Calculations!$C$6)+('Input and Output'!E$26*(IF('Input and Output'!G$7="Detritus",Calculations!$C$4,J645))-(SUM('Input and Output'!E$27:E$32))*K644))</f>
        <v>#N/A</v>
      </c>
      <c r="H645" s="49">
        <f>IF(H$2="",NA(),C645*$B645+H644)</f>
        <v>324405.12005995348</v>
      </c>
      <c r="I645" s="49">
        <f>IF(I$2="",NA(),D645*$B645+I644)</f>
        <v>2972525.9276832431</v>
      </c>
      <c r="J645" s="49">
        <f>IF(J$2="",NA(),E645*$B645+J644)</f>
        <v>1381607.5501550173</v>
      </c>
      <c r="K645" s="49" t="e">
        <f>IF(K$2="",NA(),F645*$B645+K644)</f>
        <v>#N/A</v>
      </c>
    </row>
    <row r="646" spans="1:11" x14ac:dyDescent="0.4">
      <c r="A646" s="49">
        <v>643</v>
      </c>
      <c r="B646" s="49">
        <f>A646/$B$1</f>
        <v>26.791666666666668</v>
      </c>
      <c r="C646" s="49">
        <f>(('Input and Output'!B$23*'Input and Output'!$B$10)+('Input and Output'!B$24*Calculations!$C$5)+('Input and Output'!B$25*Calculations!$C$6)+('Input and Output'!B$26*(IF('Input and Output'!D$7="Detritus",Calculations!$C$4,G646))-(SUM('Input and Output'!B$27:B$32))*H645))</f>
        <v>7.2941965108782369E-2</v>
      </c>
      <c r="D646" s="49">
        <f>(('Input and Output'!C$23*'Input and Output'!$B$10)+('Input and Output'!C$24*Calculations!$C$5)+('Input and Output'!C$25*Calculations!$C$6)+('Input and Output'!C$26*(IF('Input and Output'!E$7="Detritus",Calculations!$C$4,H646))-(SUM('Input and Output'!C$27:C$32))*I645))</f>
        <v>0.61463030539744068</v>
      </c>
      <c r="E646" s="49">
        <f>(('Input and Output'!D$23*'Input and Output'!$B$10)+('Input and Output'!D$24*Calculations!$C$5)+('Input and Output'!D$25*Calculations!$C$6)+('Input and Output'!D$26*(IF('Input and Output'!F$7="Detritus",Calculations!$C$4,I646))-(SUM('Input and Output'!D$27:D$32))*J645))</f>
        <v>0.27027606341653154</v>
      </c>
      <c r="F646" s="49" t="e">
        <f>(('Input and Output'!E$23*'Input and Output'!$B$10)+('Input and Output'!E$24*Calculations!$C$5)+('Input and Output'!E$25*Calculations!$C$6)+('Input and Output'!E$26*(IF('Input and Output'!G$7="Detritus",Calculations!$C$4,J646))-(SUM('Input and Output'!E$27:E$32))*K645))</f>
        <v>#N/A</v>
      </c>
      <c r="H646" s="49">
        <f>IF(H$2="",NA(),C646*$B646+H645)</f>
        <v>324407.0742967687</v>
      </c>
      <c r="I646" s="49">
        <f>IF(I$2="",NA(),D646*$B646+I645)</f>
        <v>2972542.3946535084</v>
      </c>
      <c r="J646" s="49">
        <f>IF(J$2="",NA(),E646*$B646+J645)</f>
        <v>1381614.7913012162</v>
      </c>
      <c r="K646" s="49" t="e">
        <f>IF(K$2="",NA(),F646*$B646+K645)</f>
        <v>#N/A</v>
      </c>
    </row>
    <row r="647" spans="1:11" x14ac:dyDescent="0.4">
      <c r="A647" s="49">
        <v>644</v>
      </c>
      <c r="B647" s="49">
        <f>A647/$B$1</f>
        <v>26.833333333333332</v>
      </c>
      <c r="C647" s="49">
        <f>(('Input and Output'!B$23*'Input and Output'!$B$10)+('Input and Output'!B$24*Calculations!$C$5)+('Input and Output'!B$25*Calculations!$C$6)+('Input and Output'!B$26*(IF('Input and Output'!D$7="Detritus",Calculations!$C$4,G647))-(SUM('Input and Output'!B$27:B$32))*H646))</f>
        <v>7.1057857835114646E-2</v>
      </c>
      <c r="D647" s="49">
        <f>(('Input and Output'!C$23*'Input and Output'!$B$10)+('Input and Output'!C$24*Calculations!$C$5)+('Input and Output'!C$25*Calculations!$C$6)+('Input and Output'!C$26*(IF('Input and Output'!E$7="Detritus",Calculations!$C$4,H647))-(SUM('Input and Output'!C$27:C$32))*I646))</f>
        <v>0.5987273833461586</v>
      </c>
      <c r="E647" s="49">
        <f>(('Input and Output'!D$23*'Input and Output'!$B$10)+('Input and Output'!D$24*Calculations!$C$5)+('Input and Output'!D$25*Calculations!$C$6)+('Input and Output'!D$26*(IF('Input and Output'!F$7="Detritus",Calculations!$C$4,I647))-(SUM('Input and Output'!D$27:D$32))*J646))</f>
        <v>0.26327143407615949</v>
      </c>
      <c r="F647" s="49" t="e">
        <f>(('Input and Output'!E$23*'Input and Output'!$B$10)+('Input and Output'!E$24*Calculations!$C$5)+('Input and Output'!E$25*Calculations!$C$6)+('Input and Output'!E$26*(IF('Input and Output'!G$7="Detritus",Calculations!$C$4,J647))-(SUM('Input and Output'!E$27:E$32))*K646))</f>
        <v>#N/A</v>
      </c>
      <c r="H647" s="49">
        <f>IF(H$2="",NA(),C647*$B647+H646)</f>
        <v>324408.98101595393</v>
      </c>
      <c r="I647" s="49">
        <f>IF(I$2="",NA(),D647*$B647+I646)</f>
        <v>2972558.4605049617</v>
      </c>
      <c r="J647" s="49">
        <f>IF(J$2="",NA(),E647*$B647+J646)</f>
        <v>1381621.855751364</v>
      </c>
      <c r="K647" s="49" t="e">
        <f>IF(K$2="",NA(),F647*$B647+K646)</f>
        <v>#N/A</v>
      </c>
    </row>
    <row r="648" spans="1:11" x14ac:dyDescent="0.4">
      <c r="A648" s="49">
        <v>645</v>
      </c>
      <c r="B648" s="49">
        <f>A648/$B$1</f>
        <v>26.875</v>
      </c>
      <c r="C648" s="49">
        <f>(('Input and Output'!B$23*'Input and Output'!$B$10)+('Input and Output'!B$24*Calculations!$C$5)+('Input and Output'!B$25*Calculations!$C$6)+('Input and Output'!B$26*(IF('Input and Output'!D$7="Detritus",Calculations!$C$4,G648))-(SUM('Input and Output'!B$27:B$32))*H647))</f>
        <v>6.9219562978673821E-2</v>
      </c>
      <c r="D648" s="49">
        <f>(('Input and Output'!C$23*'Input and Output'!$B$10)+('Input and Output'!C$24*Calculations!$C$5)+('Input and Output'!C$25*Calculations!$C$6)+('Input and Output'!C$26*(IF('Input and Output'!E$7="Detritus",Calculations!$C$4,H648))-(SUM('Input and Output'!C$27:C$32))*I647))</f>
        <v>0.58321188847730809</v>
      </c>
      <c r="E648" s="49">
        <f>(('Input and Output'!D$23*'Input and Output'!$B$10)+('Input and Output'!D$24*Calculations!$C$5)+('Input and Output'!D$25*Calculations!$C$6)+('Input and Output'!D$26*(IF('Input and Output'!F$7="Detritus",Calculations!$C$4,I648))-(SUM('Input and Output'!D$27:D$32))*J647))</f>
        <v>0.25643776999277179</v>
      </c>
      <c r="F648" s="49" t="e">
        <f>(('Input and Output'!E$23*'Input and Output'!$B$10)+('Input and Output'!E$24*Calculations!$C$5)+('Input and Output'!E$25*Calculations!$C$6)+('Input and Output'!E$26*(IF('Input and Output'!G$7="Detritus",Calculations!$C$4,J648))-(SUM('Input and Output'!E$27:E$32))*K647))</f>
        <v>#N/A</v>
      </c>
      <c r="H648" s="49">
        <f>IF(H$2="",NA(),C648*$B648+H647)</f>
        <v>324410.84129170899</v>
      </c>
      <c r="I648" s="49">
        <f>IF(I$2="",NA(),D648*$B648+I647)</f>
        <v>2972574.1343244645</v>
      </c>
      <c r="J648" s="49">
        <f>IF(J$2="",NA(),E648*$B648+J647)</f>
        <v>1381628.7475164325</v>
      </c>
      <c r="K648" s="49" t="e">
        <f>IF(K$2="",NA(),F648*$B648+K647)</f>
        <v>#N/A</v>
      </c>
    </row>
    <row r="649" spans="1:11" x14ac:dyDescent="0.4">
      <c r="A649" s="49">
        <v>646</v>
      </c>
      <c r="B649" s="49">
        <f>A649/$B$1</f>
        <v>26.916666666666668</v>
      </c>
      <c r="C649" s="49">
        <f>(('Input and Output'!B$23*'Input and Output'!$B$10)+('Input and Output'!B$24*Calculations!$C$5)+('Input and Output'!B$25*Calculations!$C$6)+('Input and Output'!B$26*(IF('Input and Output'!D$7="Detritus",Calculations!$C$4,G649))-(SUM('Input and Output'!B$27:B$32))*H648))</f>
        <v>6.7426044888236447E-2</v>
      </c>
      <c r="D649" s="49">
        <f>(('Input and Output'!C$23*'Input and Output'!$B$10)+('Input and Output'!C$24*Calculations!$C$5)+('Input and Output'!C$25*Calculations!$C$6)+('Input and Output'!C$26*(IF('Input and Output'!E$7="Detritus",Calculations!$C$4,H649))-(SUM('Input and Output'!C$27:C$32))*I648))</f>
        <v>0.56807504266089381</v>
      </c>
      <c r="E649" s="49">
        <f>(('Input and Output'!D$23*'Input and Output'!$B$10)+('Input and Output'!D$24*Calculations!$C$5)+('Input and Output'!D$25*Calculations!$C$6)+('Input and Output'!D$26*(IF('Input and Output'!F$7="Detritus",Calculations!$C$4,I649))-(SUM('Input and Output'!D$27:D$32))*J648))</f>
        <v>0.24977118903552764</v>
      </c>
      <c r="F649" s="49" t="e">
        <f>(('Input and Output'!E$23*'Input and Output'!$B$10)+('Input and Output'!E$24*Calculations!$C$5)+('Input and Output'!E$25*Calculations!$C$6)+('Input and Output'!E$26*(IF('Input and Output'!G$7="Detritus",Calculations!$C$4,J649))-(SUM('Input and Output'!E$27:E$32))*K648))</f>
        <v>#N/A</v>
      </c>
      <c r="H649" s="49">
        <f>IF(H$2="",NA(),C649*$B649+H648)</f>
        <v>324412.6561760839</v>
      </c>
      <c r="I649" s="49">
        <f>IF(I$2="",NA(),D649*$B649+I648)</f>
        <v>2972589.4250110295</v>
      </c>
      <c r="J649" s="49">
        <f>IF(J$2="",NA(),E649*$B649+J648)</f>
        <v>1381635.4705242708</v>
      </c>
      <c r="K649" s="49" t="e">
        <f>IF(K$2="",NA(),F649*$B649+K648)</f>
        <v>#N/A</v>
      </c>
    </row>
    <row r="650" spans="1:11" x14ac:dyDescent="0.4">
      <c r="A650" s="49">
        <v>647</v>
      </c>
      <c r="B650" s="49">
        <f>A650/$B$1</f>
        <v>26.958333333333332</v>
      </c>
      <c r="C650" s="49">
        <f>(('Input and Output'!B$23*'Input and Output'!$B$10)+('Input and Output'!B$24*Calculations!$C$5)+('Input and Output'!B$25*Calculations!$C$6)+('Input and Output'!B$26*(IF('Input and Output'!D$7="Detritus",Calculations!$C$4,G650))-(SUM('Input and Output'!B$27:B$32))*H649))</f>
        <v>6.5676289267571519E-2</v>
      </c>
      <c r="D650" s="49">
        <f>(('Input and Output'!C$23*'Input and Output'!$B$10)+('Input and Output'!C$24*Calculations!$C$5)+('Input and Output'!C$25*Calculations!$C$6)+('Input and Output'!C$26*(IF('Input and Output'!E$7="Detritus",Calculations!$C$4,H650))-(SUM('Input and Output'!C$27:C$32))*I649))</f>
        <v>0.55330824927386857</v>
      </c>
      <c r="E650" s="49">
        <f>(('Input and Output'!D$23*'Input and Output'!$B$10)+('Input and Output'!D$24*Calculations!$C$5)+('Input and Output'!D$25*Calculations!$C$6)+('Input and Output'!D$26*(IF('Input and Output'!F$7="Detritus",Calculations!$C$4,I650))-(SUM('Input and Output'!D$27:D$32))*J649))</f>
        <v>0.24326788963298895</v>
      </c>
      <c r="F650" s="49" t="e">
        <f>(('Input and Output'!E$23*'Input and Output'!$B$10)+('Input and Output'!E$24*Calculations!$C$5)+('Input and Output'!E$25*Calculations!$C$6)+('Input and Output'!E$26*(IF('Input and Output'!G$7="Detritus",Calculations!$C$4,J650))-(SUM('Input and Output'!E$27:E$32))*K649))</f>
        <v>#N/A</v>
      </c>
      <c r="H650" s="49">
        <f>IF(H$2="",NA(),C650*$B650+H649)</f>
        <v>324414.42669938208</v>
      </c>
      <c r="I650" s="49">
        <f>IF(I$2="",NA(),D650*$B650+I649)</f>
        <v>2972604.3412792496</v>
      </c>
      <c r="J650" s="49">
        <f>IF(J$2="",NA(),E650*$B650+J649)</f>
        <v>1381642.0286211288</v>
      </c>
      <c r="K650" s="49" t="e">
        <f>IF(K$2="",NA(),F650*$B650+K649)</f>
        <v>#N/A</v>
      </c>
    </row>
    <row r="651" spans="1:11" x14ac:dyDescent="0.4">
      <c r="A651" s="49">
        <v>648</v>
      </c>
      <c r="B651" s="49">
        <f>A651/$B$1</f>
        <v>27</v>
      </c>
      <c r="C651" s="49">
        <f>(('Input and Output'!B$23*'Input and Output'!$B$10)+('Input and Output'!B$24*Calculations!$C$5)+('Input and Output'!B$25*Calculations!$C$6)+('Input and Output'!B$26*(IF('Input and Output'!D$7="Detritus",Calculations!$C$4,G651))-(SUM('Input and Output'!B$27:B$32))*H650))</f>
        <v>6.3969302786574644E-2</v>
      </c>
      <c r="D651" s="49">
        <f>(('Input and Output'!C$23*'Input and Output'!$B$10)+('Input and Output'!C$24*Calculations!$C$5)+('Input and Output'!C$25*Calculations!$C$6)+('Input and Output'!C$26*(IF('Input and Output'!E$7="Detritus",Calculations!$C$4,H651))-(SUM('Input and Output'!C$27:C$32))*I650))</f>
        <v>0.53890308988320612</v>
      </c>
      <c r="E651" s="49">
        <f>(('Input and Output'!D$23*'Input and Output'!$B$10)+('Input and Output'!D$24*Calculations!$C$5)+('Input and Output'!D$25*Calculations!$C$6)+('Input and Output'!D$26*(IF('Input and Output'!F$7="Detritus",Calculations!$C$4,I651))-(SUM('Input and Output'!D$27:D$32))*J650))</f>
        <v>0.23692414911420201</v>
      </c>
      <c r="F651" s="49" t="e">
        <f>(('Input and Output'!E$23*'Input and Output'!$B$10)+('Input and Output'!E$24*Calculations!$C$5)+('Input and Output'!E$25*Calculations!$C$6)+('Input and Output'!E$26*(IF('Input and Output'!G$7="Detritus",Calculations!$C$4,J651))-(SUM('Input and Output'!E$27:E$32))*K650))</f>
        <v>#N/A</v>
      </c>
      <c r="H651" s="49">
        <f>IF(H$2="",NA(),C651*$B651+H650)</f>
        <v>324416.15387055732</v>
      </c>
      <c r="I651" s="49">
        <f>IF(I$2="",NA(),D651*$B651+I650)</f>
        <v>2972618.8916626764</v>
      </c>
      <c r="J651" s="49">
        <f>IF(J$2="",NA(),E651*$B651+J650)</f>
        <v>1381648.4255731548</v>
      </c>
      <c r="K651" s="49" t="e">
        <f>IF(K$2="",NA(),F651*$B651+K650)</f>
        <v>#N/A</v>
      </c>
    </row>
    <row r="652" spans="1:11" x14ac:dyDescent="0.4">
      <c r="A652" s="49">
        <v>649</v>
      </c>
      <c r="B652" s="49">
        <f>A652/$B$1</f>
        <v>27.041666666666668</v>
      </c>
      <c r="C652" s="49">
        <f>(('Input and Output'!B$23*'Input and Output'!$B$10)+('Input and Output'!B$24*Calculations!$C$5)+('Input and Output'!B$25*Calculations!$C$6)+('Input and Output'!B$26*(IF('Input and Output'!D$7="Detritus",Calculations!$C$4,G652))-(SUM('Input and Output'!B$27:B$32))*H651))</f>
        <v>6.2304112698711833E-2</v>
      </c>
      <c r="D652" s="49">
        <f>(('Input and Output'!C$23*'Input and Output'!$B$10)+('Input and Output'!C$24*Calculations!$C$5)+('Input and Output'!C$25*Calculations!$C$6)+('Input and Output'!C$26*(IF('Input and Output'!E$7="Detritus",Calculations!$C$4,H652))-(SUM('Input and Output'!C$27:C$32))*I651))</f>
        <v>0.52485132099172915</v>
      </c>
      <c r="E652" s="49">
        <f>(('Input and Output'!D$23*'Input and Output'!$B$10)+('Input and Output'!D$24*Calculations!$C$5)+('Input and Output'!D$25*Calculations!$C$6)+('Input and Output'!D$26*(IF('Input and Output'!F$7="Detritus",Calculations!$C$4,I652))-(SUM('Input and Output'!D$27:D$32))*J651))</f>
        <v>0.23073632254454424</v>
      </c>
      <c r="F652" s="49" t="e">
        <f>(('Input and Output'!E$23*'Input and Output'!$B$10)+('Input and Output'!E$24*Calculations!$C$5)+('Input and Output'!E$25*Calculations!$C$6)+('Input and Output'!E$26*(IF('Input and Output'!G$7="Detritus",Calculations!$C$4,J652))-(SUM('Input and Output'!E$27:E$32))*K651))</f>
        <v>#N/A</v>
      </c>
      <c r="H652" s="49">
        <f>IF(H$2="",NA(),C652*$B652+H651)</f>
        <v>324417.83867760486</v>
      </c>
      <c r="I652" s="49">
        <f>IF(I$2="",NA(),D652*$B652+I651)</f>
        <v>2972633.0845171483</v>
      </c>
      <c r="J652" s="49">
        <f>IF(J$2="",NA(),E652*$B652+J651)</f>
        <v>1381654.6650678769</v>
      </c>
      <c r="K652" s="49" t="e">
        <f>IF(K$2="",NA(),F652*$B652+K651)</f>
        <v>#N/A</v>
      </c>
    </row>
    <row r="653" spans="1:11" x14ac:dyDescent="0.4">
      <c r="A653" s="49">
        <v>650</v>
      </c>
      <c r="B653" s="49">
        <f>A653/$B$1</f>
        <v>27.083333333333332</v>
      </c>
      <c r="C653" s="49">
        <f>(('Input and Output'!B$23*'Input and Output'!$B$10)+('Input and Output'!B$24*Calculations!$C$5)+('Input and Output'!B$25*Calculations!$C$6)+('Input and Output'!B$26*(IF('Input and Output'!D$7="Detritus",Calculations!$C$4,G653))-(SUM('Input and Output'!B$27:B$32))*H652))</f>
        <v>6.0679766463806573E-2</v>
      </c>
      <c r="D653" s="49">
        <f>(('Input and Output'!C$23*'Input and Output'!$B$10)+('Input and Output'!C$24*Calculations!$C$5)+('Input and Output'!C$25*Calculations!$C$6)+('Input and Output'!C$26*(IF('Input and Output'!E$7="Detritus",Calculations!$C$4,H653))-(SUM('Input and Output'!C$27:C$32))*I652))</f>
        <v>0.51114487080849358</v>
      </c>
      <c r="E653" s="49">
        <f>(('Input and Output'!D$23*'Input and Output'!$B$10)+('Input and Output'!D$24*Calculations!$C$5)+('Input and Output'!D$25*Calculations!$C$6)+('Input and Output'!D$26*(IF('Input and Output'!F$7="Detritus",Calculations!$C$4,I653))-(SUM('Input and Output'!D$27:D$32))*J652))</f>
        <v>0.22470084092128673</v>
      </c>
      <c r="F653" s="49" t="e">
        <f>(('Input and Output'!E$23*'Input and Output'!$B$10)+('Input and Output'!E$24*Calculations!$C$5)+('Input and Output'!E$25*Calculations!$C$6)+('Input and Output'!E$26*(IF('Input and Output'!G$7="Detritus",Calculations!$C$4,J653))-(SUM('Input and Output'!E$27:E$32))*K652))</f>
        <v>#N/A</v>
      </c>
      <c r="H653" s="49">
        <f>IF(H$2="",NA(),C653*$B653+H652)</f>
        <v>324419.48208794661</v>
      </c>
      <c r="I653" s="49">
        <f>IF(I$2="",NA(),D653*$B653+I652)</f>
        <v>2972646.9280240661</v>
      </c>
      <c r="J653" s="49">
        <f>IF(J$2="",NA(),E653*$B653+J652)</f>
        <v>1381660.7507156518</v>
      </c>
      <c r="K653" s="49" t="e">
        <f>IF(K$2="",NA(),F653*$B653+K652)</f>
        <v>#N/A</v>
      </c>
    </row>
    <row r="654" spans="1:11" x14ac:dyDescent="0.4">
      <c r="A654" s="49">
        <v>651</v>
      </c>
      <c r="B654" s="49">
        <f>A654/$B$1</f>
        <v>27.125</v>
      </c>
      <c r="C654" s="49">
        <f>(('Input and Output'!B$23*'Input and Output'!$B$10)+('Input and Output'!B$24*Calculations!$C$5)+('Input and Output'!B$25*Calculations!$C$6)+('Input and Output'!B$26*(IF('Input and Output'!D$7="Detritus",Calculations!$C$4,G654))-(SUM('Input and Output'!B$27:B$32))*H653))</f>
        <v>5.9095331376738613E-2</v>
      </c>
      <c r="D654" s="49">
        <f>(('Input and Output'!C$23*'Input and Output'!$B$10)+('Input and Output'!C$24*Calculations!$C$5)+('Input and Output'!C$25*Calculations!$C$6)+('Input and Output'!C$26*(IF('Input and Output'!E$7="Detritus",Calculations!$C$4,H654))-(SUM('Input and Output'!C$27:C$32))*I653))</f>
        <v>0.49777583608829445</v>
      </c>
      <c r="E654" s="49">
        <f>(('Input and Output'!D$23*'Input and Output'!$B$10)+('Input and Output'!D$24*Calculations!$C$5)+('Input and Output'!D$25*Calculations!$C$6)+('Input and Output'!D$26*(IF('Input and Output'!F$7="Detritus",Calculations!$C$4,I654))-(SUM('Input and Output'!D$27:D$32))*J653))</f>
        <v>0.21881421012585633</v>
      </c>
      <c r="F654" s="49" t="e">
        <f>(('Input and Output'!E$23*'Input and Output'!$B$10)+('Input and Output'!E$24*Calculations!$C$5)+('Input and Output'!E$25*Calculations!$C$6)+('Input and Output'!E$26*(IF('Input and Output'!G$7="Detritus",Calculations!$C$4,J654))-(SUM('Input and Output'!E$27:E$32))*K653))</f>
        <v>#N/A</v>
      </c>
      <c r="H654" s="49">
        <f>IF(H$2="",NA(),C654*$B654+H653)</f>
        <v>324421.08504881023</v>
      </c>
      <c r="I654" s="49">
        <f>IF(I$2="",NA(),D654*$B654+I653)</f>
        <v>2972660.4301936203</v>
      </c>
      <c r="J654" s="49">
        <f>IF(J$2="",NA(),E654*$B654+J653)</f>
        <v>1381666.6860511014</v>
      </c>
      <c r="K654" s="49" t="e">
        <f>IF(K$2="",NA(),F654*$B654+K653)</f>
        <v>#N/A</v>
      </c>
    </row>
    <row r="655" spans="1:11" x14ac:dyDescent="0.4">
      <c r="A655" s="49">
        <v>652</v>
      </c>
      <c r="B655" s="49">
        <f>A655/$B$1</f>
        <v>27.166666666666668</v>
      </c>
      <c r="C655" s="49">
        <f>(('Input and Output'!B$23*'Input and Output'!$B$10)+('Input and Output'!B$24*Calculations!$C$5)+('Input and Output'!B$25*Calculations!$C$6)+('Input and Output'!B$26*(IF('Input and Output'!D$7="Detritus",Calculations!$C$4,G655))-(SUM('Input and Output'!B$27:B$32))*H654))</f>
        <v>5.7549894201997631E-2</v>
      </c>
      <c r="D655" s="49">
        <f>(('Input and Output'!C$23*'Input and Output'!$B$10)+('Input and Output'!C$24*Calculations!$C$5)+('Input and Output'!C$25*Calculations!$C$6)+('Input and Output'!C$26*(IF('Input and Output'!E$7="Detritus",Calculations!$C$4,H655))-(SUM('Input and Output'!C$27:C$32))*I654))</f>
        <v>0.48473647901573713</v>
      </c>
      <c r="E655" s="49">
        <f>(('Input and Output'!D$23*'Input and Output'!$B$10)+('Input and Output'!D$24*Calculations!$C$5)+('Input and Output'!D$25*Calculations!$C$6)+('Input and Output'!D$26*(IF('Input and Output'!F$7="Detritus",Calculations!$C$4,I655))-(SUM('Input and Output'!D$27:D$32))*J654))</f>
        <v>0.2130730092212616</v>
      </c>
      <c r="F655" s="49" t="e">
        <f>(('Input and Output'!E$23*'Input and Output'!$B$10)+('Input and Output'!E$24*Calculations!$C$5)+('Input and Output'!E$25*Calculations!$C$6)+('Input and Output'!E$26*(IF('Input and Output'!G$7="Detritus",Calculations!$C$4,J655))-(SUM('Input and Output'!E$27:E$32))*K654))</f>
        <v>#N/A</v>
      </c>
      <c r="H655" s="49">
        <f>IF(H$2="",NA(),C655*$B655+H654)</f>
        <v>324422.64848760271</v>
      </c>
      <c r="I655" s="49">
        <f>IF(I$2="",NA(),D655*$B655+I654)</f>
        <v>2972673.5988679668</v>
      </c>
      <c r="J655" s="49">
        <f>IF(J$2="",NA(),E655*$B655+J654)</f>
        <v>1381672.4745345186</v>
      </c>
      <c r="K655" s="49" t="e">
        <f>IF(K$2="",NA(),F655*$B655+K654)</f>
        <v>#N/A</v>
      </c>
    </row>
    <row r="656" spans="1:11" x14ac:dyDescent="0.4">
      <c r="A656" s="49">
        <v>653</v>
      </c>
      <c r="B656" s="49">
        <f>A656/$B$1</f>
        <v>27.208333333333332</v>
      </c>
      <c r="C656" s="49">
        <f>(('Input and Output'!B$23*'Input and Output'!$B$10)+('Input and Output'!B$24*Calculations!$C$5)+('Input and Output'!B$25*Calculations!$C$6)+('Input and Output'!B$26*(IF('Input and Output'!D$7="Detritus",Calculations!$C$4,G656))-(SUM('Input and Output'!B$27:B$32))*H655))</f>
        <v>5.6042560813409636E-2</v>
      </c>
      <c r="D656" s="49">
        <f>(('Input and Output'!C$23*'Input and Output'!$B$10)+('Input and Output'!C$24*Calculations!$C$5)+('Input and Output'!C$25*Calculations!$C$6)+('Input and Output'!C$26*(IF('Input and Output'!E$7="Detritus",Calculations!$C$4,H656))-(SUM('Input and Output'!C$27:C$32))*I655))</f>
        <v>0.47201922412750719</v>
      </c>
      <c r="E656" s="49">
        <f>(('Input and Output'!D$23*'Input and Output'!$B$10)+('Input and Output'!D$24*Calculations!$C$5)+('Input and Output'!D$25*Calculations!$C$6)+('Input and Output'!D$26*(IF('Input and Output'!F$7="Detritus",Calculations!$C$4,I656))-(SUM('Input and Output'!D$27:D$32))*J655))</f>
        <v>0.20747388938980293</v>
      </c>
      <c r="F656" s="49" t="e">
        <f>(('Input and Output'!E$23*'Input and Output'!$B$10)+('Input and Output'!E$24*Calculations!$C$5)+('Input and Output'!E$25*Calculations!$C$6)+('Input and Output'!E$26*(IF('Input and Output'!G$7="Detritus",Calculations!$C$4,J656))-(SUM('Input and Output'!E$27:E$32))*K655))</f>
        <v>#N/A</v>
      </c>
      <c r="H656" s="49">
        <f>IF(H$2="",NA(),C656*$B656+H655)</f>
        <v>324424.17331227817</v>
      </c>
      <c r="I656" s="49">
        <f>IF(I$2="",NA(),D656*$B656+I655)</f>
        <v>2972686.4417243567</v>
      </c>
      <c r="J656" s="49">
        <f>IF(J$2="",NA(),E656*$B656+J655)</f>
        <v>1381678.1195532591</v>
      </c>
      <c r="K656" s="49" t="e">
        <f>IF(K$2="",NA(),F656*$B656+K655)</f>
        <v>#N/A</v>
      </c>
    </row>
    <row r="657" spans="1:11" x14ac:dyDescent="0.4">
      <c r="A657" s="49">
        <v>654</v>
      </c>
      <c r="B657" s="49">
        <f>A657/$B$1</f>
        <v>27.25</v>
      </c>
      <c r="C657" s="49">
        <f>(('Input and Output'!B$23*'Input and Output'!$B$10)+('Input and Output'!B$24*Calculations!$C$5)+('Input and Output'!B$25*Calculations!$C$6)+('Input and Output'!B$26*(IF('Input and Output'!D$7="Detritus",Calculations!$C$4,G657))-(SUM('Input and Output'!B$27:B$32))*H656))</f>
        <v>5.4572455839604572E-2</v>
      </c>
      <c r="D657" s="49">
        <f>(('Input and Output'!C$23*'Input and Output'!$B$10)+('Input and Output'!C$24*Calculations!$C$5)+('Input and Output'!C$25*Calculations!$C$6)+('Input and Output'!C$26*(IF('Input and Output'!E$7="Detritus",Calculations!$C$4,H657))-(SUM('Input and Output'!C$27:C$32))*I656))</f>
        <v>0.4596166552937575</v>
      </c>
      <c r="E657" s="49">
        <f>(('Input and Output'!D$23*'Input and Output'!$B$10)+('Input and Output'!D$24*Calculations!$C$5)+('Input and Output'!D$25*Calculations!$C$6)+('Input and Output'!D$26*(IF('Input and Output'!F$7="Detritus",Calculations!$C$4,I657))-(SUM('Input and Output'!D$27:D$32))*J656))</f>
        <v>0.20201357227415428</v>
      </c>
      <c r="F657" s="49" t="e">
        <f>(('Input and Output'!E$23*'Input and Output'!$B$10)+('Input and Output'!E$24*Calculations!$C$5)+('Input and Output'!E$25*Calculations!$C$6)+('Input and Output'!E$26*(IF('Input and Output'!G$7="Detritus",Calculations!$C$4,J657))-(SUM('Input and Output'!E$27:E$32))*K656))</f>
        <v>#N/A</v>
      </c>
      <c r="H657" s="49">
        <f>IF(H$2="",NA(),C657*$B657+H656)</f>
        <v>324425.66041169979</v>
      </c>
      <c r="I657" s="49">
        <f>IF(I$2="",NA(),D657*$B657+I656)</f>
        <v>2972698.9662782135</v>
      </c>
      <c r="J657" s="49">
        <f>IF(J$2="",NA(),E657*$B657+J656)</f>
        <v>1381683.6244231036</v>
      </c>
      <c r="K657" s="49" t="e">
        <f>IF(K$2="",NA(),F657*$B657+K656)</f>
        <v>#N/A</v>
      </c>
    </row>
    <row r="658" spans="1:11" x14ac:dyDescent="0.4">
      <c r="A658" s="49">
        <v>655</v>
      </c>
      <c r="B658" s="49">
        <f>A658/$B$1</f>
        <v>27.291666666666668</v>
      </c>
      <c r="C658" s="49">
        <f>(('Input and Output'!B$23*'Input and Output'!$B$10)+('Input and Output'!B$24*Calculations!$C$5)+('Input and Output'!B$25*Calculations!$C$6)+('Input and Output'!B$26*(IF('Input and Output'!D$7="Detritus",Calculations!$C$4,G658))-(SUM('Input and Output'!B$27:B$32))*H657))</f>
        <v>5.3138722315054565E-2</v>
      </c>
      <c r="D658" s="49">
        <f>(('Input and Output'!C$23*'Input and Output'!$B$10)+('Input and Output'!C$24*Calculations!$C$5)+('Input and Output'!C$25*Calculations!$C$6)+('Input and Output'!C$26*(IF('Input and Output'!E$7="Detritus",Calculations!$C$4,H658))-(SUM('Input and Output'!C$27:C$32))*I657))</f>
        <v>0.44752151274587959</v>
      </c>
      <c r="E658" s="49">
        <f>(('Input and Output'!D$23*'Input and Output'!$B$10)+('Input and Output'!D$24*Calculations!$C$5)+('Input and Output'!D$25*Calculations!$C$6)+('Input and Output'!D$26*(IF('Input and Output'!F$7="Detritus",Calculations!$C$4,I658))-(SUM('Input and Output'!D$27:D$32))*J657))</f>
        <v>0.19668884895872907</v>
      </c>
      <c r="F658" s="49" t="e">
        <f>(('Input and Output'!E$23*'Input and Output'!$B$10)+('Input and Output'!E$24*Calculations!$C$5)+('Input and Output'!E$25*Calculations!$C$6)+('Input and Output'!E$26*(IF('Input and Output'!G$7="Detritus",Calculations!$C$4,J658))-(SUM('Input and Output'!E$27:E$32))*K657))</f>
        <v>#N/A</v>
      </c>
      <c r="H658" s="49">
        <f>IF(H$2="",NA(),C658*$B658+H657)</f>
        <v>324427.11065599631</v>
      </c>
      <c r="I658" s="49">
        <f>IF(I$2="",NA(),D658*$B658+I657)</f>
        <v>2972711.1798861655</v>
      </c>
      <c r="J658" s="49">
        <f>IF(J$2="",NA(),E658*$B658+J657)</f>
        <v>1381688.9923896065</v>
      </c>
      <c r="K658" s="49" t="e">
        <f>IF(K$2="",NA(),F658*$B658+K657)</f>
        <v>#N/A</v>
      </c>
    </row>
    <row r="659" spans="1:11" x14ac:dyDescent="0.4">
      <c r="A659" s="49">
        <v>656</v>
      </c>
      <c r="B659" s="49">
        <f>A659/$B$1</f>
        <v>27.333333333333332</v>
      </c>
      <c r="C659" s="49">
        <f>(('Input and Output'!B$23*'Input and Output'!$B$10)+('Input and Output'!B$24*Calculations!$C$5)+('Input and Output'!B$25*Calculations!$C$6)+('Input and Output'!B$26*(IF('Input and Output'!D$7="Detritus",Calculations!$C$4,G659))-(SUM('Input and Output'!B$27:B$32))*H658))</f>
        <v>5.1740521336341772E-2</v>
      </c>
      <c r="D659" s="49">
        <f>(('Input and Output'!C$23*'Input and Output'!$B$10)+('Input and Output'!C$24*Calculations!$C$5)+('Input and Output'!C$25*Calculations!$C$6)+('Input and Output'!C$26*(IF('Input and Output'!E$7="Detritus",Calculations!$C$4,H659))-(SUM('Input and Output'!C$27:C$32))*I658))</f>
        <v>0.4357266901379262</v>
      </c>
      <c r="E659" s="49">
        <f>(('Input and Output'!D$23*'Input and Output'!$B$10)+('Input and Output'!D$24*Calculations!$C$5)+('Input and Output'!D$25*Calculations!$C$6)+('Input and Output'!D$26*(IF('Input and Output'!F$7="Detritus",Calculations!$C$4,I659))-(SUM('Input and Output'!D$27:D$32))*J658))</f>
        <v>0.1914965784708329</v>
      </c>
      <c r="F659" s="49" t="e">
        <f>(('Input and Output'!E$23*'Input and Output'!$B$10)+('Input and Output'!E$24*Calculations!$C$5)+('Input and Output'!E$25*Calculations!$C$6)+('Input and Output'!E$26*(IF('Input and Output'!G$7="Detritus",Calculations!$C$4,J659))-(SUM('Input and Output'!E$27:E$32))*K658))</f>
        <v>#N/A</v>
      </c>
      <c r="H659" s="49">
        <f>IF(H$2="",NA(),C659*$B659+H658)</f>
        <v>324428.52489691286</v>
      </c>
      <c r="I659" s="49">
        <f>IF(I$2="",NA(),D659*$B659+I658)</f>
        <v>2972723.0897490294</v>
      </c>
      <c r="J659" s="49">
        <f>IF(J$2="",NA(),E659*$B659+J658)</f>
        <v>1381694.2266294181</v>
      </c>
      <c r="K659" s="49" t="e">
        <f>IF(K$2="",NA(),F659*$B659+K658)</f>
        <v>#N/A</v>
      </c>
    </row>
    <row r="660" spans="1:11" x14ac:dyDescent="0.4">
      <c r="A660" s="49">
        <v>657</v>
      </c>
      <c r="B660" s="49">
        <f>A660/$B$1</f>
        <v>27.375</v>
      </c>
      <c r="C660" s="49">
        <f>(('Input and Output'!B$23*'Input and Output'!$B$10)+('Input and Output'!B$24*Calculations!$C$5)+('Input and Output'!B$25*Calculations!$C$6)+('Input and Output'!B$26*(IF('Input and Output'!D$7="Detritus",Calculations!$C$4,G660))-(SUM('Input and Output'!B$27:B$32))*H659))</f>
        <v>5.0377031724053722E-2</v>
      </c>
      <c r="D660" s="49">
        <f>(('Input and Output'!C$23*'Input and Output'!$B$10)+('Input and Output'!C$24*Calculations!$C$5)+('Input and Output'!C$25*Calculations!$C$6)+('Input and Output'!C$26*(IF('Input and Output'!E$7="Detritus",Calculations!$C$4,H660))-(SUM('Input and Output'!C$27:C$32))*I659))</f>
        <v>0.42422523166351311</v>
      </c>
      <c r="E660" s="49">
        <f>(('Input and Output'!D$23*'Input and Output'!$B$10)+('Input and Output'!D$24*Calculations!$C$5)+('Input and Output'!D$25*Calculations!$C$6)+('Input and Output'!D$26*(IF('Input and Output'!F$7="Detritus",Calculations!$C$4,I660))-(SUM('Input and Output'!D$27:D$32))*J659))</f>
        <v>0.18643368642733549</v>
      </c>
      <c r="F660" s="49" t="e">
        <f>(('Input and Output'!E$23*'Input and Output'!$B$10)+('Input and Output'!E$24*Calculations!$C$5)+('Input and Output'!E$25*Calculations!$C$6)+('Input and Output'!E$26*(IF('Input and Output'!G$7="Detritus",Calculations!$C$4,J660))-(SUM('Input and Output'!E$27:E$32))*K659))</f>
        <v>#N/A</v>
      </c>
      <c r="H660" s="49">
        <f>IF(H$2="",NA(),C660*$B660+H659)</f>
        <v>324429.90396815632</v>
      </c>
      <c r="I660" s="49">
        <f>IF(I$2="",NA(),D660*$B660+I659)</f>
        <v>2972734.702914746</v>
      </c>
      <c r="J660" s="49">
        <f>IF(J$2="",NA(),E660*$B660+J659)</f>
        <v>1381699.3302515841</v>
      </c>
      <c r="K660" s="49" t="e">
        <f>IF(K$2="",NA(),F660*$B660+K659)</f>
        <v>#N/A</v>
      </c>
    </row>
    <row r="661" spans="1:11" x14ac:dyDescent="0.4">
      <c r="A661" s="49">
        <v>658</v>
      </c>
      <c r="B661" s="49">
        <f>A661/$B$1</f>
        <v>27.416666666666668</v>
      </c>
      <c r="C661" s="49">
        <f>(('Input and Output'!B$23*'Input and Output'!$B$10)+('Input and Output'!B$24*Calculations!$C$5)+('Input and Output'!B$25*Calculations!$C$6)+('Input and Output'!B$26*(IF('Input and Output'!D$7="Detritus",Calculations!$C$4,G661))-(SUM('Input and Output'!B$27:B$32))*H660))</f>
        <v>4.9047449689567202E-2</v>
      </c>
      <c r="D661" s="49">
        <f>(('Input and Output'!C$23*'Input and Output'!$B$10)+('Input and Output'!C$24*Calculations!$C$5)+('Input and Output'!C$25*Calculations!$C$6)+('Input and Output'!C$26*(IF('Input and Output'!E$7="Detritus",Calculations!$C$4,H661))-(SUM('Input and Output'!C$27:C$32))*I660))</f>
        <v>0.41301032922729064</v>
      </c>
      <c r="E661" s="49">
        <f>(('Input and Output'!D$23*'Input and Output'!$B$10)+('Input and Output'!D$24*Calculations!$C$5)+('Input and Output'!D$25*Calculations!$C$6)+('Input and Output'!D$26*(IF('Input and Output'!F$7="Detritus",Calculations!$C$4,I661))-(SUM('Input and Output'!D$27:D$32))*J660))</f>
        <v>0.1814971641615557</v>
      </c>
      <c r="F661" s="49" t="e">
        <f>(('Input and Output'!E$23*'Input and Output'!$B$10)+('Input and Output'!E$24*Calculations!$C$5)+('Input and Output'!E$25*Calculations!$C$6)+('Input and Output'!E$26*(IF('Input and Output'!G$7="Detritus",Calculations!$C$4,J661))-(SUM('Input and Output'!E$27:E$32))*K660))</f>
        <v>#N/A</v>
      </c>
      <c r="H661" s="49">
        <f>IF(H$2="",NA(),C661*$B661+H660)</f>
        <v>324431.24868573528</v>
      </c>
      <c r="I661" s="49">
        <f>IF(I$2="",NA(),D661*$B661+I660)</f>
        <v>2972746.0262812725</v>
      </c>
      <c r="J661" s="49">
        <f>IF(J$2="",NA(),E661*$B661+J660)</f>
        <v>1381704.3062988347</v>
      </c>
      <c r="K661" s="49" t="e">
        <f>IF(K$2="",NA(),F661*$B661+K660)</f>
        <v>#N/A</v>
      </c>
    </row>
    <row r="662" spans="1:11" x14ac:dyDescent="0.4">
      <c r="A662" s="49">
        <v>659</v>
      </c>
      <c r="B662" s="49">
        <f>A662/$B$1</f>
        <v>27.458333333333332</v>
      </c>
      <c r="C662" s="49">
        <f>(('Input and Output'!B$23*'Input and Output'!$B$10)+('Input and Output'!B$24*Calculations!$C$5)+('Input and Output'!B$25*Calculations!$C$6)+('Input and Output'!B$26*(IF('Input and Output'!D$7="Detritus",Calculations!$C$4,G662))-(SUM('Input and Output'!B$27:B$32))*H661))</f>
        <v>4.7750988507459624E-2</v>
      </c>
      <c r="D662" s="49">
        <f>(('Input and Output'!C$23*'Input and Output'!$B$10)+('Input and Output'!C$24*Calculations!$C$5)+('Input and Output'!C$25*Calculations!$C$6)+('Input and Output'!C$26*(IF('Input and Output'!E$7="Detritus",Calculations!$C$4,H662))-(SUM('Input and Output'!C$27:C$32))*I661))</f>
        <v>0.40207531964369991</v>
      </c>
      <c r="E662" s="49">
        <f>(('Input and Output'!D$23*'Input and Output'!$B$10)+('Input and Output'!D$24*Calculations!$C$5)+('Input and Output'!D$25*Calculations!$C$6)+('Input and Output'!D$26*(IF('Input and Output'!F$7="Detritus",Calculations!$C$4,I662))-(SUM('Input and Output'!D$27:D$32))*J661))</f>
        <v>0.17668406690427219</v>
      </c>
      <c r="F662" s="49" t="e">
        <f>(('Input and Output'!E$23*'Input and Output'!$B$10)+('Input and Output'!E$24*Calculations!$C$5)+('Input and Output'!E$25*Calculations!$C$6)+('Input and Output'!E$26*(IF('Input and Output'!G$7="Detritus",Calculations!$C$4,J662))-(SUM('Input and Output'!E$27:E$32))*K661))</f>
        <v>#N/A</v>
      </c>
      <c r="H662" s="49">
        <f>IF(H$2="",NA(),C662*$B662+H661)</f>
        <v>324432.55984829471</v>
      </c>
      <c r="I662" s="49">
        <f>IF(I$2="",NA(),D662*$B662+I661)</f>
        <v>2972757.0665994245</v>
      </c>
      <c r="J662" s="49">
        <f>IF(J$2="",NA(),E662*$B662+J661)</f>
        <v>1381709.1577488384</v>
      </c>
      <c r="K662" s="49" t="e">
        <f>IF(K$2="",NA(),F662*$B662+K661)</f>
        <v>#N/A</v>
      </c>
    </row>
    <row r="663" spans="1:11" x14ac:dyDescent="0.4">
      <c r="A663" s="49">
        <v>660</v>
      </c>
      <c r="B663" s="49">
        <f>A663/$B$1</f>
        <v>27.5</v>
      </c>
      <c r="C663" s="49">
        <f>(('Input and Output'!B$23*'Input and Output'!$B$10)+('Input and Output'!B$24*Calculations!$C$5)+('Input and Output'!B$25*Calculations!$C$6)+('Input and Output'!B$26*(IF('Input and Output'!D$7="Detritus",Calculations!$C$4,G663))-(SUM('Input and Output'!B$27:B$32))*H662))</f>
        <v>4.6486878192922632E-2</v>
      </c>
      <c r="D663" s="49">
        <f>(('Input and Output'!C$23*'Input and Output'!$B$10)+('Input and Output'!C$24*Calculations!$C$5)+('Input and Output'!C$25*Calculations!$C$6)+('Input and Output'!C$26*(IF('Input and Output'!E$7="Detritus",Calculations!$C$4,H663))-(SUM('Input and Output'!C$27:C$32))*I662))</f>
        <v>0.39141368188575143</v>
      </c>
      <c r="E663" s="49">
        <f>(('Input and Output'!D$23*'Input and Output'!$B$10)+('Input and Output'!D$24*Calculations!$C$5)+('Input and Output'!D$25*Calculations!$C$6)+('Input and Output'!D$26*(IF('Input and Output'!F$7="Detritus",Calculations!$C$4,I663))-(SUM('Input and Output'!D$27:D$32))*J662))</f>
        <v>0.17199151311433525</v>
      </c>
      <c r="F663" s="49" t="e">
        <f>(('Input and Output'!E$23*'Input and Output'!$B$10)+('Input and Output'!E$24*Calculations!$C$5)+('Input and Output'!E$25*Calculations!$C$6)+('Input and Output'!E$26*(IF('Input and Output'!G$7="Detritus",Calculations!$C$4,J663))-(SUM('Input and Output'!E$27:E$32))*K662))</f>
        <v>#N/A</v>
      </c>
      <c r="H663" s="49">
        <f>IF(H$2="",NA(),C663*$B663+H662)</f>
        <v>324433.83823744499</v>
      </c>
      <c r="I663" s="49">
        <f>IF(I$2="",NA(),D663*$B663+I662)</f>
        <v>2972767.8304756763</v>
      </c>
      <c r="J663" s="49">
        <f>IF(J$2="",NA(),E663*$B663+J662)</f>
        <v>1381713.887515449</v>
      </c>
      <c r="K663" s="49" t="e">
        <f>IF(K$2="",NA(),F663*$B663+K662)</f>
        <v>#N/A</v>
      </c>
    </row>
    <row r="664" spans="1:11" x14ac:dyDescent="0.4">
      <c r="A664" s="49">
        <v>661</v>
      </c>
      <c r="B664" s="49">
        <f>A664/$B$1</f>
        <v>27.541666666666668</v>
      </c>
      <c r="C664" s="49">
        <f>(('Input and Output'!B$23*'Input and Output'!$B$10)+('Input and Output'!B$24*Calculations!$C$5)+('Input and Output'!B$25*Calculations!$C$6)+('Input and Output'!B$26*(IF('Input and Output'!D$7="Detritus",Calculations!$C$4,G664))-(SUM('Input and Output'!B$27:B$32))*H663))</f>
        <v>4.5254365184405287E-2</v>
      </c>
      <c r="D664" s="49">
        <f>(('Input and Output'!C$23*'Input and Output'!$B$10)+('Input and Output'!C$24*Calculations!$C$5)+('Input and Output'!C$25*Calculations!$C$6)+('Input and Output'!C$26*(IF('Input and Output'!E$7="Detritus",Calculations!$C$4,H664))-(SUM('Input and Output'!C$27:C$32))*I663))</f>
        <v>0.38101903439201124</v>
      </c>
      <c r="E664" s="49">
        <f>(('Input and Output'!D$23*'Input and Output'!$B$10)+('Input and Output'!D$24*Calculations!$C$5)+('Input and Output'!D$25*Calculations!$C$6)+('Input and Output'!D$26*(IF('Input and Output'!F$7="Detritus",Calculations!$C$4,I664))-(SUM('Input and Output'!D$27:D$32))*J663))</f>
        <v>0.16741668292161194</v>
      </c>
      <c r="F664" s="49" t="e">
        <f>(('Input and Output'!E$23*'Input and Output'!$B$10)+('Input and Output'!E$24*Calculations!$C$5)+('Input and Output'!E$25*Calculations!$C$6)+('Input and Output'!E$26*(IF('Input and Output'!G$7="Detritus",Calculations!$C$4,J664))-(SUM('Input and Output'!E$27:E$32))*K663))</f>
        <v>#N/A</v>
      </c>
      <c r="H664" s="49">
        <f>IF(H$2="",NA(),C664*$B664+H663)</f>
        <v>324435.08461808611</v>
      </c>
      <c r="I664" s="49">
        <f>IF(I$2="",NA(),D664*$B664+I663)</f>
        <v>2972778.3243749151</v>
      </c>
      <c r="J664" s="49">
        <f>IF(J$2="",NA(),E664*$B664+J663)</f>
        <v>1381718.4984499244</v>
      </c>
      <c r="K664" s="49" t="e">
        <f>IF(K$2="",NA(),F664*$B664+K663)</f>
        <v>#N/A</v>
      </c>
    </row>
    <row r="665" spans="1:11" x14ac:dyDescent="0.4">
      <c r="A665" s="49">
        <v>662</v>
      </c>
      <c r="B665" s="49">
        <f>A665/$B$1</f>
        <v>27.583333333333332</v>
      </c>
      <c r="C665" s="49">
        <f>(('Input and Output'!B$23*'Input and Output'!$B$10)+('Input and Output'!B$24*Calculations!$C$5)+('Input and Output'!B$25*Calculations!$C$6)+('Input and Output'!B$26*(IF('Input and Output'!D$7="Detritus",Calculations!$C$4,G665))-(SUM('Input and Output'!B$27:B$32))*H664))</f>
        <v>4.4052712030918428E-2</v>
      </c>
      <c r="D665" s="49">
        <f>(('Input and Output'!C$23*'Input and Output'!$B$10)+('Input and Output'!C$24*Calculations!$C$5)+('Input and Output'!C$25*Calculations!$C$6)+('Input and Output'!C$26*(IF('Input and Output'!E$7="Detritus",Calculations!$C$4,H665))-(SUM('Input and Output'!C$27:C$32))*I664))</f>
        <v>0.37088513238541054</v>
      </c>
      <c r="E665" s="49">
        <f>(('Input and Output'!D$23*'Input and Output'!$B$10)+('Input and Output'!D$24*Calculations!$C$5)+('Input and Output'!D$25*Calculations!$C$6)+('Input and Output'!D$26*(IF('Input and Output'!F$7="Detritus",Calculations!$C$4,I665))-(SUM('Input and Output'!D$27:D$32))*J664))</f>
        <v>0.16295681706469622</v>
      </c>
      <c r="F665" s="49" t="e">
        <f>(('Input and Output'!E$23*'Input and Output'!$B$10)+('Input and Output'!E$24*Calculations!$C$5)+('Input and Output'!E$25*Calculations!$C$6)+('Input and Output'!E$26*(IF('Input and Output'!G$7="Detritus",Calculations!$C$4,J665))-(SUM('Input and Output'!E$27:E$32))*K664))</f>
        <v>#N/A</v>
      </c>
      <c r="H665" s="49">
        <f>IF(H$2="",NA(),C665*$B665+H664)</f>
        <v>324436.29973872629</v>
      </c>
      <c r="I665" s="49">
        <f>IF(I$2="",NA(),D665*$B665+I664)</f>
        <v>2972788.5546231503</v>
      </c>
      <c r="J665" s="49">
        <f>IF(J$2="",NA(),E665*$B665+J664)</f>
        <v>1381722.9933421283</v>
      </c>
      <c r="K665" s="49" t="e">
        <f>IF(K$2="",NA(),F665*$B665+K664)</f>
        <v>#N/A</v>
      </c>
    </row>
    <row r="666" spans="1:11" x14ac:dyDescent="0.4">
      <c r="A666" s="49">
        <v>663</v>
      </c>
      <c r="B666" s="49">
        <f>A666/$B$1</f>
        <v>27.625</v>
      </c>
      <c r="C666" s="49">
        <f>(('Input and Output'!B$23*'Input and Output'!$B$10)+('Input and Output'!B$24*Calculations!$C$5)+('Input and Output'!B$25*Calculations!$C$6)+('Input and Output'!B$26*(IF('Input and Output'!D$7="Detritus",Calculations!$C$4,G666))-(SUM('Input and Output'!B$27:B$32))*H665))</f>
        <v>4.288119708519389E-2</v>
      </c>
      <c r="D666" s="49">
        <f>(('Input and Output'!C$23*'Input and Output'!$B$10)+('Input and Output'!C$24*Calculations!$C$5)+('Input and Output'!C$25*Calculations!$C$6)+('Input and Output'!C$26*(IF('Input and Output'!E$7="Detritus",Calculations!$C$4,H666))-(SUM('Input and Output'!C$27:C$32))*I665))</f>
        <v>0.36100586527572887</v>
      </c>
      <c r="E666" s="49">
        <f>(('Input and Output'!D$23*'Input and Output'!$B$10)+('Input and Output'!D$24*Calculations!$C$5)+('Input and Output'!D$25*Calculations!$C$6)+('Input and Output'!D$26*(IF('Input and Output'!F$7="Detritus",Calculations!$C$4,I666))-(SUM('Input and Output'!D$27:D$32))*J665))</f>
        <v>0.15860921572675579</v>
      </c>
      <c r="F666" s="49" t="e">
        <f>(('Input and Output'!E$23*'Input and Output'!$B$10)+('Input and Output'!E$24*Calculations!$C$5)+('Input and Output'!E$25*Calculations!$C$6)+('Input and Output'!E$26*(IF('Input and Output'!G$7="Detritus",Calculations!$C$4,J666))-(SUM('Input and Output'!E$27:E$32))*K665))</f>
        <v>#N/A</v>
      </c>
      <c r="H666" s="49">
        <f>IF(H$2="",NA(),C666*$B666+H665)</f>
        <v>324437.48433179577</v>
      </c>
      <c r="I666" s="49">
        <f>IF(I$2="",NA(),D666*$B666+I665)</f>
        <v>2972798.5274101784</v>
      </c>
      <c r="J666" s="49">
        <f>IF(J$2="",NA(),E666*$B666+J665)</f>
        <v>1381727.3749217128</v>
      </c>
      <c r="K666" s="49" t="e">
        <f>IF(K$2="",NA(),F666*$B666+K665)</f>
        <v>#N/A</v>
      </c>
    </row>
    <row r="667" spans="1:11" x14ac:dyDescent="0.4">
      <c r="A667" s="49">
        <v>664</v>
      </c>
      <c r="B667" s="49">
        <f>A667/$B$1</f>
        <v>27.666666666666668</v>
      </c>
      <c r="C667" s="49">
        <f>(('Input and Output'!B$23*'Input and Output'!$B$10)+('Input and Output'!B$24*Calculations!$C$5)+('Input and Output'!B$25*Calculations!$C$6)+('Input and Output'!B$26*(IF('Input and Output'!D$7="Detritus",Calculations!$C$4,G667))-(SUM('Input and Output'!B$27:B$32))*H666))</f>
        <v>4.1739114200879612E-2</v>
      </c>
      <c r="D667" s="49">
        <f>(('Input and Output'!C$23*'Input and Output'!$B$10)+('Input and Output'!C$24*Calculations!$C$5)+('Input and Output'!C$25*Calculations!$C$6)+('Input and Output'!C$26*(IF('Input and Output'!E$7="Detritus",Calculations!$C$4,H667))-(SUM('Input and Output'!C$27:C$32))*I666))</f>
        <v>0.35137525406480563</v>
      </c>
      <c r="E667" s="49">
        <f>(('Input and Output'!D$23*'Input and Output'!$B$10)+('Input and Output'!D$24*Calculations!$C$5)+('Input and Output'!D$25*Calculations!$C$6)+('Input and Output'!D$26*(IF('Input and Output'!F$7="Detritus",Calculations!$C$4,I667))-(SUM('Input and Output'!D$27:D$32))*J666))</f>
        <v>0.15437123742958647</v>
      </c>
      <c r="F667" s="49" t="e">
        <f>(('Input and Output'!E$23*'Input and Output'!$B$10)+('Input and Output'!E$24*Calculations!$C$5)+('Input and Output'!E$25*Calculations!$C$6)+('Input and Output'!E$26*(IF('Input and Output'!G$7="Detritus",Calculations!$C$4,J667))-(SUM('Input and Output'!E$27:E$32))*K666))</f>
        <v>#N/A</v>
      </c>
      <c r="H667" s="49">
        <f>IF(H$2="",NA(),C667*$B667+H666)</f>
        <v>324438.63911395532</v>
      </c>
      <c r="I667" s="49">
        <f>IF(I$2="",NA(),D667*$B667+I666)</f>
        <v>2972808.2487922078</v>
      </c>
      <c r="J667" s="49">
        <f>IF(J$2="",NA(),E667*$B667+J666)</f>
        <v>1381731.6458592818</v>
      </c>
      <c r="K667" s="49" t="e">
        <f>IF(K$2="",NA(),F667*$B667+K666)</f>
        <v>#N/A</v>
      </c>
    </row>
    <row r="668" spans="1:11" x14ac:dyDescent="0.4">
      <c r="A668" s="49">
        <v>665</v>
      </c>
      <c r="B668" s="49">
        <f>A668/$B$1</f>
        <v>27.708333333333332</v>
      </c>
      <c r="C668" s="49">
        <f>(('Input and Output'!B$23*'Input and Output'!$B$10)+('Input and Output'!B$24*Calculations!$C$5)+('Input and Output'!B$25*Calculations!$C$6)+('Input and Output'!B$26*(IF('Input and Output'!D$7="Detritus",Calculations!$C$4,G668))-(SUM('Input and Output'!B$27:B$32))*H667))</f>
        <v>4.0625772435305407E-2</v>
      </c>
      <c r="D668" s="49">
        <f>(('Input and Output'!C$23*'Input and Output'!$B$10)+('Input and Output'!C$24*Calculations!$C$5)+('Input and Output'!C$25*Calculations!$C$6)+('Input and Output'!C$26*(IF('Input and Output'!E$7="Detritus",Calculations!$C$4,H668))-(SUM('Input and Output'!C$27:C$32))*I667))</f>
        <v>0.34198744882633036</v>
      </c>
      <c r="E668" s="49">
        <f>(('Input and Output'!D$23*'Input and Output'!$B$10)+('Input and Output'!D$24*Calculations!$C$5)+('Input and Output'!D$25*Calculations!$C$6)+('Input and Output'!D$26*(IF('Input and Output'!F$7="Detritus",Calculations!$C$4,I668))-(SUM('Input and Output'!D$27:D$32))*J667))</f>
        <v>0.15024029770938796</v>
      </c>
      <c r="F668" s="49" t="e">
        <f>(('Input and Output'!E$23*'Input and Output'!$B$10)+('Input and Output'!E$24*Calculations!$C$5)+('Input and Output'!E$25*Calculations!$C$6)+('Input and Output'!E$26*(IF('Input and Output'!G$7="Detritus",Calculations!$C$4,J668))-(SUM('Input and Output'!E$27:E$32))*K667))</f>
        <v>#N/A</v>
      </c>
      <c r="H668" s="49">
        <f>IF(H$2="",NA(),C668*$B668+H667)</f>
        <v>324439.7647863999</v>
      </c>
      <c r="I668" s="49">
        <f>IF(I$2="",NA(),D668*$B668+I667)</f>
        <v>2972817.7246944355</v>
      </c>
      <c r="J668" s="49">
        <f>IF(J$2="",NA(),E668*$B668+J667)</f>
        <v>1381735.8087675308</v>
      </c>
      <c r="K668" s="49" t="e">
        <f>IF(K$2="",NA(),F668*$B668+K667)</f>
        <v>#N/A</v>
      </c>
    </row>
    <row r="669" spans="1:11" x14ac:dyDescent="0.4">
      <c r="A669" s="49">
        <v>666</v>
      </c>
      <c r="B669" s="49">
        <f>A669/$B$1</f>
        <v>27.75</v>
      </c>
      <c r="C669" s="49">
        <f>(('Input and Output'!B$23*'Input and Output'!$B$10)+('Input and Output'!B$24*Calculations!$C$5)+('Input and Output'!B$25*Calculations!$C$6)+('Input and Output'!B$26*(IF('Input and Output'!D$7="Detritus",Calculations!$C$4,G669))-(SUM('Input and Output'!B$27:B$32))*H668))</f>
        <v>3.9540495756398286E-2</v>
      </c>
      <c r="D669" s="49">
        <f>(('Input and Output'!C$23*'Input and Output'!$B$10)+('Input and Output'!C$24*Calculations!$C$5)+('Input and Output'!C$25*Calculations!$C$6)+('Input and Output'!C$26*(IF('Input and Output'!E$7="Detritus",Calculations!$C$4,H669))-(SUM('Input and Output'!C$27:C$32))*I668))</f>
        <v>0.33283672620291327</v>
      </c>
      <c r="E669" s="49">
        <f>(('Input and Output'!D$23*'Input and Output'!$B$10)+('Input and Output'!D$24*Calculations!$C$5)+('Input and Output'!D$25*Calculations!$C$6)+('Input and Output'!D$26*(IF('Input and Output'!F$7="Detritus",Calculations!$C$4,I669))-(SUM('Input and Output'!D$27:D$32))*J668))</f>
        <v>0.14621386841827189</v>
      </c>
      <c r="F669" s="49" t="e">
        <f>(('Input and Output'!E$23*'Input and Output'!$B$10)+('Input and Output'!E$24*Calculations!$C$5)+('Input and Output'!E$25*Calculations!$C$6)+('Input and Output'!E$26*(IF('Input and Output'!G$7="Detritus",Calculations!$C$4,J669))-(SUM('Input and Output'!E$27:E$32))*K668))</f>
        <v>#N/A</v>
      </c>
      <c r="H669" s="49">
        <f>IF(H$2="",NA(),C669*$B669+H668)</f>
        <v>324440.86203515716</v>
      </c>
      <c r="I669" s="49">
        <f>IF(I$2="",NA(),D669*$B669+I668)</f>
        <v>2972826.9609135878</v>
      </c>
      <c r="J669" s="49">
        <f>IF(J$2="",NA(),E669*$B669+J668)</f>
        <v>1381739.8662023793</v>
      </c>
      <c r="K669" s="49" t="e">
        <f>IF(K$2="",NA(),F669*$B669+K668)</f>
        <v>#N/A</v>
      </c>
    </row>
    <row r="670" spans="1:11" x14ac:dyDescent="0.4">
      <c r="A670" s="49">
        <v>667</v>
      </c>
      <c r="B670" s="49">
        <f>A670/$B$1</f>
        <v>27.791666666666668</v>
      </c>
      <c r="C670" s="49">
        <f>(('Input and Output'!B$23*'Input and Output'!$B$10)+('Input and Output'!B$24*Calculations!$C$5)+('Input and Output'!B$25*Calculations!$C$6)+('Input and Output'!B$26*(IF('Input and Output'!D$7="Detritus",Calculations!$C$4,G670))-(SUM('Input and Output'!B$27:B$32))*H669))</f>
        <v>3.848262275533898E-2</v>
      </c>
      <c r="D670" s="49">
        <f>(('Input and Output'!C$23*'Input and Output'!$B$10)+('Input and Output'!C$24*Calculations!$C$5)+('Input and Output'!C$25*Calculations!$C$6)+('Input and Output'!C$26*(IF('Input and Output'!E$7="Detritus",Calculations!$C$4,H670))-(SUM('Input and Output'!C$27:C$32))*I669))</f>
        <v>0.32391748695772549</v>
      </c>
      <c r="E670" s="49">
        <f>(('Input and Output'!D$23*'Input and Output'!$B$10)+('Input and Output'!D$24*Calculations!$C$5)+('Input and Output'!D$25*Calculations!$C$6)+('Input and Output'!D$26*(IF('Input and Output'!F$7="Detritus",Calculations!$C$4,I670))-(SUM('Input and Output'!D$27:D$32))*J669))</f>
        <v>0.14228947606534348</v>
      </c>
      <c r="F670" s="49" t="e">
        <f>(('Input and Output'!E$23*'Input and Output'!$B$10)+('Input and Output'!E$24*Calculations!$C$5)+('Input and Output'!E$25*Calculations!$C$6)+('Input and Output'!E$26*(IF('Input and Output'!G$7="Detritus",Calculations!$C$4,J670))-(SUM('Input and Output'!E$27:E$32))*K669))</f>
        <v>#N/A</v>
      </c>
      <c r="H670" s="49">
        <f>IF(H$2="",NA(),C670*$B670+H669)</f>
        <v>324441.93153138121</v>
      </c>
      <c r="I670" s="49">
        <f>IF(I$2="",NA(),D670*$B670+I669)</f>
        <v>2972835.963120413</v>
      </c>
      <c r="J670" s="49">
        <f>IF(J$2="",NA(),E670*$B670+J669)</f>
        <v>1381743.8206640682</v>
      </c>
      <c r="K670" s="49" t="e">
        <f>IF(K$2="",NA(),F670*$B670+K669)</f>
        <v>#N/A</v>
      </c>
    </row>
    <row r="671" spans="1:11" x14ac:dyDescent="0.4">
      <c r="A671" s="49">
        <v>668</v>
      </c>
      <c r="B671" s="49">
        <f>A671/$B$1</f>
        <v>27.833333333333332</v>
      </c>
      <c r="C671" s="49">
        <f>(('Input and Output'!B$23*'Input and Output'!$B$10)+('Input and Output'!B$24*Calculations!$C$5)+('Input and Output'!B$25*Calculations!$C$6)+('Input and Output'!B$26*(IF('Input and Output'!D$7="Detritus",Calculations!$C$4,G671))-(SUM('Input and Output'!B$27:B$32))*H670))</f>
        <v>3.7451506362913278E-2</v>
      </c>
      <c r="D671" s="49">
        <f>(('Input and Output'!C$23*'Input and Output'!$B$10)+('Input and Output'!C$24*Calculations!$C$5)+('Input and Output'!C$25*Calculations!$C$6)+('Input and Output'!C$26*(IF('Input and Output'!E$7="Detritus",Calculations!$C$4,H671))-(SUM('Input and Output'!C$27:C$32))*I670))</f>
        <v>0.31522425356797612</v>
      </c>
      <c r="E671" s="49">
        <f>(('Input and Output'!D$23*'Input and Output'!$B$10)+('Input and Output'!D$24*Calculations!$C$5)+('Input and Output'!D$25*Calculations!$C$6)+('Input and Output'!D$26*(IF('Input and Output'!F$7="Detritus",Calculations!$C$4,I671))-(SUM('Input and Output'!D$27:D$32))*J670))</f>
        <v>0.13846470133648836</v>
      </c>
      <c r="F671" s="49" t="e">
        <f>(('Input and Output'!E$23*'Input and Output'!$B$10)+('Input and Output'!E$24*Calculations!$C$5)+('Input and Output'!E$25*Calculations!$C$6)+('Input and Output'!E$26*(IF('Input and Output'!G$7="Detritus",Calculations!$C$4,J671))-(SUM('Input and Output'!E$27:E$32))*K670))</f>
        <v>#N/A</v>
      </c>
      <c r="H671" s="49">
        <f>IF(H$2="",NA(),C671*$B671+H670)</f>
        <v>324442.97393164167</v>
      </c>
      <c r="I671" s="49">
        <f>IF(I$2="",NA(),D671*$B671+I670)</f>
        <v>2972844.7368621374</v>
      </c>
      <c r="J671" s="49">
        <f>IF(J$2="",NA(),E671*$B671+J670)</f>
        <v>1381747.6745982554</v>
      </c>
      <c r="K671" s="49" t="e">
        <f>IF(K$2="",NA(),F671*$B671+K670)</f>
        <v>#N/A</v>
      </c>
    </row>
    <row r="672" spans="1:11" x14ac:dyDescent="0.4">
      <c r="A672" s="49">
        <v>669</v>
      </c>
      <c r="B672" s="49">
        <f>A672/$B$1</f>
        <v>27.875</v>
      </c>
      <c r="C672" s="49">
        <f>(('Input and Output'!B$23*'Input and Output'!$B$10)+('Input and Output'!B$24*Calculations!$C$5)+('Input and Output'!B$25*Calculations!$C$6)+('Input and Output'!B$26*(IF('Input and Output'!D$7="Detritus",Calculations!$C$4,G672))-(SUM('Input and Output'!B$27:B$32))*H671))</f>
        <v>3.6446513571092964E-2</v>
      </c>
      <c r="D672" s="49">
        <f>(('Input and Output'!C$23*'Input and Output'!$B$10)+('Input and Output'!C$24*Calculations!$C$5)+('Input and Output'!C$25*Calculations!$C$6)+('Input and Output'!C$26*(IF('Input and Output'!E$7="Detritus",Calculations!$C$4,H672))-(SUM('Input and Output'!C$27:C$32))*I671))</f>
        <v>0.30675166784112662</v>
      </c>
      <c r="E672" s="49">
        <f>(('Input and Output'!D$23*'Input and Output'!$B$10)+('Input and Output'!D$24*Calculations!$C$5)+('Input and Output'!D$25*Calculations!$C$6)+('Input and Output'!D$26*(IF('Input and Output'!F$7="Detritus",Calculations!$C$4,I672))-(SUM('Input and Output'!D$27:D$32))*J671))</f>
        <v>0.13473717752276571</v>
      </c>
      <c r="F672" s="49" t="e">
        <f>(('Input and Output'!E$23*'Input and Output'!$B$10)+('Input and Output'!E$24*Calculations!$C$5)+('Input and Output'!E$25*Calculations!$C$6)+('Input and Output'!E$26*(IF('Input and Output'!G$7="Detritus",Calculations!$C$4,J672))-(SUM('Input and Output'!E$27:E$32))*K671))</f>
        <v>#N/A</v>
      </c>
      <c r="H672" s="49">
        <f>IF(H$2="",NA(),C672*$B672+H671)</f>
        <v>324443.98987820745</v>
      </c>
      <c r="I672" s="49">
        <f>IF(I$2="",NA(),D672*$B672+I671)</f>
        <v>2972853.2875648784</v>
      </c>
      <c r="J672" s="49">
        <f>IF(J$2="",NA(),E672*$B672+J671)</f>
        <v>1381751.4303970789</v>
      </c>
      <c r="K672" s="49" t="e">
        <f>IF(K$2="",NA(),F672*$B672+K671)</f>
        <v>#N/A</v>
      </c>
    </row>
    <row r="673" spans="1:11" x14ac:dyDescent="0.4">
      <c r="A673" s="49">
        <v>670</v>
      </c>
      <c r="B673" s="49">
        <f>A673/$B$1</f>
        <v>27.916666666666668</v>
      </c>
      <c r="C673" s="49">
        <f>(('Input and Output'!B$23*'Input and Output'!$B$10)+('Input and Output'!B$24*Calculations!$C$5)+('Input and Output'!B$25*Calculations!$C$6)+('Input and Output'!B$26*(IF('Input and Output'!D$7="Detritus",Calculations!$C$4,G673))-(SUM('Input and Output'!B$27:B$32))*H672))</f>
        <v>3.5467025159391596E-2</v>
      </c>
      <c r="D673" s="49">
        <f>(('Input and Output'!C$23*'Input and Output'!$B$10)+('Input and Output'!C$24*Calculations!$C$5)+('Input and Output'!C$25*Calculations!$C$6)+('Input and Output'!C$26*(IF('Input and Output'!E$7="Detritus",Calculations!$C$4,H673))-(SUM('Input and Output'!C$27:C$32))*I672))</f>
        <v>0.2984944885929508</v>
      </c>
      <c r="E673" s="49">
        <f>(('Input and Output'!D$23*'Input and Output'!$B$10)+('Input and Output'!D$24*Calculations!$C$5)+('Input and Output'!D$25*Calculations!$C$6)+('Input and Output'!D$26*(IF('Input and Output'!F$7="Detritus",Calculations!$C$4,I673))-(SUM('Input and Output'!D$27:D$32))*J672))</f>
        <v>0.1311045899092278</v>
      </c>
      <c r="F673" s="49" t="e">
        <f>(('Input and Output'!E$23*'Input and Output'!$B$10)+('Input and Output'!E$24*Calculations!$C$5)+('Input and Output'!E$25*Calculations!$C$6)+('Input and Output'!E$26*(IF('Input and Output'!G$7="Detritus",Calculations!$C$4,J673))-(SUM('Input and Output'!E$27:E$32))*K672))</f>
        <v>#N/A</v>
      </c>
      <c r="H673" s="49">
        <f>IF(H$2="",NA(),C673*$B673+H672)</f>
        <v>324444.97999932646</v>
      </c>
      <c r="I673" s="49">
        <f>IF(I$2="",NA(),D673*$B673+I672)</f>
        <v>2972861.6205360182</v>
      </c>
      <c r="J673" s="49">
        <f>IF(J$2="",NA(),E673*$B673+J672)</f>
        <v>1381755.0904002138</v>
      </c>
      <c r="K673" s="49" t="e">
        <f>IF(K$2="",NA(),F673*$B673+K672)</f>
        <v>#N/A</v>
      </c>
    </row>
    <row r="674" spans="1:11" x14ac:dyDescent="0.4">
      <c r="A674" s="49">
        <v>671</v>
      </c>
      <c r="B674" s="49">
        <f>A674/$B$1</f>
        <v>27.958333333333332</v>
      </c>
      <c r="C674" s="49">
        <f>(('Input and Output'!B$23*'Input and Output'!$B$10)+('Input and Output'!B$24*Calculations!$C$5)+('Input and Output'!B$25*Calculations!$C$6)+('Input and Output'!B$26*(IF('Input and Output'!D$7="Detritus",Calculations!$C$4,G674))-(SUM('Input and Output'!B$27:B$32))*H673))</f>
        <v>3.4512435425142485E-2</v>
      </c>
      <c r="D674" s="49">
        <f>(('Input and Output'!C$23*'Input and Output'!$B$10)+('Input and Output'!C$24*Calculations!$C$5)+('Input and Output'!C$25*Calculations!$C$6)+('Input and Output'!C$26*(IF('Input and Output'!E$7="Detritus",Calculations!$C$4,H674))-(SUM('Input and Output'!C$27:C$32))*I673))</f>
        <v>0.29044758934833226</v>
      </c>
      <c r="E674" s="49">
        <f>(('Input and Output'!D$23*'Input and Output'!$B$10)+('Input and Output'!D$24*Calculations!$C$5)+('Input and Output'!D$25*Calculations!$C$6)+('Input and Output'!D$26*(IF('Input and Output'!F$7="Detritus",Calculations!$C$4,I674))-(SUM('Input and Output'!D$27:D$32))*J673))</f>
        <v>0.12756467449435149</v>
      </c>
      <c r="F674" s="49" t="e">
        <f>(('Input and Output'!E$23*'Input and Output'!$B$10)+('Input and Output'!E$24*Calculations!$C$5)+('Input and Output'!E$25*Calculations!$C$6)+('Input and Output'!E$26*(IF('Input and Output'!G$7="Detritus",Calculations!$C$4,J674))-(SUM('Input and Output'!E$27:E$32))*K673))</f>
        <v>#N/A</v>
      </c>
      <c r="H674" s="49">
        <f>IF(H$2="",NA(),C674*$B674+H673)</f>
        <v>324445.94490950025</v>
      </c>
      <c r="I674" s="49">
        <f>IF(I$2="",NA(),D674*$B674+I673)</f>
        <v>2972869.740966537</v>
      </c>
      <c r="J674" s="49">
        <f>IF(J$2="",NA(),E674*$B674+J673)</f>
        <v>1381758.6568959048</v>
      </c>
      <c r="K674" s="49" t="e">
        <f>IF(K$2="",NA(),F674*$B674+K673)</f>
        <v>#N/A</v>
      </c>
    </row>
    <row r="675" spans="1:11" x14ac:dyDescent="0.4">
      <c r="A675" s="49">
        <v>672</v>
      </c>
      <c r="B675" s="49">
        <f>A675/$B$1</f>
        <v>28</v>
      </c>
      <c r="C675" s="49">
        <f>(('Input and Output'!B$23*'Input and Output'!$B$10)+('Input and Output'!B$24*Calculations!$C$5)+('Input and Output'!B$25*Calculations!$C$6)+('Input and Output'!B$26*(IF('Input and Output'!D$7="Detritus",Calculations!$C$4,G675))-(SUM('Input and Output'!B$27:B$32))*H674))</f>
        <v>3.3582151918722047E-2</v>
      </c>
      <c r="D675" s="49">
        <f>(('Input and Output'!C$23*'Input and Output'!$B$10)+('Input and Output'!C$24*Calculations!$C$5)+('Input and Output'!C$25*Calculations!$C$6)+('Input and Output'!C$26*(IF('Input and Output'!E$7="Detritus",Calculations!$C$4,H675))-(SUM('Input and Output'!C$27:C$32))*I674))</f>
        <v>0.28260595608662697</v>
      </c>
      <c r="E675" s="49">
        <f>(('Input and Output'!D$23*'Input and Output'!$B$10)+('Input and Output'!D$24*Calculations!$C$5)+('Input and Output'!D$25*Calculations!$C$6)+('Input and Output'!D$26*(IF('Input and Output'!F$7="Detritus",Calculations!$C$4,I675))-(SUM('Input and Output'!D$27:D$32))*J674))</f>
        <v>0.12411521698595607</v>
      </c>
      <c r="F675" s="49" t="e">
        <f>(('Input and Output'!E$23*'Input and Output'!$B$10)+('Input and Output'!E$24*Calculations!$C$5)+('Input and Output'!E$25*Calculations!$C$6)+('Input and Output'!E$26*(IF('Input and Output'!G$7="Detritus",Calculations!$C$4,J675))-(SUM('Input and Output'!E$27:E$32))*K674))</f>
        <v>#N/A</v>
      </c>
      <c r="H675" s="49">
        <f>IF(H$2="",NA(),C675*$B675+H674)</f>
        <v>324446.88520975399</v>
      </c>
      <c r="I675" s="49">
        <f>IF(I$2="",NA(),D675*$B675+I674)</f>
        <v>2972877.6539333076</v>
      </c>
      <c r="J675" s="49">
        <f>IF(J$2="",NA(),E675*$B675+J674)</f>
        <v>1381762.1321219804</v>
      </c>
      <c r="K675" s="49" t="e">
        <f>IF(K$2="",NA(),F675*$B675+K674)</f>
        <v>#N/A</v>
      </c>
    </row>
    <row r="676" spans="1:11" x14ac:dyDescent="0.4">
      <c r="A676" s="49">
        <v>673</v>
      </c>
      <c r="B676" s="49">
        <f>A676/$B$1</f>
        <v>28.041666666666668</v>
      </c>
      <c r="C676" s="49">
        <f>(('Input and Output'!B$23*'Input and Output'!$B$10)+('Input and Output'!B$24*Calculations!$C$5)+('Input and Output'!B$25*Calculations!$C$6)+('Input and Output'!B$26*(IF('Input and Output'!D$7="Detritus",Calculations!$C$4,G676))-(SUM('Input and Output'!B$27:B$32))*H675))</f>
        <v>3.2675595183320638E-2</v>
      </c>
      <c r="D676" s="49">
        <f>(('Input and Output'!C$23*'Input and Output'!$B$10)+('Input and Output'!C$24*Calculations!$C$5)+('Input and Output'!C$25*Calculations!$C$6)+('Input and Output'!C$26*(IF('Input and Output'!E$7="Detritus",Calculations!$C$4,H676))-(SUM('Input and Output'!C$27:C$32))*I675))</f>
        <v>0.27496468502613425</v>
      </c>
      <c r="E676" s="49">
        <f>(('Input and Output'!D$23*'Input and Output'!$B$10)+('Input and Output'!D$24*Calculations!$C$5)+('Input and Output'!D$25*Calculations!$C$6)+('Input and Output'!D$26*(IF('Input and Output'!F$7="Detritus",Calculations!$C$4,I676))-(SUM('Input and Output'!D$27:D$32))*J675))</f>
        <v>0.12075405205905554</v>
      </c>
      <c r="F676" s="49" t="e">
        <f>(('Input and Output'!E$23*'Input and Output'!$B$10)+('Input and Output'!E$24*Calculations!$C$5)+('Input and Output'!E$25*Calculations!$C$6)+('Input and Output'!E$26*(IF('Input and Output'!G$7="Detritus",Calculations!$C$4,J676))-(SUM('Input and Output'!E$27:E$32))*K675))</f>
        <v>#N/A</v>
      </c>
      <c r="H676" s="49">
        <f>IF(H$2="",NA(),C676*$B676+H675)</f>
        <v>324447.80148790224</v>
      </c>
      <c r="I676" s="49">
        <f>IF(I$2="",NA(),D676*$B676+I675)</f>
        <v>2972885.3644013503</v>
      </c>
      <c r="J676" s="49">
        <f>IF(J$2="",NA(),E676*$B676+J675)</f>
        <v>1381765.5182668569</v>
      </c>
      <c r="K676" s="49" t="e">
        <f>IF(K$2="",NA(),F676*$B676+K675)</f>
        <v>#N/A</v>
      </c>
    </row>
    <row r="677" spans="1:11" x14ac:dyDescent="0.4">
      <c r="A677" s="49">
        <v>674</v>
      </c>
      <c r="B677" s="49">
        <f>A677/$B$1</f>
        <v>28.083333333333332</v>
      </c>
      <c r="C677" s="49">
        <f>(('Input and Output'!B$23*'Input and Output'!$B$10)+('Input and Output'!B$24*Calculations!$C$5)+('Input and Output'!B$25*Calculations!$C$6)+('Input and Output'!B$26*(IF('Input and Output'!D$7="Detritus",Calculations!$C$4,G677))-(SUM('Input and Output'!B$27:B$32))*H676))</f>
        <v>3.1792198498521884E-2</v>
      </c>
      <c r="D677" s="49">
        <f>(('Input and Output'!C$23*'Input and Output'!$B$10)+('Input and Output'!C$24*Calculations!$C$5)+('Input and Output'!C$25*Calculations!$C$6)+('Input and Output'!C$26*(IF('Input and Output'!E$7="Detritus",Calculations!$C$4,H677))-(SUM('Input and Output'!C$27:C$32))*I676))</f>
        <v>0.26751898044767586</v>
      </c>
      <c r="E677" s="49">
        <f>(('Input and Output'!D$23*'Input and Output'!$B$10)+('Input and Output'!D$24*Calculations!$C$5)+('Input and Output'!D$25*Calculations!$C$6)+('Input and Output'!D$26*(IF('Input and Output'!F$7="Detritus",Calculations!$C$4,I677))-(SUM('Input and Output'!D$27:D$32))*J676))</f>
        <v>0.11747906203163438</v>
      </c>
      <c r="F677" s="49" t="e">
        <f>(('Input and Output'!E$23*'Input and Output'!$B$10)+('Input and Output'!E$24*Calculations!$C$5)+('Input and Output'!E$25*Calculations!$C$6)+('Input and Output'!E$26*(IF('Input and Output'!G$7="Detritus",Calculations!$C$4,J677))-(SUM('Input and Output'!E$27:E$32))*K676))</f>
        <v>#N/A</v>
      </c>
      <c r="H677" s="49">
        <f>IF(H$2="",NA(),C677*$B677+H676)</f>
        <v>324448.69431881007</v>
      </c>
      <c r="I677" s="49">
        <f>IF(I$2="",NA(),D677*$B677+I676)</f>
        <v>2972892.8772260509</v>
      </c>
      <c r="J677" s="49">
        <f>IF(J$2="",NA(),E677*$B677+J676)</f>
        <v>1381768.8174705156</v>
      </c>
      <c r="K677" s="49" t="e">
        <f>IF(K$2="",NA(),F677*$B677+K676)</f>
        <v>#N/A</v>
      </c>
    </row>
    <row r="678" spans="1:11" x14ac:dyDescent="0.4">
      <c r="A678" s="49">
        <v>675</v>
      </c>
      <c r="B678" s="49">
        <f>A678/$B$1</f>
        <v>28.125</v>
      </c>
      <c r="C678" s="49">
        <f>(('Input and Output'!B$23*'Input and Output'!$B$10)+('Input and Output'!B$24*Calculations!$C$5)+('Input and Output'!B$25*Calculations!$C$6)+('Input and Output'!B$26*(IF('Input and Output'!D$7="Detritus",Calculations!$C$4,G678))-(SUM('Input and Output'!B$27:B$32))*H677))</f>
        <v>3.0931407628941088E-2</v>
      </c>
      <c r="D678" s="49">
        <f>(('Input and Output'!C$23*'Input and Output'!$B$10)+('Input and Output'!C$24*Calculations!$C$5)+('Input and Output'!C$25*Calculations!$C$6)+('Input and Output'!C$26*(IF('Input and Output'!E$7="Detritus",Calculations!$C$4,H678))-(SUM('Input and Output'!C$27:C$32))*I677))</f>
        <v>0.26026415254727908</v>
      </c>
      <c r="E678" s="49">
        <f>(('Input and Output'!D$23*'Input and Output'!$B$10)+('Input and Output'!D$24*Calculations!$C$5)+('Input and Output'!D$25*Calculations!$C$6)+('Input and Output'!D$26*(IF('Input and Output'!F$7="Detritus",Calculations!$C$4,I678))-(SUM('Input and Output'!D$27:D$32))*J677))</f>
        <v>0.11428817628257093</v>
      </c>
      <c r="F678" s="49" t="e">
        <f>(('Input and Output'!E$23*'Input and Output'!$B$10)+('Input and Output'!E$24*Calculations!$C$5)+('Input and Output'!E$25*Calculations!$C$6)+('Input and Output'!E$26*(IF('Input and Output'!G$7="Detritus",Calculations!$C$4,J678))-(SUM('Input and Output'!E$27:E$32))*K677))</f>
        <v>#N/A</v>
      </c>
      <c r="H678" s="49">
        <f>IF(H$2="",NA(),C678*$B678+H677)</f>
        <v>324449.56426464964</v>
      </c>
      <c r="I678" s="49">
        <f>IF(I$2="",NA(),D678*$B678+I677)</f>
        <v>2972900.1971553415</v>
      </c>
      <c r="J678" s="49">
        <f>IF(J$2="",NA(),E678*$B678+J677)</f>
        <v>1381772.0318254735</v>
      </c>
      <c r="K678" s="49" t="e">
        <f>IF(K$2="",NA(),F678*$B678+K677)</f>
        <v>#N/A</v>
      </c>
    </row>
    <row r="679" spans="1:11" x14ac:dyDescent="0.4">
      <c r="A679" s="49">
        <v>676</v>
      </c>
      <c r="B679" s="49">
        <f>A679/$B$1</f>
        <v>28.166666666666668</v>
      </c>
      <c r="C679" s="49">
        <f>(('Input and Output'!B$23*'Input and Output'!$B$10)+('Input and Output'!B$24*Calculations!$C$5)+('Input and Output'!B$25*Calculations!$C$6)+('Input and Output'!B$26*(IF('Input and Output'!D$7="Detritus",Calculations!$C$4,G679))-(SUM('Input and Output'!B$27:B$32))*H678))</f>
        <v>3.009268057638792E-2</v>
      </c>
      <c r="D679" s="49">
        <f>(('Input and Output'!C$23*'Input and Output'!$B$10)+('Input and Output'!C$24*Calculations!$C$5)+('Input and Output'!C$25*Calculations!$C$6)+('Input and Output'!C$26*(IF('Input and Output'!E$7="Detritus",Calculations!$C$4,H679))-(SUM('Input and Output'!C$27:C$32))*I678))</f>
        <v>0.25319561531978252</v>
      </c>
      <c r="E679" s="49">
        <f>(('Input and Output'!D$23*'Input and Output'!$B$10)+('Input and Output'!D$24*Calculations!$C$5)+('Input and Output'!D$25*Calculations!$C$6)+('Input and Output'!D$26*(IF('Input and Output'!F$7="Detritus",Calculations!$C$4,I679))-(SUM('Input and Output'!D$27:D$32))*J678))</f>
        <v>0.11117936998562072</v>
      </c>
      <c r="F679" s="49" t="e">
        <f>(('Input and Output'!E$23*'Input and Output'!$B$10)+('Input and Output'!E$24*Calculations!$C$5)+('Input and Output'!E$25*Calculations!$C$6)+('Input and Output'!E$26*(IF('Input and Output'!G$7="Detritus",Calculations!$C$4,J679))-(SUM('Input and Output'!E$27:E$32))*K678))</f>
        <v>#N/A</v>
      </c>
      <c r="H679" s="49">
        <f>IF(H$2="",NA(),C679*$B679+H678)</f>
        <v>324450.41187515255</v>
      </c>
      <c r="I679" s="49">
        <f>IF(I$2="",NA(),D679*$B679+I678)</f>
        <v>2972907.3288318398</v>
      </c>
      <c r="J679" s="49">
        <f>IF(J$2="",NA(),E679*$B679+J678)</f>
        <v>1381775.1633777281</v>
      </c>
      <c r="K679" s="49" t="e">
        <f>IF(K$2="",NA(),F679*$B679+K678)</f>
        <v>#N/A</v>
      </c>
    </row>
    <row r="680" spans="1:11" x14ac:dyDescent="0.4">
      <c r="A680" s="49">
        <v>677</v>
      </c>
      <c r="B680" s="49">
        <f>A680/$B$1</f>
        <v>28.208333333333332</v>
      </c>
      <c r="C680" s="49">
        <f>(('Input and Output'!B$23*'Input and Output'!$B$10)+('Input and Output'!B$24*Calculations!$C$5)+('Input and Output'!B$25*Calculations!$C$6)+('Input and Output'!B$26*(IF('Input and Output'!D$7="Detritus",Calculations!$C$4,G680))-(SUM('Input and Output'!B$27:B$32))*H679))</f>
        <v>2.9275487336917649E-2</v>
      </c>
      <c r="D680" s="49">
        <f>(('Input and Output'!C$23*'Input and Output'!$B$10)+('Input and Output'!C$24*Calculations!$C$5)+('Input and Output'!C$25*Calculations!$C$6)+('Input and Output'!C$26*(IF('Input and Output'!E$7="Detritus",Calculations!$C$4,H680))-(SUM('Input and Output'!C$27:C$32))*I679))</f>
        <v>0.24630888451611099</v>
      </c>
      <c r="E680" s="49">
        <f>(('Input and Output'!D$23*'Input and Output'!$B$10)+('Input and Output'!D$24*Calculations!$C$5)+('Input and Output'!D$25*Calculations!$C$6)+('Input and Output'!D$26*(IF('Input and Output'!F$7="Detritus",Calculations!$C$4,I680))-(SUM('Input and Output'!D$27:D$32))*J679))</f>
        <v>0.1081506634982361</v>
      </c>
      <c r="F680" s="49" t="e">
        <f>(('Input and Output'!E$23*'Input and Output'!$B$10)+('Input and Output'!E$24*Calculations!$C$5)+('Input and Output'!E$25*Calculations!$C$6)+('Input and Output'!E$26*(IF('Input and Output'!G$7="Detritus",Calculations!$C$4,J680))-(SUM('Input and Output'!E$27:E$32))*K679))</f>
        <v>#N/A</v>
      </c>
      <c r="H680" s="49">
        <f>IF(H$2="",NA(),C680*$B680+H679)</f>
        <v>324451.23768785782</v>
      </c>
      <c r="I680" s="49">
        <f>IF(I$2="",NA(),D680*$B680+I679)</f>
        <v>2972914.2767949575</v>
      </c>
      <c r="J680" s="49">
        <f>IF(J$2="",NA(),E680*$B680+J679)</f>
        <v>1381778.2141276943</v>
      </c>
      <c r="K680" s="49" t="e">
        <f>IF(K$2="",NA(),F680*$B680+K679)</f>
        <v>#N/A</v>
      </c>
    </row>
    <row r="681" spans="1:11" x14ac:dyDescent="0.4">
      <c r="A681" s="49">
        <v>678</v>
      </c>
      <c r="B681" s="49">
        <f>A681/$B$1</f>
        <v>28.25</v>
      </c>
      <c r="C681" s="49">
        <f>(('Input and Output'!B$23*'Input and Output'!$B$10)+('Input and Output'!B$24*Calculations!$C$5)+('Input and Output'!B$25*Calculations!$C$6)+('Input and Output'!B$26*(IF('Input and Output'!D$7="Detritus",Calculations!$C$4,G681))-(SUM('Input and Output'!B$27:B$32))*H680))</f>
        <v>2.847930966157719E-2</v>
      </c>
      <c r="D681" s="49">
        <f>(('Input and Output'!C$23*'Input and Output'!$B$10)+('Input and Output'!C$24*Calculations!$C$5)+('Input and Output'!C$25*Calculations!$C$6)+('Input and Output'!C$26*(IF('Input and Output'!E$7="Detritus",Calculations!$C$4,H681))-(SUM('Input and Output'!C$27:C$32))*I680))</f>
        <v>0.23959957558054157</v>
      </c>
      <c r="E681" s="49">
        <f>(('Input and Output'!D$23*'Input and Output'!$B$10)+('Input and Output'!D$24*Calculations!$C$5)+('Input and Output'!D$25*Calculations!$C$6)+('Input and Output'!D$26*(IF('Input and Output'!F$7="Detritus",Calculations!$C$4,I681))-(SUM('Input and Output'!D$27:D$32))*J680))</f>
        <v>0.10520012106644572</v>
      </c>
      <c r="F681" s="49" t="e">
        <f>(('Input and Output'!E$23*'Input and Output'!$B$10)+('Input and Output'!E$24*Calculations!$C$5)+('Input and Output'!E$25*Calculations!$C$6)+('Input and Output'!E$26*(IF('Input and Output'!G$7="Detritus",Calculations!$C$4,J681))-(SUM('Input and Output'!E$27:E$32))*K680))</f>
        <v>#N/A</v>
      </c>
      <c r="H681" s="49">
        <f>IF(H$2="",NA(),C681*$B681+H680)</f>
        <v>324452.04222835577</v>
      </c>
      <c r="I681" s="49">
        <f>IF(I$2="",NA(),D681*$B681+I680)</f>
        <v>2972921.0454829675</v>
      </c>
      <c r="J681" s="49">
        <f>IF(J$2="",NA(),E681*$B681+J680)</f>
        <v>1381781.1860311143</v>
      </c>
      <c r="K681" s="49" t="e">
        <f>IF(K$2="",NA(),F681*$B681+K680)</f>
        <v>#N/A</v>
      </c>
    </row>
    <row r="682" spans="1:11" x14ac:dyDescent="0.4">
      <c r="A682" s="49">
        <v>679</v>
      </c>
      <c r="B682" s="49">
        <f>A682/$B$1</f>
        <v>28.291666666666668</v>
      </c>
      <c r="C682" s="49">
        <f>(('Input and Output'!B$23*'Input and Output'!$B$10)+('Input and Output'!B$24*Calculations!$C$5)+('Input and Output'!B$25*Calculations!$C$6)+('Input and Output'!B$26*(IF('Input and Output'!D$7="Detritus",Calculations!$C$4,G682))-(SUM('Input and Output'!B$27:B$32))*H681))</f>
        <v>2.770364082124388E-2</v>
      </c>
      <c r="D682" s="49">
        <f>(('Input and Output'!C$23*'Input and Output'!$B$10)+('Input and Output'!C$24*Calculations!$C$5)+('Input and Output'!C$25*Calculations!$C$6)+('Input and Output'!C$26*(IF('Input and Output'!E$7="Detritus",Calculations!$C$4,H682))-(SUM('Input and Output'!C$27:C$32))*I681))</f>
        <v>0.2330634016670956</v>
      </c>
      <c r="E682" s="49">
        <f>(('Input and Output'!D$23*'Input and Output'!$B$10)+('Input and Output'!D$24*Calculations!$C$5)+('Input and Output'!D$25*Calculations!$C$6)+('Input and Output'!D$26*(IF('Input and Output'!F$7="Detritus",Calculations!$C$4,I682))-(SUM('Input and Output'!D$27:D$32))*J681))</f>
        <v>0.10232585051926435</v>
      </c>
      <c r="F682" s="49" t="e">
        <f>(('Input and Output'!E$23*'Input and Output'!$B$10)+('Input and Output'!E$24*Calculations!$C$5)+('Input and Output'!E$25*Calculations!$C$6)+('Input and Output'!E$26*(IF('Input and Output'!G$7="Detritus",Calculations!$C$4,J682))-(SUM('Input and Output'!E$27:E$32))*K681))</f>
        <v>#N/A</v>
      </c>
      <c r="H682" s="49">
        <f>IF(H$2="",NA(),C682*$B682+H681)</f>
        <v>324452.82601052732</v>
      </c>
      <c r="I682" s="49">
        <f>IF(I$2="",NA(),D682*$B682+I681)</f>
        <v>2972927.6392350397</v>
      </c>
      <c r="J682" s="49">
        <f>IF(J$2="",NA(),E682*$B682+J681)</f>
        <v>1381784.0809999686</v>
      </c>
      <c r="K682" s="49" t="e">
        <f>IF(K$2="",NA(),F682*$B682+K681)</f>
        <v>#N/A</v>
      </c>
    </row>
    <row r="683" spans="1:11" x14ac:dyDescent="0.4">
      <c r="A683" s="49">
        <v>680</v>
      </c>
      <c r="B683" s="49">
        <f>A683/$B$1</f>
        <v>28.333333333333332</v>
      </c>
      <c r="C683" s="49">
        <f>(('Input and Output'!B$23*'Input and Output'!$B$10)+('Input and Output'!B$24*Calculations!$C$5)+('Input and Output'!B$25*Calculations!$C$6)+('Input and Output'!B$26*(IF('Input and Output'!D$7="Detritus",Calculations!$C$4,G683))-(SUM('Input and Output'!B$27:B$32))*H682))</f>
        <v>2.694798537618226E-2</v>
      </c>
      <c r="D683" s="49">
        <f>(('Input and Output'!C$23*'Input and Output'!$B$10)+('Input and Output'!C$24*Calculations!$C$5)+('Input and Output'!C$25*Calculations!$C$6)+('Input and Output'!C$26*(IF('Input and Output'!E$7="Detritus",Calculations!$C$4,H683))-(SUM('Input and Output'!C$27:C$32))*I682))</f>
        <v>0.22669617166957323</v>
      </c>
      <c r="E683" s="49">
        <f>(('Input and Output'!D$23*'Input and Output'!$B$10)+('Input and Output'!D$24*Calculations!$C$5)+('Input and Output'!D$25*Calculations!$C$6)+('Input and Output'!D$26*(IF('Input and Output'!F$7="Detritus",Calculations!$C$4,I683))-(SUM('Input and Output'!D$27:D$32))*J682))</f>
        <v>9.9526001624326454E-2</v>
      </c>
      <c r="F683" s="49" t="e">
        <f>(('Input and Output'!E$23*'Input and Output'!$B$10)+('Input and Output'!E$24*Calculations!$C$5)+('Input and Output'!E$25*Calculations!$C$6)+('Input and Output'!E$26*(IF('Input and Output'!G$7="Detritus",Calculations!$C$4,J683))-(SUM('Input and Output'!E$27:E$32))*K682))</f>
        <v>#N/A</v>
      </c>
      <c r="H683" s="49">
        <f>IF(H$2="",NA(),C683*$B683+H682)</f>
        <v>324453.58953677962</v>
      </c>
      <c r="I683" s="49">
        <f>IF(I$2="",NA(),D683*$B683+I682)</f>
        <v>2972934.0622932371</v>
      </c>
      <c r="J683" s="49">
        <f>IF(J$2="",NA(),E683*$B683+J682)</f>
        <v>1381786.9009033479</v>
      </c>
      <c r="K683" s="49" t="e">
        <f>IF(K$2="",NA(),F683*$B683+K682)</f>
        <v>#N/A</v>
      </c>
    </row>
    <row r="684" spans="1:11" x14ac:dyDescent="0.4">
      <c r="A684" s="49">
        <v>681</v>
      </c>
      <c r="B684" s="49">
        <f>A684/$B$1</f>
        <v>28.375</v>
      </c>
      <c r="C684" s="49">
        <f>(('Input and Output'!B$23*'Input and Output'!$B$10)+('Input and Output'!B$24*Calculations!$C$5)+('Input and Output'!B$25*Calculations!$C$6)+('Input and Output'!B$26*(IF('Input and Output'!D$7="Detritus",Calculations!$C$4,G684))-(SUM('Input and Output'!B$27:B$32))*H683))</f>
        <v>2.621185894855671E-2</v>
      </c>
      <c r="D684" s="49">
        <f>(('Input and Output'!C$23*'Input and Output'!$B$10)+('Input and Output'!C$24*Calculations!$C$5)+('Input and Output'!C$25*Calculations!$C$6)+('Input and Output'!C$26*(IF('Input and Output'!E$7="Detritus",Calculations!$C$4,H684))-(SUM('Input and Output'!C$27:C$32))*I683))</f>
        <v>0.22049378828796762</v>
      </c>
      <c r="E684" s="49">
        <f>(('Input and Output'!D$23*'Input and Output'!$B$10)+('Input and Output'!D$24*Calculations!$C$5)+('Input and Output'!D$25*Calculations!$C$6)+('Input and Output'!D$26*(IF('Input and Output'!F$7="Detritus",Calculations!$C$4,I684))-(SUM('Input and Output'!D$27:D$32))*J683))</f>
        <v>9.6798766087886179E-2</v>
      </c>
      <c r="F684" s="49" t="e">
        <f>(('Input and Output'!E$23*'Input and Output'!$B$10)+('Input and Output'!E$24*Calculations!$C$5)+('Input and Output'!E$25*Calculations!$C$6)+('Input and Output'!E$26*(IF('Input and Output'!G$7="Detritus",Calculations!$C$4,J684))-(SUM('Input and Output'!E$27:E$32))*K683))</f>
        <v>#N/A</v>
      </c>
      <c r="H684" s="49">
        <f>IF(H$2="",NA(),C684*$B684+H683)</f>
        <v>324454.33329827728</v>
      </c>
      <c r="I684" s="49">
        <f>IF(I$2="",NA(),D684*$B684+I683)</f>
        <v>2972940.3188044797</v>
      </c>
      <c r="J684" s="49">
        <f>IF(J$2="",NA(),E684*$B684+J683)</f>
        <v>1381789.6475683355</v>
      </c>
      <c r="K684" s="49" t="e">
        <f>IF(K$2="",NA(),F684*$B684+K683)</f>
        <v>#N/A</v>
      </c>
    </row>
    <row r="685" spans="1:11" x14ac:dyDescent="0.4">
      <c r="A685" s="49">
        <v>682</v>
      </c>
      <c r="B685" s="49">
        <f>A685/$B$1</f>
        <v>28.416666666666668</v>
      </c>
      <c r="C685" s="49">
        <f>(('Input and Output'!B$23*'Input and Output'!$B$10)+('Input and Output'!B$24*Calculations!$C$5)+('Input and Output'!B$25*Calculations!$C$6)+('Input and Output'!B$26*(IF('Input and Output'!D$7="Detritus",Calculations!$C$4,G685))-(SUM('Input and Output'!B$27:B$32))*H684))</f>
        <v>2.5494787999605251E-2</v>
      </c>
      <c r="D685" s="49">
        <f>(('Input and Output'!C$23*'Input and Output'!$B$10)+('Input and Output'!C$24*Calculations!$C$5)+('Input and Output'!C$25*Calculations!$C$6)+('Input and Output'!C$26*(IF('Input and Output'!E$7="Detritus",Calculations!$C$4,H685))-(SUM('Input and Output'!C$27:C$32))*I684))</f>
        <v>0.21445224614035396</v>
      </c>
      <c r="E685" s="49">
        <f>(('Input and Output'!D$23*'Input and Output'!$B$10)+('Input and Output'!D$24*Calculations!$C$5)+('Input and Output'!D$25*Calculations!$C$6)+('Input and Output'!D$26*(IF('Input and Output'!F$7="Detritus",Calculations!$C$4,I685))-(SUM('Input and Output'!D$27:D$32))*J684))</f>
        <v>9.4142375910450937E-2</v>
      </c>
      <c r="F685" s="49" t="e">
        <f>(('Input and Output'!E$23*'Input and Output'!$B$10)+('Input and Output'!E$24*Calculations!$C$5)+('Input and Output'!E$25*Calculations!$C$6)+('Input and Output'!E$26*(IF('Input and Output'!G$7="Detritus",Calculations!$C$4,J685))-(SUM('Input and Output'!E$27:E$32))*K684))</f>
        <v>#N/A</v>
      </c>
      <c r="H685" s="49">
        <f>IF(H$2="",NA(),C685*$B685+H684)</f>
        <v>324455.05777516961</v>
      </c>
      <c r="I685" s="49">
        <f>IF(I$2="",NA(),D685*$B685+I684)</f>
        <v>2972946.4128224743</v>
      </c>
      <c r="J685" s="49">
        <f>IF(J$2="",NA(),E685*$B685+J684)</f>
        <v>1381792.322780851</v>
      </c>
      <c r="K685" s="49" t="e">
        <f>IF(K$2="",NA(),F685*$B685+K684)</f>
        <v>#N/A</v>
      </c>
    </row>
    <row r="686" spans="1:11" x14ac:dyDescent="0.4">
      <c r="A686" s="49">
        <v>683</v>
      </c>
      <c r="B686" s="49">
        <f>A686/$B$1</f>
        <v>28.458333333333332</v>
      </c>
      <c r="C686" s="49">
        <f>(('Input and Output'!B$23*'Input and Output'!$B$10)+('Input and Output'!B$24*Calculations!$C$5)+('Input and Output'!B$25*Calculations!$C$6)+('Input and Output'!B$26*(IF('Input and Output'!D$7="Detritus",Calculations!$C$4,G686))-(SUM('Input and Output'!B$27:B$32))*H685))</f>
        <v>2.4796309610565004E-2</v>
      </c>
      <c r="D686" s="49">
        <f>(('Input and Output'!C$23*'Input and Output'!$B$10)+('Input and Output'!C$24*Calculations!$C$5)+('Input and Output'!C$25*Calculations!$C$6)+('Input and Output'!C$26*(IF('Input and Output'!E$7="Detritus",Calculations!$C$4,H686))-(SUM('Input and Output'!C$27:C$32))*I685))</f>
        <v>0.20856762988842092</v>
      </c>
      <c r="E686" s="49">
        <f>(('Input and Output'!D$23*'Input and Output'!$B$10)+('Input and Output'!D$24*Calculations!$C$5)+('Input and Output'!D$25*Calculations!$C$6)+('Input and Output'!D$26*(IF('Input and Output'!F$7="Detritus",Calculations!$C$4,I686))-(SUM('Input and Output'!D$27:D$32))*J685))</f>
        <v>9.1555103226710344E-2</v>
      </c>
      <c r="F686" s="49" t="e">
        <f>(('Input and Output'!E$23*'Input and Output'!$B$10)+('Input and Output'!E$24*Calculations!$C$5)+('Input and Output'!E$25*Calculations!$C$6)+('Input and Output'!E$26*(IF('Input and Output'!G$7="Detritus",Calculations!$C$4,J686))-(SUM('Input and Output'!E$27:E$32))*K685))</f>
        <v>#N/A</v>
      </c>
      <c r="H686" s="49">
        <f>IF(H$2="",NA(),C686*$B686+H685)</f>
        <v>324455.76343681396</v>
      </c>
      <c r="I686" s="49">
        <f>IF(I$2="",NA(),D686*$B686+I685)</f>
        <v>2972952.3483096082</v>
      </c>
      <c r="J686" s="49">
        <f>IF(J$2="",NA(),E686*$B686+J685)</f>
        <v>1381794.928286497</v>
      </c>
      <c r="K686" s="49" t="e">
        <f>IF(K$2="",NA(),F686*$B686+K685)</f>
        <v>#N/A</v>
      </c>
    </row>
    <row r="687" spans="1:11" x14ac:dyDescent="0.4">
      <c r="A687" s="49">
        <v>684</v>
      </c>
      <c r="B687" s="49">
        <f>A687/$B$1</f>
        <v>28.5</v>
      </c>
      <c r="C687" s="49">
        <f>(('Input and Output'!B$23*'Input and Output'!$B$10)+('Input and Output'!B$24*Calculations!$C$5)+('Input and Output'!B$25*Calculations!$C$6)+('Input and Output'!B$26*(IF('Input and Output'!D$7="Detritus",Calculations!$C$4,G687))-(SUM('Input and Output'!B$27:B$32))*H686))</f>
        <v>2.4115971267519853E-2</v>
      </c>
      <c r="D687" s="49">
        <f>(('Input and Output'!C$23*'Input and Output'!$B$10)+('Input and Output'!C$24*Calculations!$C$5)+('Input and Output'!C$25*Calculations!$C$6)+('Input and Output'!C$26*(IF('Input and Output'!E$7="Detritus",Calculations!$C$4,H687))-(SUM('Input and Output'!C$27:C$32))*I686))</f>
        <v>0.20283611241120525</v>
      </c>
      <c r="E687" s="49">
        <f>(('Input and Output'!D$23*'Input and Output'!$B$10)+('Input and Output'!D$24*Calculations!$C$5)+('Input and Output'!D$25*Calculations!$C$6)+('Input and Output'!D$26*(IF('Input and Output'!F$7="Detritus",Calculations!$C$4,I687))-(SUM('Input and Output'!D$27:D$32))*J686))</f>
        <v>8.9035258966760011E-2</v>
      </c>
      <c r="F687" s="49" t="e">
        <f>(('Input and Output'!E$23*'Input and Output'!$B$10)+('Input and Output'!E$24*Calculations!$C$5)+('Input and Output'!E$25*Calculations!$C$6)+('Input and Output'!E$26*(IF('Input and Output'!G$7="Detritus",Calculations!$C$4,J687))-(SUM('Input and Output'!E$27:E$32))*K686))</f>
        <v>#N/A</v>
      </c>
      <c r="H687" s="49">
        <f>IF(H$2="",NA(),C687*$B687+H686)</f>
        <v>324456.45074199507</v>
      </c>
      <c r="I687" s="49">
        <f>IF(I$2="",NA(),D687*$B687+I686)</f>
        <v>2972958.129138812</v>
      </c>
      <c r="J687" s="49">
        <f>IF(J$2="",NA(),E687*$B687+J686)</f>
        <v>1381797.4657913775</v>
      </c>
      <c r="K687" s="49" t="e">
        <f>IF(K$2="",NA(),F687*$B687+K686)</f>
        <v>#N/A</v>
      </c>
    </row>
    <row r="688" spans="1:11" x14ac:dyDescent="0.4">
      <c r="A688" s="49">
        <v>685</v>
      </c>
      <c r="B688" s="49">
        <f>A688/$B$1</f>
        <v>28.541666666666668</v>
      </c>
      <c r="C688" s="49">
        <f>(('Input and Output'!B$23*'Input and Output'!$B$10)+('Input and Output'!B$24*Calculations!$C$5)+('Input and Output'!B$25*Calculations!$C$6)+('Input and Output'!B$26*(IF('Input and Output'!D$7="Detritus",Calculations!$C$4,G688))-(SUM('Input and Output'!B$27:B$32))*H687))</f>
        <v>2.3453330649545023E-2</v>
      </c>
      <c r="D688" s="49">
        <f>(('Input and Output'!C$23*'Input and Output'!$B$10)+('Input and Output'!C$24*Calculations!$C$5)+('Input and Output'!C$25*Calculations!$C$6)+('Input and Output'!C$26*(IF('Input and Output'!E$7="Detritus",Calculations!$C$4,H688))-(SUM('Input and Output'!C$27:C$32))*I687))</f>
        <v>0.19725395300611126</v>
      </c>
      <c r="E688" s="49">
        <f>(('Input and Output'!D$23*'Input and Output'!$B$10)+('Input and Output'!D$24*Calculations!$C$5)+('Input and Output'!D$25*Calculations!$C$6)+('Input and Output'!D$26*(IF('Input and Output'!F$7="Detritus",Calculations!$C$4,I688))-(SUM('Input and Output'!D$27:D$32))*J687))</f>
        <v>8.658119243409601E-2</v>
      </c>
      <c r="F688" s="49" t="e">
        <f>(('Input and Output'!E$23*'Input and Output'!$B$10)+('Input and Output'!E$24*Calculations!$C$5)+('Input and Output'!E$25*Calculations!$C$6)+('Input and Output'!E$26*(IF('Input and Output'!G$7="Detritus",Calculations!$C$4,J688))-(SUM('Input and Output'!E$27:E$32))*K687))</f>
        <v>#N/A</v>
      </c>
      <c r="H688" s="49">
        <f>IF(H$2="",NA(),C688*$B688+H687)</f>
        <v>324457.12013914069</v>
      </c>
      <c r="I688" s="49">
        <f>IF(I$2="",NA(),D688*$B688+I687)</f>
        <v>2972963.7590953875</v>
      </c>
      <c r="J688" s="49">
        <f>IF(J$2="",NA(),E688*$B688+J687)</f>
        <v>1381799.9369629116</v>
      </c>
      <c r="K688" s="49" t="e">
        <f>IF(K$2="",NA(),F688*$B688+K687)</f>
        <v>#N/A</v>
      </c>
    </row>
    <row r="689" spans="1:11" x14ac:dyDescent="0.4">
      <c r="A689" s="49">
        <v>686</v>
      </c>
      <c r="B689" s="49">
        <f>A689/$B$1</f>
        <v>28.583333333333332</v>
      </c>
      <c r="C689" s="49">
        <f>(('Input and Output'!B$23*'Input and Output'!$B$10)+('Input and Output'!B$24*Calculations!$C$5)+('Input and Output'!B$25*Calculations!$C$6)+('Input and Output'!B$26*(IF('Input and Output'!D$7="Detritus",Calculations!$C$4,G689))-(SUM('Input and Output'!B$27:B$32))*H688))</f>
        <v>2.2807955421114912E-2</v>
      </c>
      <c r="D689" s="49">
        <f>(('Input and Output'!C$23*'Input and Output'!$B$10)+('Input and Output'!C$24*Calculations!$C$5)+('Input and Output'!C$25*Calculations!$C$6)+('Input and Output'!C$26*(IF('Input and Output'!E$7="Detritus",Calculations!$C$4,H689))-(SUM('Input and Output'!C$27:C$32))*I688))</f>
        <v>0.19181749562631012</v>
      </c>
      <c r="E689" s="49">
        <f>(('Input and Output'!D$23*'Input and Output'!$B$10)+('Input and Output'!D$24*Calculations!$C$5)+('Input and Output'!D$25*Calculations!$C$6)+('Input and Output'!D$26*(IF('Input and Output'!F$7="Detritus",Calculations!$C$4,I689))-(SUM('Input and Output'!D$27:D$32))*J688))</f>
        <v>8.4191290301532717E-2</v>
      </c>
      <c r="F689" s="49" t="e">
        <f>(('Input and Output'!E$23*'Input and Output'!$B$10)+('Input and Output'!E$24*Calculations!$C$5)+('Input and Output'!E$25*Calculations!$C$6)+('Input and Output'!E$26*(IF('Input and Output'!G$7="Detritus",Calculations!$C$4,J689))-(SUM('Input and Output'!E$27:E$32))*K688))</f>
        <v>#N/A</v>
      </c>
      <c r="H689" s="49">
        <f>IF(H$2="",NA(),C689*$B689+H688)</f>
        <v>324457.77206653316</v>
      </c>
      <c r="I689" s="49">
        <f>IF(I$2="",NA(),D689*$B689+I688)</f>
        <v>2972969.2418788043</v>
      </c>
      <c r="J689" s="49">
        <f>IF(J$2="",NA(),E689*$B689+J688)</f>
        <v>1381802.343430626</v>
      </c>
      <c r="K689" s="49" t="e">
        <f>IF(K$2="",NA(),F689*$B689+K688)</f>
        <v>#N/A</v>
      </c>
    </row>
    <row r="690" spans="1:11" x14ac:dyDescent="0.4">
      <c r="A690" s="49">
        <v>687</v>
      </c>
      <c r="B690" s="49">
        <f>A690/$B$1</f>
        <v>28.625</v>
      </c>
      <c r="C690" s="49">
        <f>(('Input and Output'!B$23*'Input and Output'!$B$10)+('Input and Output'!B$24*Calculations!$C$5)+('Input and Output'!B$25*Calculations!$C$6)+('Input and Output'!B$26*(IF('Input and Output'!D$7="Detritus",Calculations!$C$4,G690))-(SUM('Input and Output'!B$27:B$32))*H689))</f>
        <v>2.217942302809206E-2</v>
      </c>
      <c r="D690" s="49">
        <f>(('Input and Output'!C$23*'Input and Output'!$B$10)+('Input and Output'!C$24*Calculations!$C$5)+('Input and Output'!C$25*Calculations!$C$6)+('Input and Output'!C$26*(IF('Input and Output'!E$7="Detritus",Calculations!$C$4,H690))-(SUM('Input and Output'!C$27:C$32))*I689))</f>
        <v>0.1865231671354195</v>
      </c>
      <c r="E690" s="49">
        <f>(('Input and Output'!D$23*'Input and Output'!$B$10)+('Input and Output'!D$24*Calculations!$C$5)+('Input and Output'!D$25*Calculations!$C$6)+('Input and Output'!D$26*(IF('Input and Output'!F$7="Detritus",Calculations!$C$4,I690))-(SUM('Input and Output'!D$27:D$32))*J689))</f>
        <v>8.1863976000022376E-2</v>
      </c>
      <c r="F690" s="49" t="e">
        <f>(('Input and Output'!E$23*'Input and Output'!$B$10)+('Input and Output'!E$24*Calculations!$C$5)+('Input and Output'!E$25*Calculations!$C$6)+('Input and Output'!E$26*(IF('Input and Output'!G$7="Detritus",Calculations!$C$4,J690))-(SUM('Input and Output'!E$27:E$32))*K689))</f>
        <v>#N/A</v>
      </c>
      <c r="H690" s="49">
        <f>IF(H$2="",NA(),C690*$B690+H689)</f>
        <v>324458.40695251734</v>
      </c>
      <c r="I690" s="49">
        <f>IF(I$2="",NA(),D690*$B690+I689)</f>
        <v>2972974.5811044634</v>
      </c>
      <c r="J690" s="49">
        <f>IF(J$2="",NA(),E690*$B690+J689)</f>
        <v>1381804.6867869389</v>
      </c>
      <c r="K690" s="49" t="e">
        <f>IF(K$2="",NA(),F690*$B690+K689)</f>
        <v>#N/A</v>
      </c>
    </row>
    <row r="691" spans="1:11" x14ac:dyDescent="0.4">
      <c r="A691" s="49">
        <v>688</v>
      </c>
      <c r="B691" s="49">
        <f>A691/$B$1</f>
        <v>28.666666666666668</v>
      </c>
      <c r="C691" s="49">
        <f>(('Input and Output'!B$23*'Input and Output'!$B$10)+('Input and Output'!B$24*Calculations!$C$5)+('Input and Output'!B$25*Calculations!$C$6)+('Input and Output'!B$26*(IF('Input and Output'!D$7="Detritus",Calculations!$C$4,G691))-(SUM('Input and Output'!B$27:B$32))*H690))</f>
        <v>2.1567320497069886E-2</v>
      </c>
      <c r="D691" s="49">
        <f>(('Input and Output'!C$23*'Input and Output'!$B$10)+('Input and Output'!C$24*Calculations!$C$5)+('Input and Output'!C$25*Calculations!$C$6)+('Input and Output'!C$26*(IF('Input and Output'!E$7="Detritus",Calculations!$C$4,H691))-(SUM('Input and Output'!C$27:C$32))*I690))</f>
        <v>0.18136747560856747</v>
      </c>
      <c r="E691" s="49">
        <f>(('Input and Output'!D$23*'Input and Output'!$B$10)+('Input and Output'!D$24*Calculations!$C$5)+('Input and Output'!D$25*Calculations!$C$6)+('Input and Output'!D$26*(IF('Input and Output'!F$7="Detritus",Calculations!$C$4,I691))-(SUM('Input and Output'!D$27:D$32))*J690))</f>
        <v>7.9597708729124861E-2</v>
      </c>
      <c r="F691" s="49" t="e">
        <f>(('Input and Output'!E$23*'Input and Output'!$B$10)+('Input and Output'!E$24*Calculations!$C$5)+('Input and Output'!E$25*Calculations!$C$6)+('Input and Output'!E$26*(IF('Input and Output'!G$7="Detritus",Calculations!$C$4,J691))-(SUM('Input and Output'!E$27:E$32))*K690))</f>
        <v>#N/A</v>
      </c>
      <c r="H691" s="49">
        <f>IF(H$2="",NA(),C691*$B691+H690)</f>
        <v>324459.02521570493</v>
      </c>
      <c r="I691" s="49">
        <f>IF(I$2="",NA(),D691*$B691+I690)</f>
        <v>2972979.7803054308</v>
      </c>
      <c r="J691" s="49">
        <f>IF(J$2="",NA(),E691*$B691+J690)</f>
        <v>1381806.9685879224</v>
      </c>
      <c r="K691" s="49" t="e">
        <f>IF(K$2="",NA(),F691*$B691+K690)</f>
        <v>#N/A</v>
      </c>
    </row>
    <row r="692" spans="1:11" x14ac:dyDescent="0.4">
      <c r="A692" s="49">
        <v>689</v>
      </c>
      <c r="B692" s="49">
        <f>A692/$B$1</f>
        <v>28.708333333333332</v>
      </c>
      <c r="C692" s="49">
        <f>(('Input and Output'!B$23*'Input and Output'!$B$10)+('Input and Output'!B$24*Calculations!$C$5)+('Input and Output'!B$25*Calculations!$C$6)+('Input and Output'!B$26*(IF('Input and Output'!D$7="Detritus",Calculations!$C$4,G692))-(SUM('Input and Output'!B$27:B$32))*H691))</f>
        <v>2.0971244238751297E-2</v>
      </c>
      <c r="D692" s="49">
        <f>(('Input and Output'!C$23*'Input and Output'!$B$10)+('Input and Output'!C$24*Calculations!$C$5)+('Input and Output'!C$25*Calculations!$C$6)+('Input and Output'!C$26*(IF('Input and Output'!E$7="Detritus",Calculations!$C$4,H692))-(SUM('Input and Output'!C$27:C$32))*I691))</f>
        <v>0.17634700865801278</v>
      </c>
      <c r="E692" s="49">
        <f>(('Input and Output'!D$23*'Input and Output'!$B$10)+('Input and Output'!D$24*Calculations!$C$5)+('Input and Output'!D$25*Calculations!$C$6)+('Input and Output'!D$26*(IF('Input and Output'!F$7="Detritus",Calculations!$C$4,I692))-(SUM('Input and Output'!D$27:D$32))*J691))</f>
        <v>7.7390983049554052E-2</v>
      </c>
      <c r="F692" s="49" t="e">
        <f>(('Input and Output'!E$23*'Input and Output'!$B$10)+('Input and Output'!E$24*Calculations!$C$5)+('Input and Output'!E$25*Calculations!$C$6)+('Input and Output'!E$26*(IF('Input and Output'!G$7="Detritus",Calculations!$C$4,J692))-(SUM('Input and Output'!E$27:E$32))*K691))</f>
        <v>#N/A</v>
      </c>
      <c r="H692" s="49">
        <f>IF(H$2="",NA(),C692*$B692+H691)</f>
        <v>324459.62726517493</v>
      </c>
      <c r="I692" s="49">
        <f>IF(I$2="",NA(),D692*$B692+I691)</f>
        <v>2972984.8429341377</v>
      </c>
      <c r="J692" s="49">
        <f>IF(J$2="",NA(),E692*$B692+J691)</f>
        <v>1381809.1903540608</v>
      </c>
      <c r="K692" s="49" t="e">
        <f>IF(K$2="",NA(),F692*$B692+K691)</f>
        <v>#N/A</v>
      </c>
    </row>
    <row r="693" spans="1:11" x14ac:dyDescent="0.4">
      <c r="A693" s="49">
        <v>690</v>
      </c>
      <c r="B693" s="49">
        <f>A693/$B$1</f>
        <v>28.75</v>
      </c>
      <c r="C693" s="49">
        <f>(('Input and Output'!B$23*'Input and Output'!$B$10)+('Input and Output'!B$24*Calculations!$C$5)+('Input and Output'!B$25*Calculations!$C$6)+('Input and Output'!B$26*(IF('Input and Output'!D$7="Detritus",Calculations!$C$4,G693))-(SUM('Input and Output'!B$27:B$32))*H692))</f>
        <v>2.0390799854169472E-2</v>
      </c>
      <c r="D693" s="49">
        <f>(('Input and Output'!C$23*'Input and Output'!$B$10)+('Input and Output'!C$24*Calculations!$C$5)+('Input and Output'!C$25*Calculations!$C$6)+('Input and Output'!C$26*(IF('Input and Output'!E$7="Detritus",Calculations!$C$4,H693))-(SUM('Input and Output'!C$27:C$32))*I692))</f>
        <v>0.17145843179423537</v>
      </c>
      <c r="E693" s="49">
        <f>(('Input and Output'!D$23*'Input and Output'!$B$10)+('Input and Output'!D$24*Calculations!$C$5)+('Input and Output'!D$25*Calculations!$C$6)+('Input and Output'!D$26*(IF('Input and Output'!F$7="Detritus",Calculations!$C$4,I693))-(SUM('Input and Output'!D$27:D$32))*J692))</f>
        <v>7.5242327777232276E-2</v>
      </c>
      <c r="F693" s="49" t="e">
        <f>(('Input and Output'!E$23*'Input and Output'!$B$10)+('Input and Output'!E$24*Calculations!$C$5)+('Input and Output'!E$25*Calculations!$C$6)+('Input and Output'!E$26*(IF('Input and Output'!G$7="Detritus",Calculations!$C$4,J693))-(SUM('Input and Output'!E$27:E$32))*K692))</f>
        <v>#N/A</v>
      </c>
      <c r="H693" s="49">
        <f>IF(H$2="",NA(),C693*$B693+H692)</f>
        <v>324460.21350067074</v>
      </c>
      <c r="I693" s="49">
        <f>IF(I$2="",NA(),D693*$B693+I692)</f>
        <v>2972989.7723640515</v>
      </c>
      <c r="J693" s="49">
        <f>IF(J$2="",NA(),E693*$B693+J692)</f>
        <v>1381811.3535709844</v>
      </c>
      <c r="K693" s="49" t="e">
        <f>IF(K$2="",NA(),F693*$B693+K692)</f>
        <v>#N/A</v>
      </c>
    </row>
    <row r="694" spans="1:11" x14ac:dyDescent="0.4">
      <c r="A694" s="49">
        <v>691</v>
      </c>
      <c r="B694" s="49">
        <f>A694/$B$1</f>
        <v>28.791666666666668</v>
      </c>
      <c r="C694" s="49">
        <f>(('Input and Output'!B$23*'Input and Output'!$B$10)+('Input and Output'!B$24*Calculations!$C$5)+('Input and Output'!B$25*Calculations!$C$6)+('Input and Output'!B$26*(IF('Input and Output'!D$7="Detritus",Calculations!$C$4,G694))-(SUM('Input and Output'!B$27:B$32))*H693))</f>
        <v>1.9825601945115068E-2</v>
      </c>
      <c r="D694" s="49">
        <f>(('Input and Output'!C$23*'Input and Output'!$B$10)+('Input and Output'!C$24*Calculations!$C$5)+('Input and Output'!C$25*Calculations!$C$6)+('Input and Output'!C$26*(IF('Input and Output'!E$7="Detritus",Calculations!$C$4,H694))-(SUM('Input and Output'!C$27:C$32))*I693))</f>
        <v>0.16669848680066934</v>
      </c>
      <c r="E694" s="49">
        <f>(('Input and Output'!D$23*'Input and Output'!$B$10)+('Input and Output'!D$24*Calculations!$C$5)+('Input and Output'!D$25*Calculations!$C$6)+('Input and Output'!D$26*(IF('Input and Output'!F$7="Detritus",Calculations!$C$4,I694))-(SUM('Input and Output'!D$27:D$32))*J693))</f>
        <v>7.3150305590388598E-2</v>
      </c>
      <c r="F694" s="49" t="e">
        <f>(('Input and Output'!E$23*'Input and Output'!$B$10)+('Input and Output'!E$24*Calculations!$C$5)+('Input and Output'!E$25*Calculations!$C$6)+('Input and Output'!E$26*(IF('Input and Output'!G$7="Detritus",Calculations!$C$4,J694))-(SUM('Input and Output'!E$27:E$32))*K693))</f>
        <v>#N/A</v>
      </c>
      <c r="H694" s="49">
        <f>IF(H$2="",NA(),C694*$B694+H693)</f>
        <v>324460.7843127934</v>
      </c>
      <c r="I694" s="49">
        <f>IF(I$2="",NA(),D694*$B694+I693)</f>
        <v>2972994.5718913171</v>
      </c>
      <c r="J694" s="49">
        <f>IF(J$2="",NA(),E694*$B694+J693)</f>
        <v>1381813.4596901995</v>
      </c>
      <c r="K694" s="49" t="e">
        <f>IF(K$2="",NA(),F694*$B694+K693)</f>
        <v>#N/A</v>
      </c>
    </row>
    <row r="695" spans="1:11" x14ac:dyDescent="0.4">
      <c r="A695" s="49">
        <v>692</v>
      </c>
      <c r="B695" s="49">
        <f>A695/$B$1</f>
        <v>28.833333333333332</v>
      </c>
      <c r="C695" s="49">
        <f>(('Input and Output'!B$23*'Input and Output'!$B$10)+('Input and Output'!B$24*Calculations!$C$5)+('Input and Output'!B$25*Calculations!$C$6)+('Input and Output'!B$26*(IF('Input and Output'!D$7="Detritus",Calculations!$C$4,G695))-(SUM('Input and Output'!B$27:B$32))*H694))</f>
        <v>1.9275273927632952E-2</v>
      </c>
      <c r="D695" s="49">
        <f>(('Input and Output'!C$23*'Input and Output'!$B$10)+('Input and Output'!C$24*Calculations!$C$5)+('Input and Output'!C$25*Calculations!$C$6)+('Input and Output'!C$26*(IF('Input and Output'!E$7="Detritus",Calculations!$C$4,H695))-(SUM('Input and Output'!C$27:C$32))*I694))</f>
        <v>0.1620639901557297</v>
      </c>
      <c r="E695" s="49">
        <f>(('Input and Output'!D$23*'Input and Output'!$B$10)+('Input and Output'!D$24*Calculations!$C$5)+('Input and Output'!D$25*Calculations!$C$6)+('Input and Output'!D$26*(IF('Input and Output'!F$7="Detritus",Calculations!$C$4,I695))-(SUM('Input and Output'!D$27:D$32))*J694))</f>
        <v>7.1113512243755395E-2</v>
      </c>
      <c r="F695" s="49" t="e">
        <f>(('Input and Output'!E$23*'Input and Output'!$B$10)+('Input and Output'!E$24*Calculations!$C$5)+('Input and Output'!E$25*Calculations!$C$6)+('Input and Output'!E$26*(IF('Input and Output'!G$7="Detritus",Calculations!$C$4,J695))-(SUM('Input and Output'!E$27:E$32))*K694))</f>
        <v>#N/A</v>
      </c>
      <c r="H695" s="49">
        <f>IF(H$2="",NA(),C695*$B695+H694)</f>
        <v>324461.34008319164</v>
      </c>
      <c r="I695" s="49">
        <f>IF(I$2="",NA(),D695*$B695+I694)</f>
        <v>2972999.2447363664</v>
      </c>
      <c r="J695" s="49">
        <f>IF(J$2="",NA(),E695*$B695+J694)</f>
        <v>1381815.5101298024</v>
      </c>
      <c r="K695" s="49" t="e">
        <f>IF(K$2="",NA(),F695*$B695+K694)</f>
        <v>#N/A</v>
      </c>
    </row>
    <row r="696" spans="1:11" x14ac:dyDescent="0.4">
      <c r="A696" s="49">
        <v>693</v>
      </c>
      <c r="B696" s="49">
        <f>A696/$B$1</f>
        <v>28.875</v>
      </c>
      <c r="C696" s="49">
        <f>(('Input and Output'!B$23*'Input and Output'!$B$10)+('Input and Output'!B$24*Calculations!$C$5)+('Input and Output'!B$25*Calculations!$C$6)+('Input and Output'!B$26*(IF('Input and Output'!D$7="Detritus",Calculations!$C$4,G696))-(SUM('Input and Output'!B$27:B$32))*H695))</f>
        <v>1.8739447848815871E-2</v>
      </c>
      <c r="D696" s="49">
        <f>(('Input and Output'!C$23*'Input and Output'!$B$10)+('Input and Output'!C$24*Calculations!$C$5)+('Input and Output'!C$25*Calculations!$C$6)+('Input and Output'!C$26*(IF('Input and Output'!E$7="Detritus",Calculations!$C$4,H696))-(SUM('Input and Output'!C$27:C$32))*I695))</f>
        <v>0.15755183147393836</v>
      </c>
      <c r="E696" s="49">
        <f>(('Input and Output'!D$23*'Input and Output'!$B$10)+('Input and Output'!D$24*Calculations!$C$5)+('Input and Output'!D$25*Calculations!$C$6)+('Input and Output'!D$26*(IF('Input and Output'!F$7="Detritus",Calculations!$C$4,I696))-(SUM('Input and Output'!D$27:D$32))*J695))</f>
        <v>6.9130575564486207E-2</v>
      </c>
      <c r="F696" s="49" t="e">
        <f>(('Input and Output'!E$23*'Input and Output'!$B$10)+('Input and Output'!E$24*Calculations!$C$5)+('Input and Output'!E$25*Calculations!$C$6)+('Input and Output'!E$26*(IF('Input and Output'!G$7="Detritus",Calculations!$C$4,J696))-(SUM('Input and Output'!E$27:E$32))*K695))</f>
        <v>#N/A</v>
      </c>
      <c r="H696" s="49">
        <f>IF(H$2="",NA(),C696*$B696+H695)</f>
        <v>324461.88118474826</v>
      </c>
      <c r="I696" s="49">
        <f>IF(I$2="",NA(),D696*$B696+I695)</f>
        <v>2973003.7940455005</v>
      </c>
      <c r="J696" s="49">
        <f>IF(J$2="",NA(),E696*$B696+J695)</f>
        <v>1381817.5062751719</v>
      </c>
      <c r="K696" s="49" t="e">
        <f>IF(K$2="",NA(),F696*$B696+K695)</f>
        <v>#N/A</v>
      </c>
    </row>
    <row r="697" spans="1:11" x14ac:dyDescent="0.4">
      <c r="A697" s="49">
        <v>694</v>
      </c>
      <c r="B697" s="49">
        <f>A697/$B$1</f>
        <v>28.916666666666668</v>
      </c>
      <c r="C697" s="49">
        <f>(('Input and Output'!B$23*'Input and Output'!$B$10)+('Input and Output'!B$24*Calculations!$C$5)+('Input and Output'!B$25*Calculations!$C$6)+('Input and Output'!B$26*(IF('Input and Output'!D$7="Detritus",Calculations!$C$4,G697))-(SUM('Input and Output'!B$27:B$32))*H696))</f>
        <v>1.8217764207065557E-2</v>
      </c>
      <c r="D697" s="49">
        <f>(('Input and Output'!C$23*'Input and Output'!$B$10)+('Input and Output'!C$24*Calculations!$C$5)+('Input and Output'!C$25*Calculations!$C$6)+('Input and Output'!C$26*(IF('Input and Output'!E$7="Detritus",Calculations!$C$4,H697))-(SUM('Input and Output'!C$27:C$32))*I696))</f>
        <v>0.15315897198433959</v>
      </c>
      <c r="E697" s="49">
        <f>(('Input and Output'!D$23*'Input and Output'!$B$10)+('Input and Output'!D$24*Calculations!$C$5)+('Input and Output'!D$25*Calculations!$C$6)+('Input and Output'!D$26*(IF('Input and Output'!F$7="Detritus",Calculations!$C$4,I697))-(SUM('Input and Output'!D$27:D$32))*J696))</f>
        <v>6.7200155379396165E-2</v>
      </c>
      <c r="F697" s="49" t="e">
        <f>(('Input and Output'!E$23*'Input and Output'!$B$10)+('Input and Output'!E$24*Calculations!$C$5)+('Input and Output'!E$25*Calculations!$C$6)+('Input and Output'!E$26*(IF('Input and Output'!G$7="Detritus",Calculations!$C$4,J697))-(SUM('Input and Output'!E$27:E$32))*K696))</f>
        <v>#N/A</v>
      </c>
      <c r="H697" s="49">
        <f>IF(H$2="",NA(),C697*$B697+H696)</f>
        <v>324462.40798176324</v>
      </c>
      <c r="I697" s="49">
        <f>IF(I$2="",NA(),D697*$B697+I696)</f>
        <v>2973008.2228924404</v>
      </c>
      <c r="J697" s="49">
        <f>IF(J$2="",NA(),E697*$B697+J696)</f>
        <v>1381819.4494796649</v>
      </c>
      <c r="K697" s="49" t="e">
        <f>IF(K$2="",NA(),F697*$B697+K696)</f>
        <v>#N/A</v>
      </c>
    </row>
    <row r="698" spans="1:11" x14ac:dyDescent="0.4">
      <c r="A698" s="49">
        <v>695</v>
      </c>
      <c r="B698" s="49">
        <f>A698/$B$1</f>
        <v>28.958333333333332</v>
      </c>
      <c r="C698" s="49">
        <f>(('Input and Output'!B$23*'Input and Output'!$B$10)+('Input and Output'!B$24*Calculations!$C$5)+('Input and Output'!B$25*Calculations!$C$6)+('Input and Output'!B$26*(IF('Input and Output'!D$7="Detritus",Calculations!$C$4,G698))-(SUM('Input and Output'!B$27:B$32))*H697))</f>
        <v>1.7709871775650754E-2</v>
      </c>
      <c r="D698" s="49">
        <f>(('Input and Output'!C$23*'Input and Output'!$B$10)+('Input and Output'!C$24*Calculations!$C$5)+('Input and Output'!C$25*Calculations!$C$6)+('Input and Output'!C$26*(IF('Input and Output'!E$7="Detritus",Calculations!$C$4,H698))-(SUM('Input and Output'!C$27:C$32))*I697))</f>
        <v>0.14888244302164821</v>
      </c>
      <c r="E698" s="49">
        <f>(('Input and Output'!D$23*'Input and Output'!$B$10)+('Input and Output'!D$24*Calculations!$C$5)+('Input and Output'!D$25*Calculations!$C$6)+('Input and Output'!D$26*(IF('Input and Output'!F$7="Detritus",Calculations!$C$4,I698))-(SUM('Input and Output'!D$27:D$32))*J697))</f>
        <v>6.5320942205289612E-2</v>
      </c>
      <c r="F698" s="49" t="e">
        <f>(('Input and Output'!E$23*'Input and Output'!$B$10)+('Input and Output'!E$24*Calculations!$C$5)+('Input and Output'!E$25*Calculations!$C$6)+('Input and Output'!E$26*(IF('Input and Output'!G$7="Detritus",Calculations!$C$4,J698))-(SUM('Input and Output'!E$27:E$32))*K697))</f>
        <v>#N/A</v>
      </c>
      <c r="H698" s="49">
        <f>IF(H$2="",NA(),C698*$B698+H697)</f>
        <v>324462.92083013343</v>
      </c>
      <c r="I698" s="49">
        <f>IF(I$2="",NA(),D698*$B698+I697)</f>
        <v>2973012.5342798531</v>
      </c>
      <c r="J698" s="49">
        <f>IF(J$2="",NA(),E698*$B698+J697)</f>
        <v>1381821.3410652829</v>
      </c>
      <c r="K698" s="49" t="e">
        <f>IF(K$2="",NA(),F698*$B698+K697)</f>
        <v>#N/A</v>
      </c>
    </row>
    <row r="699" spans="1:11" x14ac:dyDescent="0.4">
      <c r="A699" s="49">
        <v>696</v>
      </c>
      <c r="B699" s="49">
        <f>A699/$B$1</f>
        <v>29</v>
      </c>
      <c r="C699" s="49">
        <f>(('Input and Output'!B$23*'Input and Output'!$B$10)+('Input and Output'!B$24*Calculations!$C$5)+('Input and Output'!B$25*Calculations!$C$6)+('Input and Output'!B$26*(IF('Input and Output'!D$7="Detritus",Calculations!$C$4,G699))-(SUM('Input and Output'!B$27:B$32))*H698))</f>
        <v>1.7215427429391639E-2</v>
      </c>
      <c r="D699" s="49">
        <f>(('Input and Output'!C$23*'Input and Output'!$B$10)+('Input and Output'!C$24*Calculations!$C$5)+('Input and Output'!C$25*Calculations!$C$6)+('Input and Output'!C$26*(IF('Input and Output'!E$7="Detritus",Calculations!$C$4,H699))-(SUM('Input and Output'!C$27:C$32))*I698))</f>
        <v>0.14471934455741575</v>
      </c>
      <c r="E699" s="49">
        <f>(('Input and Output'!D$23*'Input and Output'!$B$10)+('Input and Output'!D$24*Calculations!$C$5)+('Input and Output'!D$25*Calculations!$C$6)+('Input and Output'!D$26*(IF('Input and Output'!F$7="Detritus",Calculations!$C$4,I699))-(SUM('Input and Output'!D$27:D$32))*J698))</f>
        <v>6.3491657176200533E-2</v>
      </c>
      <c r="F699" s="49" t="e">
        <f>(('Input and Output'!E$23*'Input and Output'!$B$10)+('Input and Output'!E$24*Calculations!$C$5)+('Input and Output'!E$25*Calculations!$C$6)+('Input and Output'!E$26*(IF('Input and Output'!G$7="Detritus",Calculations!$C$4,J699))-(SUM('Input and Output'!E$27:E$32))*K698))</f>
        <v>#N/A</v>
      </c>
      <c r="H699" s="49">
        <f>IF(H$2="",NA(),C699*$B699+H698)</f>
        <v>324463.42007752886</v>
      </c>
      <c r="I699" s="49">
        <f>IF(I$2="",NA(),D699*$B699+I698)</f>
        <v>2973016.7311408455</v>
      </c>
      <c r="J699" s="49">
        <f>IF(J$2="",NA(),E699*$B699+J698)</f>
        <v>1381823.182323341</v>
      </c>
      <c r="K699" s="49" t="e">
        <f>IF(K$2="",NA(),F699*$B699+K698)</f>
        <v>#N/A</v>
      </c>
    </row>
    <row r="700" spans="1:11" x14ac:dyDescent="0.4">
      <c r="A700" s="49">
        <v>697</v>
      </c>
      <c r="B700" s="49">
        <f>A700/$B$1</f>
        <v>29.041666666666668</v>
      </c>
      <c r="C700" s="49">
        <f>(('Input and Output'!B$23*'Input and Output'!$B$10)+('Input and Output'!B$24*Calculations!$C$5)+('Input and Output'!B$25*Calculations!$C$6)+('Input and Output'!B$26*(IF('Input and Output'!D$7="Detritus",Calculations!$C$4,G700))-(SUM('Input and Output'!B$27:B$32))*H699))</f>
        <v>1.6734095974697993E-2</v>
      </c>
      <c r="D700" s="49">
        <f>(('Input and Output'!C$23*'Input and Output'!$B$10)+('Input and Output'!C$24*Calculations!$C$5)+('Input and Output'!C$25*Calculations!$C$6)+('Input and Output'!C$26*(IF('Input and Output'!E$7="Detritus",Calculations!$C$4,H700))-(SUM('Input and Output'!C$27:C$32))*I699))</f>
        <v>0.14066684376120975</v>
      </c>
      <c r="E700" s="49">
        <f>(('Input and Output'!D$23*'Input and Output'!$B$10)+('Input and Output'!D$24*Calculations!$C$5)+('Input and Output'!D$25*Calculations!$C$6)+('Input and Output'!D$26*(IF('Input and Output'!F$7="Detritus",Calculations!$C$4,I700))-(SUM('Input and Output'!D$27:D$32))*J699))</f>
        <v>6.1711050879239338E-2</v>
      </c>
      <c r="F700" s="49" t="e">
        <f>(('Input and Output'!E$23*'Input and Output'!$B$10)+('Input and Output'!E$24*Calculations!$C$5)+('Input and Output'!E$25*Calculations!$C$6)+('Input and Output'!E$26*(IF('Input and Output'!G$7="Detritus",Calculations!$C$4,J700))-(SUM('Input and Output'!E$27:E$32))*K699))</f>
        <v>#N/A</v>
      </c>
      <c r="H700" s="49">
        <f>IF(H$2="",NA(),C700*$B700+H699)</f>
        <v>324463.9060635661</v>
      </c>
      <c r="I700" s="49">
        <f>IF(I$2="",NA(),D700*$B700+I699)</f>
        <v>2973020.816340433</v>
      </c>
      <c r="J700" s="49">
        <f>IF(J$2="",NA(),E700*$B700+J699)</f>
        <v>1381824.9745151103</v>
      </c>
      <c r="K700" s="49" t="e">
        <f>IF(K$2="",NA(),F700*$B700+K699)</f>
        <v>#N/A</v>
      </c>
    </row>
    <row r="701" spans="1:11" x14ac:dyDescent="0.4">
      <c r="A701" s="49">
        <v>698</v>
      </c>
      <c r="B701" s="49">
        <f>A701/$B$1</f>
        <v>29.083333333333332</v>
      </c>
      <c r="C701" s="49">
        <f>(('Input and Output'!B$23*'Input and Output'!$B$10)+('Input and Output'!B$24*Calculations!$C$5)+('Input and Output'!B$25*Calculations!$C$6)+('Input and Output'!B$26*(IF('Input and Output'!D$7="Detritus",Calculations!$C$4,G701))-(SUM('Input and Output'!B$27:B$32))*H700))</f>
        <v>1.62655499825064E-2</v>
      </c>
      <c r="D701" s="49">
        <f>(('Input and Output'!C$23*'Input and Output'!$B$10)+('Input and Output'!C$24*Calculations!$C$5)+('Input and Output'!C$25*Calculations!$C$6)+('Input and Output'!C$26*(IF('Input and Output'!E$7="Detritus",Calculations!$C$4,H701))-(SUM('Input and Output'!C$27:C$32))*I700))</f>
        <v>0.1367221735736166</v>
      </c>
      <c r="E701" s="49">
        <f>(('Input and Output'!D$23*'Input and Output'!$B$10)+('Input and Output'!D$24*Calculations!$C$5)+('Input and Output'!D$25*Calculations!$C$6)+('Input and Output'!D$26*(IF('Input and Output'!F$7="Detritus",Calculations!$C$4,I701))-(SUM('Input and Output'!D$27:D$32))*J700))</f>
        <v>5.9977903150866041E-2</v>
      </c>
      <c r="F701" s="49" t="e">
        <f>(('Input and Output'!E$23*'Input and Output'!$B$10)+('Input and Output'!E$24*Calculations!$C$5)+('Input and Output'!E$25*Calculations!$C$6)+('Input and Output'!E$26*(IF('Input and Output'!G$7="Detritus",Calculations!$C$4,J701))-(SUM('Input and Output'!E$27:E$32))*K700))</f>
        <v>#N/A</v>
      </c>
      <c r="H701" s="49">
        <f>IF(H$2="",NA(),C701*$B701+H700)</f>
        <v>324464.37911997811</v>
      </c>
      <c r="I701" s="49">
        <f>IF(I$2="",NA(),D701*$B701+I700)</f>
        <v>2973024.7926769811</v>
      </c>
      <c r="J701" s="49">
        <f>IF(J$2="",NA(),E701*$B701+J700)</f>
        <v>1381826.7188724603</v>
      </c>
      <c r="K701" s="49" t="e">
        <f>IF(K$2="",NA(),F701*$B701+K700)</f>
        <v>#N/A</v>
      </c>
    </row>
    <row r="702" spans="1:11" x14ac:dyDescent="0.4">
      <c r="A702" s="49">
        <v>699</v>
      </c>
      <c r="B702" s="49">
        <f>A702/$B$1</f>
        <v>29.125</v>
      </c>
      <c r="C702" s="49">
        <f>(('Input and Output'!B$23*'Input and Output'!$B$10)+('Input and Output'!B$24*Calculations!$C$5)+('Input and Output'!B$25*Calculations!$C$6)+('Input and Output'!B$26*(IF('Input and Output'!D$7="Detritus",Calculations!$C$4,G702))-(SUM('Input and Output'!B$27:B$32))*H701))</f>
        <v>1.5809469624286976E-2</v>
      </c>
      <c r="D702" s="49">
        <f>(('Input and Output'!C$23*'Input and Output'!$B$10)+('Input and Output'!C$24*Calculations!$C$5)+('Input and Output'!C$25*Calculations!$C$6)+('Input and Output'!C$26*(IF('Input and Output'!E$7="Detritus",Calculations!$C$4,H702))-(SUM('Input and Output'!C$27:C$32))*I701))</f>
        <v>0.13288263131289568</v>
      </c>
      <c r="E702" s="49">
        <f>(('Input and Output'!D$23*'Input and Output'!$B$10)+('Input and Output'!D$24*Calculations!$C$5)+('Input and Output'!D$25*Calculations!$C$6)+('Input and Output'!D$26*(IF('Input and Output'!F$7="Detritus",Calculations!$C$4,I702))-(SUM('Input and Output'!D$27:D$32))*J701))</f>
        <v>5.829102218922344E-2</v>
      </c>
      <c r="F702" s="49" t="e">
        <f>(('Input and Output'!E$23*'Input and Output'!$B$10)+('Input and Output'!E$24*Calculations!$C$5)+('Input and Output'!E$25*Calculations!$C$6)+('Input and Output'!E$26*(IF('Input and Output'!G$7="Detritus",Calculations!$C$4,J702))-(SUM('Input and Output'!E$27:E$32))*K701))</f>
        <v>#N/A</v>
      </c>
      <c r="H702" s="49">
        <f>IF(H$2="",NA(),C702*$B702+H701)</f>
        <v>324464.83957078092</v>
      </c>
      <c r="I702" s="49">
        <f>IF(I$2="",NA(),D702*$B702+I701)</f>
        <v>2973028.6628836179</v>
      </c>
      <c r="J702" s="49">
        <f>IF(J$2="",NA(),E702*$B702+J701)</f>
        <v>1381828.4165984816</v>
      </c>
      <c r="K702" s="49" t="e">
        <f>IF(K$2="",NA(),F702*$B702+K701)</f>
        <v>#N/A</v>
      </c>
    </row>
    <row r="703" spans="1:11" x14ac:dyDescent="0.4">
      <c r="A703" s="49">
        <v>700</v>
      </c>
      <c r="B703" s="49">
        <f>A703/$B$1</f>
        <v>29.166666666666668</v>
      </c>
      <c r="C703" s="49">
        <f>(('Input and Output'!B$23*'Input and Output'!$B$10)+('Input and Output'!B$24*Calculations!$C$5)+('Input and Output'!B$25*Calculations!$C$6)+('Input and Output'!B$26*(IF('Input and Output'!D$7="Detritus",Calculations!$C$4,G703))-(SUM('Input and Output'!B$27:B$32))*H702))</f>
        <v>1.5365542511688091E-2</v>
      </c>
      <c r="D703" s="49">
        <f>(('Input and Output'!C$23*'Input and Output'!$B$10)+('Input and Output'!C$24*Calculations!$C$5)+('Input and Output'!C$25*Calculations!$C$6)+('Input and Output'!C$26*(IF('Input and Output'!E$7="Detritus",Calculations!$C$4,H703))-(SUM('Input and Output'!C$27:C$32))*I702))</f>
        <v>0.12914557731801324</v>
      </c>
      <c r="E703" s="49">
        <f>(('Input and Output'!D$23*'Input and Output'!$B$10)+('Input and Output'!D$24*Calculations!$C$5)+('Input and Output'!D$25*Calculations!$C$6)+('Input and Output'!D$26*(IF('Input and Output'!F$7="Detritus",Calculations!$C$4,I703))-(SUM('Input and Output'!D$27:D$32))*J702))</f>
        <v>5.664924410302774E-2</v>
      </c>
      <c r="F703" s="49" t="e">
        <f>(('Input and Output'!E$23*'Input and Output'!$B$10)+('Input and Output'!E$24*Calculations!$C$5)+('Input and Output'!E$25*Calculations!$C$6)+('Input and Output'!E$26*(IF('Input and Output'!G$7="Detritus",Calculations!$C$4,J703))-(SUM('Input and Output'!E$27:E$32))*K702))</f>
        <v>#N/A</v>
      </c>
      <c r="H703" s="49">
        <f>IF(H$2="",NA(),C703*$B703+H702)</f>
        <v>324465.28773243754</v>
      </c>
      <c r="I703" s="49">
        <f>IF(I$2="",NA(),D703*$B703+I702)</f>
        <v>2973032.429629623</v>
      </c>
      <c r="J703" s="49">
        <f>IF(J$2="",NA(),E703*$B703+J702)</f>
        <v>1381830.0688681013</v>
      </c>
      <c r="K703" s="49" t="e">
        <f>IF(K$2="",NA(),F703*$B703+K702)</f>
        <v>#N/A</v>
      </c>
    </row>
    <row r="704" spans="1:11" x14ac:dyDescent="0.4">
      <c r="A704" s="49">
        <v>701</v>
      </c>
      <c r="B704" s="49">
        <f>A704/$B$1</f>
        <v>29.208333333333332</v>
      </c>
      <c r="C704" s="49">
        <f>(('Input and Output'!B$23*'Input and Output'!$B$10)+('Input and Output'!B$24*Calculations!$C$5)+('Input and Output'!B$25*Calculations!$C$6)+('Input and Output'!B$26*(IF('Input and Output'!D$7="Detritus",Calculations!$C$4,G704))-(SUM('Input and Output'!B$27:B$32))*H703))</f>
        <v>1.4933463538227443E-2</v>
      </c>
      <c r="D704" s="49">
        <f>(('Input and Output'!C$23*'Input and Output'!$B$10)+('Input and Output'!C$24*Calculations!$C$5)+('Input and Output'!C$25*Calculations!$C$6)+('Input and Output'!C$26*(IF('Input and Output'!E$7="Detritus",Calculations!$C$4,H704))-(SUM('Input and Output'!C$27:C$32))*I703))</f>
        <v>0.12550843359986175</v>
      </c>
      <c r="E704" s="49">
        <f>(('Input and Output'!D$23*'Input and Output'!$B$10)+('Input and Output'!D$24*Calculations!$C$5)+('Input and Output'!D$25*Calculations!$C$6)+('Input and Output'!D$26*(IF('Input and Output'!F$7="Detritus",Calculations!$C$4,I704))-(SUM('Input and Output'!D$27:D$32))*J703))</f>
        <v>5.5051432154868962E-2</v>
      </c>
      <c r="F704" s="49" t="e">
        <f>(('Input and Output'!E$23*'Input and Output'!$B$10)+('Input and Output'!E$24*Calculations!$C$5)+('Input and Output'!E$25*Calculations!$C$6)+('Input and Output'!E$26*(IF('Input and Output'!G$7="Detritus",Calculations!$C$4,J704))-(SUM('Input and Output'!E$27:E$32))*K703))</f>
        <v>#N/A</v>
      </c>
      <c r="H704" s="49">
        <f>IF(H$2="",NA(),C704*$B704+H703)</f>
        <v>324465.72391401837</v>
      </c>
      <c r="I704" s="49">
        <f>IF(I$2="",NA(),D704*$B704+I703)</f>
        <v>2973036.0955217876</v>
      </c>
      <c r="J704" s="49">
        <f>IF(J$2="",NA(),E704*$B704+J703)</f>
        <v>1381831.6768286822</v>
      </c>
      <c r="K704" s="49" t="e">
        <f>IF(K$2="",NA(),F704*$B704+K703)</f>
        <v>#N/A</v>
      </c>
    </row>
    <row r="705" spans="1:11" x14ac:dyDescent="0.4">
      <c r="A705" s="49">
        <v>702</v>
      </c>
      <c r="B705" s="49">
        <f>A705/$B$1</f>
        <v>29.25</v>
      </c>
      <c r="C705" s="49">
        <f>(('Input and Output'!B$23*'Input and Output'!$B$10)+('Input and Output'!B$24*Calculations!$C$5)+('Input and Output'!B$25*Calculations!$C$6)+('Input and Output'!B$26*(IF('Input and Output'!D$7="Detritus",Calculations!$C$4,G705))-(SUM('Input and Output'!B$27:B$32))*H704))</f>
        <v>1.4512934724791648E-2</v>
      </c>
      <c r="D705" s="49">
        <f>(('Input and Output'!C$23*'Input and Output'!$B$10)+('Input and Output'!C$24*Calculations!$C$5)+('Input and Output'!C$25*Calculations!$C$6)+('Input and Output'!C$26*(IF('Input and Output'!E$7="Detritus",Calculations!$C$4,H705))-(SUM('Input and Output'!C$27:C$32))*I704))</f>
        <v>0.12196868253249704</v>
      </c>
      <c r="E705" s="49">
        <f>(('Input and Output'!D$23*'Input and Output'!$B$10)+('Input and Output'!D$24*Calculations!$C$5)+('Input and Output'!D$25*Calculations!$C$6)+('Input and Output'!D$26*(IF('Input and Output'!F$7="Detritus",Calculations!$C$4,I705))-(SUM('Input and Output'!D$27:D$32))*J704))</f>
        <v>5.3496476455620723E-2</v>
      </c>
      <c r="F705" s="49" t="e">
        <f>(('Input and Output'!E$23*'Input and Output'!$B$10)+('Input and Output'!E$24*Calculations!$C$5)+('Input and Output'!E$25*Calculations!$C$6)+('Input and Output'!E$26*(IF('Input and Output'!G$7="Detritus",Calculations!$C$4,J705))-(SUM('Input and Output'!E$27:E$32))*K704))</f>
        <v>#N/A</v>
      </c>
      <c r="H705" s="49">
        <f>IF(H$2="",NA(),C705*$B705+H704)</f>
        <v>324466.14841735904</v>
      </c>
      <c r="I705" s="49">
        <f>IF(I$2="",NA(),D705*$B705+I704)</f>
        <v>2973039.6631057519</v>
      </c>
      <c r="J705" s="49">
        <f>IF(J$2="",NA(),E705*$B705+J704)</f>
        <v>1381833.2416006185</v>
      </c>
      <c r="K705" s="49" t="e">
        <f>IF(K$2="",NA(),F705*$B705+K704)</f>
        <v>#N/A</v>
      </c>
    </row>
    <row r="706" spans="1:11" x14ac:dyDescent="0.4">
      <c r="A706" s="49">
        <v>703</v>
      </c>
      <c r="B706" s="49">
        <f>A706/$B$1</f>
        <v>29.291666666666668</v>
      </c>
      <c r="C706" s="49">
        <f>(('Input and Output'!B$23*'Input and Output'!$B$10)+('Input and Output'!B$24*Calculations!$C$5)+('Input and Output'!B$25*Calculations!$C$6)+('Input and Output'!B$26*(IF('Input and Output'!D$7="Detritus",Calculations!$C$4,G706))-(SUM('Input and Output'!B$27:B$32))*H705))</f>
        <v>1.4103665067409565E-2</v>
      </c>
      <c r="D706" s="49">
        <f>(('Input and Output'!C$23*'Input and Output'!$B$10)+('Input and Output'!C$24*Calculations!$C$5)+('Input and Output'!C$25*Calculations!$C$6)+('Input and Output'!C$26*(IF('Input and Output'!E$7="Detritus",Calculations!$C$4,H706))-(SUM('Input and Output'!C$27:C$32))*I705))</f>
        <v>0.11852386555528938</v>
      </c>
      <c r="E706" s="49">
        <f>(('Input and Output'!D$23*'Input and Output'!$B$10)+('Input and Output'!D$24*Calculations!$C$5)+('Input and Output'!D$25*Calculations!$C$6)+('Input and Output'!D$26*(IF('Input and Output'!F$7="Detritus",Calculations!$C$4,I706))-(SUM('Input and Output'!D$27:D$32))*J705))</f>
        <v>5.1983292989461916E-2</v>
      </c>
      <c r="F706" s="49" t="e">
        <f>(('Input and Output'!E$23*'Input and Output'!$B$10)+('Input and Output'!E$24*Calculations!$C$5)+('Input and Output'!E$25*Calculations!$C$6)+('Input and Output'!E$26*(IF('Input and Output'!G$7="Detritus",Calculations!$C$4,J706))-(SUM('Input and Output'!E$27:E$32))*K705))</f>
        <v>#N/A</v>
      </c>
      <c r="H706" s="49">
        <f>IF(H$2="",NA(),C706*$B706+H705)</f>
        <v>324466.56153721496</v>
      </c>
      <c r="I706" s="49">
        <f>IF(I$2="",NA(),D706*$B706+I705)</f>
        <v>2973043.1348673138</v>
      </c>
      <c r="J706" s="49">
        <f>IF(J$2="",NA(),E706*$B706+J705)</f>
        <v>1381834.764277909</v>
      </c>
      <c r="K706" s="49" t="e">
        <f>IF(K$2="",NA(),F706*$B706+K705)</f>
        <v>#N/A</v>
      </c>
    </row>
    <row r="707" spans="1:11" x14ac:dyDescent="0.4">
      <c r="A707" s="49">
        <v>704</v>
      </c>
      <c r="B707" s="49">
        <f>A707/$B$1</f>
        <v>29.333333333333332</v>
      </c>
      <c r="C707" s="49">
        <f>(('Input and Output'!B$23*'Input and Output'!$B$10)+('Input and Output'!B$24*Calculations!$C$5)+('Input and Output'!B$25*Calculations!$C$6)+('Input and Output'!B$26*(IF('Input and Output'!D$7="Detritus",Calculations!$C$4,G707))-(SUM('Input and Output'!B$27:B$32))*H706))</f>
        <v>1.3705370388152005E-2</v>
      </c>
      <c r="D707" s="49">
        <f>(('Input and Output'!C$23*'Input and Output'!$B$10)+('Input and Output'!C$24*Calculations!$C$5)+('Input and Output'!C$25*Calculations!$C$6)+('Input and Output'!C$26*(IF('Input and Output'!E$7="Detritus",Calculations!$C$4,H707))-(SUM('Input and Output'!C$27:C$32))*I706))</f>
        <v>0.11517158191873023</v>
      </c>
      <c r="E707" s="49">
        <f>(('Input and Output'!D$23*'Input and Output'!$B$10)+('Input and Output'!D$24*Calculations!$C$5)+('Input and Output'!D$25*Calculations!$C$6)+('Input and Output'!D$26*(IF('Input and Output'!F$7="Detritus",Calculations!$C$4,I707))-(SUM('Input and Output'!D$27:D$32))*J706))</f>
        <v>5.0510823482909473E-2</v>
      </c>
      <c r="F707" s="49" t="e">
        <f>(('Input and Output'!E$23*'Input and Output'!$B$10)+('Input and Output'!E$24*Calculations!$C$5)+('Input and Output'!E$25*Calculations!$C$6)+('Input and Output'!E$26*(IF('Input and Output'!G$7="Detritus",Calculations!$C$4,J707))-(SUM('Input and Output'!E$27:E$32))*K706))</f>
        <v>#N/A</v>
      </c>
      <c r="H707" s="49">
        <f>IF(H$2="",NA(),C707*$B707+H706)</f>
        <v>324466.96356141299</v>
      </c>
      <c r="I707" s="49">
        <f>IF(I$2="",NA(),D707*$B707+I706)</f>
        <v>2973046.5132337166</v>
      </c>
      <c r="J707" s="49">
        <f>IF(J$2="",NA(),E707*$B707+J706)</f>
        <v>1381836.245928731</v>
      </c>
      <c r="K707" s="49" t="e">
        <f>IF(K$2="",NA(),F707*$B707+K706)</f>
        <v>#N/A</v>
      </c>
    </row>
    <row r="708" spans="1:11" x14ac:dyDescent="0.4">
      <c r="A708" s="49">
        <v>705</v>
      </c>
      <c r="B708" s="49">
        <f>A708/$B$1</f>
        <v>29.375</v>
      </c>
      <c r="C708" s="49">
        <f>(('Input and Output'!B$23*'Input and Output'!$B$10)+('Input and Output'!B$24*Calculations!$C$5)+('Input and Output'!B$25*Calculations!$C$6)+('Input and Output'!B$26*(IF('Input and Output'!D$7="Detritus",Calculations!$C$4,G708))-(SUM('Input and Output'!B$27:B$32))*H707))</f>
        <v>1.3317773189214677E-2</v>
      </c>
      <c r="D708" s="49">
        <f>(('Input and Output'!C$23*'Input and Output'!$B$10)+('Input and Output'!C$24*Calculations!$C$5)+('Input and Output'!C$25*Calculations!$C$6)+('Input and Output'!C$26*(IF('Input and Output'!E$7="Detritus",Calculations!$C$4,H708))-(SUM('Input and Output'!C$27:C$32))*I707))</f>
        <v>0.11190948742205364</v>
      </c>
      <c r="E708" s="49">
        <f>(('Input and Output'!D$23*'Input and Output'!$B$10)+('Input and Output'!D$24*Calculations!$C$5)+('Input and Output'!D$25*Calculations!$C$6)+('Input and Output'!D$26*(IF('Input and Output'!F$7="Detritus",Calculations!$C$4,I708))-(SUM('Input and Output'!D$27:D$32))*J707))</f>
        <v>4.9078034560807282E-2</v>
      </c>
      <c r="F708" s="49" t="e">
        <f>(('Input and Output'!E$23*'Input and Output'!$B$10)+('Input and Output'!E$24*Calculations!$C$5)+('Input and Output'!E$25*Calculations!$C$6)+('Input and Output'!E$26*(IF('Input and Output'!G$7="Detritus",Calculations!$C$4,J708))-(SUM('Input and Output'!E$27:E$32))*K707))</f>
        <v>#N/A</v>
      </c>
      <c r="H708" s="49">
        <f>IF(H$2="",NA(),C708*$B708+H707)</f>
        <v>324467.35477100045</v>
      </c>
      <c r="I708" s="49">
        <f>IF(I$2="",NA(),D708*$B708+I707)</f>
        <v>2973049.8005749094</v>
      </c>
      <c r="J708" s="49">
        <f>IF(J$2="",NA(),E708*$B708+J707)</f>
        <v>1381837.6875959963</v>
      </c>
      <c r="K708" s="49" t="e">
        <f>IF(K$2="",NA(),F708*$B708+K707)</f>
        <v>#N/A</v>
      </c>
    </row>
    <row r="709" spans="1:11" x14ac:dyDescent="0.4">
      <c r="A709" s="49">
        <v>706</v>
      </c>
      <c r="B709" s="49">
        <f>A709/$B$1</f>
        <v>29.416666666666668</v>
      </c>
      <c r="C709" s="49">
        <f>(('Input and Output'!B$23*'Input and Output'!$B$10)+('Input and Output'!B$24*Calculations!$C$5)+('Input and Output'!B$25*Calculations!$C$6)+('Input and Output'!B$26*(IF('Input and Output'!D$7="Detritus",Calculations!$C$4,G709))-(SUM('Input and Output'!B$27:B$32))*H708))</f>
        <v>1.294060250882012E-2</v>
      </c>
      <c r="D709" s="49">
        <f>(('Input and Output'!C$23*'Input and Output'!$B$10)+('Input and Output'!C$24*Calculations!$C$5)+('Input and Output'!C$25*Calculations!$C$6)+('Input and Output'!C$26*(IF('Input and Output'!E$7="Detritus",Calculations!$C$4,H709))-(SUM('Input and Output'!C$27:C$32))*I708))</f>
        <v>0.10873529321452224</v>
      </c>
      <c r="E709" s="49">
        <f>(('Input and Output'!D$23*'Input and Output'!$B$10)+('Input and Output'!D$24*Calculations!$C$5)+('Input and Output'!D$25*Calculations!$C$6)+('Input and Output'!D$26*(IF('Input and Output'!F$7="Detritus",Calculations!$C$4,I709))-(SUM('Input and Output'!D$27:D$32))*J708))</f>
        <v>4.7683917237009155E-2</v>
      </c>
      <c r="F709" s="49" t="e">
        <f>(('Input and Output'!E$23*'Input and Output'!$B$10)+('Input and Output'!E$24*Calculations!$C$5)+('Input and Output'!E$25*Calculations!$C$6)+('Input and Output'!E$26*(IF('Input and Output'!G$7="Detritus",Calculations!$C$4,J709))-(SUM('Input and Output'!E$27:E$32))*K708))</f>
        <v>#N/A</v>
      </c>
      <c r="H709" s="49">
        <f>IF(H$2="",NA(),C709*$B709+H708)</f>
        <v>324467.73544039094</v>
      </c>
      <c r="I709" s="49">
        <f>IF(I$2="",NA(),D709*$B709+I708)</f>
        <v>2973052.9992047846</v>
      </c>
      <c r="J709" s="49">
        <f>IF(J$2="",NA(),E709*$B709+J708)</f>
        <v>1381839.090297895</v>
      </c>
      <c r="K709" s="49" t="e">
        <f>IF(K$2="",NA(),F709*$B709+K708)</f>
        <v>#N/A</v>
      </c>
    </row>
    <row r="710" spans="1:11" x14ac:dyDescent="0.4">
      <c r="A710" s="49">
        <v>707</v>
      </c>
      <c r="B710" s="49">
        <f>A710/$B$1</f>
        <v>29.458333333333332</v>
      </c>
      <c r="C710" s="49">
        <f>(('Input and Output'!B$23*'Input and Output'!$B$10)+('Input and Output'!B$24*Calculations!$C$5)+('Input and Output'!B$25*Calculations!$C$6)+('Input and Output'!B$26*(IF('Input and Output'!D$7="Detritus",Calculations!$C$4,G710))-(SUM('Input and Output'!B$27:B$32))*H709))</f>
        <v>1.2573593780984993E-2</v>
      </c>
      <c r="D710" s="49">
        <f>(('Input and Output'!C$23*'Input and Output'!$B$10)+('Input and Output'!C$24*Calculations!$C$5)+('Input and Output'!C$25*Calculations!$C$6)+('Input and Output'!C$26*(IF('Input and Output'!E$7="Detritus",Calculations!$C$4,H710))-(SUM('Input and Output'!C$27:C$32))*I709))</f>
        <v>0.10564676458943723</v>
      </c>
      <c r="E710" s="49">
        <f>(('Input and Output'!D$23*'Input and Output'!$B$10)+('Input and Output'!D$24*Calculations!$C$5)+('Input and Output'!D$25*Calculations!$C$6)+('Input and Output'!D$26*(IF('Input and Output'!F$7="Detritus",Calculations!$C$4,I710))-(SUM('Input and Output'!D$27:D$32))*J709))</f>
        <v>4.6327486666996265E-2</v>
      </c>
      <c r="F710" s="49" t="e">
        <f>(('Input and Output'!E$23*'Input and Output'!$B$10)+('Input and Output'!E$24*Calculations!$C$5)+('Input and Output'!E$25*Calculations!$C$6)+('Input and Output'!E$26*(IF('Input and Output'!G$7="Detritus",Calculations!$C$4,J710))-(SUM('Input and Output'!E$27:E$32))*K709))</f>
        <v>#N/A</v>
      </c>
      <c r="H710" s="49">
        <f>IF(H$2="",NA(),C710*$B710+H709)</f>
        <v>324468.10583750776</v>
      </c>
      <c r="I710" s="49">
        <f>IF(I$2="",NA(),D710*$B710+I709)</f>
        <v>2973056.1113823913</v>
      </c>
      <c r="J710" s="49">
        <f>IF(J$2="",NA(),E710*$B710+J709)</f>
        <v>1381840.4550284396</v>
      </c>
      <c r="K710" s="49" t="e">
        <f>IF(K$2="",NA(),F710*$B710+K709)</f>
        <v>#N/A</v>
      </c>
    </row>
    <row r="711" spans="1:11" x14ac:dyDescent="0.4">
      <c r="A711" s="49">
        <v>708</v>
      </c>
      <c r="B711" s="49">
        <f>A711/$B$1</f>
        <v>29.5</v>
      </c>
      <c r="C711" s="49">
        <f>(('Input and Output'!B$23*'Input and Output'!$B$10)+('Input and Output'!B$24*Calculations!$C$5)+('Input and Output'!B$25*Calculations!$C$6)+('Input and Output'!B$26*(IF('Input and Output'!D$7="Detritus",Calculations!$C$4,G711))-(SUM('Input and Output'!B$27:B$32))*H710))</f>
        <v>1.2216488697049499E-2</v>
      </c>
      <c r="D711" s="49">
        <f>(('Input and Output'!C$23*'Input and Output'!$B$10)+('Input and Output'!C$24*Calculations!$C$5)+('Input and Output'!C$25*Calculations!$C$6)+('Input and Output'!C$26*(IF('Input and Output'!E$7="Detritus",Calculations!$C$4,H711))-(SUM('Input and Output'!C$27:C$32))*I710))</f>
        <v>0.10264171981634718</v>
      </c>
      <c r="E711" s="49">
        <f>(('Input and Output'!D$23*'Input and Output'!$B$10)+('Input and Output'!D$24*Calculations!$C$5)+('Input and Output'!D$25*Calculations!$C$6)+('Input and Output'!D$26*(IF('Input and Output'!F$7="Detritus",Calculations!$C$4,I711))-(SUM('Input and Output'!D$27:D$32))*J710))</f>
        <v>4.5007781085587339E-2</v>
      </c>
      <c r="F711" s="49" t="e">
        <f>(('Input and Output'!E$23*'Input and Output'!$B$10)+('Input and Output'!E$24*Calculations!$C$5)+('Input and Output'!E$25*Calculations!$C$6)+('Input and Output'!E$26*(IF('Input and Output'!G$7="Detritus",Calculations!$C$4,J711))-(SUM('Input and Output'!E$27:E$32))*K710))</f>
        <v>#N/A</v>
      </c>
      <c r="H711" s="49">
        <f>IF(H$2="",NA(),C711*$B711+H710)</f>
        <v>324468.4662239243</v>
      </c>
      <c r="I711" s="49">
        <f>IF(I$2="",NA(),D711*$B711+I710)</f>
        <v>2973059.139313126</v>
      </c>
      <c r="J711" s="49">
        <f>IF(J$2="",NA(),E711*$B711+J710)</f>
        <v>1381841.7827579817</v>
      </c>
      <c r="K711" s="49" t="e">
        <f>IF(K$2="",NA(),F711*$B711+K710)</f>
        <v>#N/A</v>
      </c>
    </row>
    <row r="712" spans="1:11" x14ac:dyDescent="0.4">
      <c r="A712" s="49">
        <v>709</v>
      </c>
      <c r="B712" s="49">
        <f>A712/$B$1</f>
        <v>29.541666666666668</v>
      </c>
      <c r="C712" s="49">
        <f>(('Input and Output'!B$23*'Input and Output'!$B$10)+('Input and Output'!B$24*Calculations!$C$5)+('Input and Output'!B$25*Calculations!$C$6)+('Input and Output'!B$26*(IF('Input and Output'!D$7="Detritus",Calculations!$C$4,G712))-(SUM('Input and Output'!B$27:B$32))*H711))</f>
        <v>1.1869035070390055E-2</v>
      </c>
      <c r="D712" s="49">
        <f>(('Input and Output'!C$23*'Input and Output'!$B$10)+('Input and Output'!C$24*Calculations!$C$5)+('Input and Output'!C$25*Calculations!$C$6)+('Input and Output'!C$26*(IF('Input and Output'!E$7="Detritus",Calculations!$C$4,H712))-(SUM('Input and Output'!C$27:C$32))*I711))</f>
        <v>9.971802898144233E-2</v>
      </c>
      <c r="E712" s="49">
        <f>(('Input and Output'!D$23*'Input and Output'!$B$10)+('Input and Output'!D$24*Calculations!$C$5)+('Input and Output'!D$25*Calculations!$C$6)+('Input and Output'!D$26*(IF('Input and Output'!F$7="Detritus",Calculations!$C$4,I712))-(SUM('Input and Output'!D$27:D$32))*J711))</f>
        <v>4.3723861879698234E-2</v>
      </c>
      <c r="F712" s="49" t="e">
        <f>(('Input and Output'!E$23*'Input and Output'!$B$10)+('Input and Output'!E$24*Calculations!$C$5)+('Input and Output'!E$25*Calculations!$C$6)+('Input and Output'!E$26*(IF('Input and Output'!G$7="Detritus",Calculations!$C$4,J712))-(SUM('Input and Output'!E$27:E$32))*K711))</f>
        <v>#N/A</v>
      </c>
      <c r="H712" s="49">
        <f>IF(H$2="",NA(),C712*$B712+H711)</f>
        <v>324468.81685500202</v>
      </c>
      <c r="I712" s="49">
        <f>IF(I$2="",NA(),D712*$B712+I711)</f>
        <v>2973062.0851498987</v>
      </c>
      <c r="J712" s="49">
        <f>IF(J$2="",NA(),E712*$B712+J711)</f>
        <v>1381843.0744337346</v>
      </c>
      <c r="K712" s="49" t="e">
        <f>IF(K$2="",NA(),F712*$B712+K711)</f>
        <v>#N/A</v>
      </c>
    </row>
    <row r="713" spans="1:11" x14ac:dyDescent="0.4">
      <c r="A713" s="49">
        <v>710</v>
      </c>
      <c r="B713" s="49">
        <f>A713/$B$1</f>
        <v>29.583333333333332</v>
      </c>
      <c r="C713" s="49">
        <f>(('Input and Output'!B$23*'Input and Output'!$B$10)+('Input and Output'!B$24*Calculations!$C$5)+('Input and Output'!B$25*Calculations!$C$6)+('Input and Output'!B$26*(IF('Input and Output'!D$7="Detritus",Calculations!$C$4,G713))-(SUM('Input and Output'!B$27:B$32))*H712))</f>
        <v>1.1530986703519375E-2</v>
      </c>
      <c r="D713" s="49">
        <f>(('Input and Output'!C$23*'Input and Output'!$B$10)+('Input and Output'!C$24*Calculations!$C$5)+('Input and Output'!C$25*Calculations!$C$6)+('Input and Output'!C$26*(IF('Input and Output'!E$7="Detritus",Calculations!$C$4,H713))-(SUM('Input and Output'!C$27:C$32))*I712))</f>
        <v>9.6873612880699511E-2</v>
      </c>
      <c r="E713" s="49">
        <f>(('Input and Output'!D$23*'Input and Output'!$B$10)+('Input and Output'!D$24*Calculations!$C$5)+('Input and Output'!D$25*Calculations!$C$6)+('Input and Output'!D$26*(IF('Input and Output'!F$7="Detritus",Calculations!$C$4,I713))-(SUM('Input and Output'!D$27:D$32))*J712))</f>
        <v>4.2474812729778932E-2</v>
      </c>
      <c r="F713" s="49" t="e">
        <f>(('Input and Output'!E$23*'Input and Output'!$B$10)+('Input and Output'!E$24*Calculations!$C$5)+('Input and Output'!E$25*Calculations!$C$6)+('Input and Output'!E$26*(IF('Input and Output'!G$7="Detritus",Calculations!$C$4,J713))-(SUM('Input and Output'!E$27:E$32))*K712))</f>
        <v>#N/A</v>
      </c>
      <c r="H713" s="49">
        <f>IF(H$2="",NA(),C713*$B713+H712)</f>
        <v>324469.15798002534</v>
      </c>
      <c r="I713" s="49">
        <f>IF(I$2="",NA(),D713*$B713+I712)</f>
        <v>2973064.9509942797</v>
      </c>
      <c r="J713" s="49">
        <f>IF(J$2="",NA(),E713*$B713+J712)</f>
        <v>1381844.3309802779</v>
      </c>
      <c r="K713" s="49" t="e">
        <f>IF(K$2="",NA(),F713*$B713+K712)</f>
        <v>#N/A</v>
      </c>
    </row>
    <row r="714" spans="1:11" x14ac:dyDescent="0.4">
      <c r="A714" s="49">
        <v>711</v>
      </c>
      <c r="B714" s="49">
        <f>A714/$B$1</f>
        <v>29.625</v>
      </c>
      <c r="C714" s="49">
        <f>(('Input and Output'!B$23*'Input and Output'!$B$10)+('Input and Output'!B$24*Calculations!$C$5)+('Input and Output'!B$25*Calculations!$C$6)+('Input and Output'!B$26*(IF('Input and Output'!D$7="Detritus",Calculations!$C$4,G714))-(SUM('Input and Output'!B$27:B$32))*H713))</f>
        <v>1.1202103257744511E-2</v>
      </c>
      <c r="D714" s="49">
        <f>(('Input and Output'!C$23*'Input and Output'!$B$10)+('Input and Output'!C$24*Calculations!$C$5)+('Input and Output'!C$25*Calculations!$C$6)+('Input and Output'!C$26*(IF('Input and Output'!E$7="Detritus",Calculations!$C$4,H714))-(SUM('Input and Output'!C$27:C$32))*I713))</f>
        <v>9.4106441888470727E-2</v>
      </c>
      <c r="E714" s="49">
        <f>(('Input and Output'!D$23*'Input and Output'!$B$10)+('Input and Output'!D$24*Calculations!$C$5)+('Input and Output'!D$25*Calculations!$C$6)+('Input and Output'!D$26*(IF('Input and Output'!F$7="Detritus",Calculations!$C$4,I714))-(SUM('Input and Output'!D$27:D$32))*J713))</f>
        <v>4.1259739187808009E-2</v>
      </c>
      <c r="F714" s="49" t="e">
        <f>(('Input and Output'!E$23*'Input and Output'!$B$10)+('Input and Output'!E$24*Calculations!$C$5)+('Input and Output'!E$25*Calculations!$C$6)+('Input and Output'!E$26*(IF('Input and Output'!G$7="Detritus",Calculations!$C$4,J714))-(SUM('Input and Output'!E$27:E$32))*K713))</f>
        <v>#N/A</v>
      </c>
      <c r="H714" s="49">
        <f>IF(H$2="",NA(),C714*$B714+H713)</f>
        <v>324469.48984233435</v>
      </c>
      <c r="I714" s="49">
        <f>IF(I$2="",NA(),D714*$B714+I713)</f>
        <v>2973067.7388976207</v>
      </c>
      <c r="J714" s="49">
        <f>IF(J$2="",NA(),E714*$B714+J713)</f>
        <v>1381845.5533000513</v>
      </c>
      <c r="K714" s="49" t="e">
        <f>IF(K$2="",NA(),F714*$B714+K713)</f>
        <v>#N/A</v>
      </c>
    </row>
    <row r="715" spans="1:11" x14ac:dyDescent="0.4">
      <c r="A715" s="49">
        <v>712</v>
      </c>
      <c r="B715" s="49">
        <f>A715/$B$1</f>
        <v>29.666666666666668</v>
      </c>
      <c r="C715" s="49">
        <f>(('Input and Output'!B$23*'Input and Output'!$B$10)+('Input and Output'!B$24*Calculations!$C$5)+('Input and Output'!B$25*Calculations!$C$6)+('Input and Output'!B$26*(IF('Input and Output'!D$7="Detritus",Calculations!$C$4,G715))-(SUM('Input and Output'!B$27:B$32))*H714))</f>
        <v>1.0882150125439694E-2</v>
      </c>
      <c r="D715" s="49">
        <f>(('Input and Output'!C$23*'Input and Output'!$B$10)+('Input and Output'!C$24*Calculations!$C$5)+('Input and Output'!C$25*Calculations!$C$6)+('Input and Output'!C$26*(IF('Input and Output'!E$7="Detritus",Calculations!$C$4,H715))-(SUM('Input and Output'!C$27:C$32))*I714))</f>
        <v>9.1414534890645882E-2</v>
      </c>
      <c r="E715" s="49">
        <f>(('Input and Output'!D$23*'Input and Output'!$B$10)+('Input and Output'!D$24*Calculations!$C$5)+('Input and Output'!D$25*Calculations!$C$6)+('Input and Output'!D$26*(IF('Input and Output'!F$7="Detritus",Calculations!$C$4,I715))-(SUM('Input and Output'!D$27:D$32))*J714))</f>
        <v>4.0077768313494744E-2</v>
      </c>
      <c r="F715" s="49" t="e">
        <f>(('Input and Output'!E$23*'Input and Output'!$B$10)+('Input and Output'!E$24*Calculations!$C$5)+('Input and Output'!E$25*Calculations!$C$6)+('Input and Output'!E$26*(IF('Input and Output'!G$7="Detritus",Calculations!$C$4,J715))-(SUM('Input and Output'!E$27:E$32))*K714))</f>
        <v>#N/A</v>
      </c>
      <c r="H715" s="49">
        <f>IF(H$2="",NA(),C715*$B715+H714)</f>
        <v>324469.81267945474</v>
      </c>
      <c r="I715" s="49">
        <f>IF(I$2="",NA(),D715*$B715+I714)</f>
        <v>2973070.4508621558</v>
      </c>
      <c r="J715" s="49">
        <f>IF(J$2="",NA(),E715*$B715+J714)</f>
        <v>1381846.7422738445</v>
      </c>
      <c r="K715" s="49" t="e">
        <f>IF(K$2="",NA(),F715*$B715+K714)</f>
        <v>#N/A</v>
      </c>
    </row>
    <row r="716" spans="1:11" x14ac:dyDescent="0.4">
      <c r="A716" s="49">
        <v>713</v>
      </c>
      <c r="B716" s="49">
        <f>A716/$B$1</f>
        <v>29.708333333333332</v>
      </c>
      <c r="C716" s="49">
        <f>(('Input and Output'!B$23*'Input and Output'!$B$10)+('Input and Output'!B$24*Calculations!$C$5)+('Input and Output'!B$25*Calculations!$C$6)+('Input and Output'!B$26*(IF('Input and Output'!D$7="Detritus",Calculations!$C$4,G716))-(SUM('Input and Output'!B$27:B$32))*H715))</f>
        <v>1.0570898304820275E-2</v>
      </c>
      <c r="D716" s="49">
        <f>(('Input and Output'!C$23*'Input and Output'!$B$10)+('Input and Output'!C$24*Calculations!$C$5)+('Input and Output'!C$25*Calculations!$C$6)+('Input and Output'!C$26*(IF('Input and Output'!E$7="Detritus",Calculations!$C$4,H716))-(SUM('Input and Output'!C$27:C$32))*I715))</f>
        <v>8.8795958212358528E-2</v>
      </c>
      <c r="E716" s="49">
        <f>(('Input and Output'!D$23*'Input and Output'!$B$10)+('Input and Output'!D$24*Calculations!$C$5)+('Input and Output'!D$25*Calculations!$C$6)+('Input and Output'!D$26*(IF('Input and Output'!F$7="Detritus",Calculations!$C$4,I716))-(SUM('Input and Output'!D$27:D$32))*J715))</f>
        <v>3.892804801944294E-2</v>
      </c>
      <c r="F716" s="49" t="e">
        <f>(('Input and Output'!E$23*'Input and Output'!$B$10)+('Input and Output'!E$24*Calculations!$C$5)+('Input and Output'!E$25*Calculations!$C$6)+('Input and Output'!E$26*(IF('Input and Output'!G$7="Detritus",Calculations!$C$4,J716))-(SUM('Input and Output'!E$27:E$32))*K715))</f>
        <v>#N/A</v>
      </c>
      <c r="H716" s="49">
        <f>IF(H$2="",NA(),C716*$B716+H715)</f>
        <v>324470.12672322523</v>
      </c>
      <c r="I716" s="49">
        <f>IF(I$2="",NA(),D716*$B716+I715)</f>
        <v>2973073.0888420809</v>
      </c>
      <c r="J716" s="49">
        <f>IF(J$2="",NA(),E716*$B716+J715)</f>
        <v>1381847.898761271</v>
      </c>
      <c r="K716" s="49" t="e">
        <f>IF(K$2="",NA(),F716*$B716+K715)</f>
        <v>#N/A</v>
      </c>
    </row>
    <row r="717" spans="1:11" x14ac:dyDescent="0.4">
      <c r="A717" s="49">
        <v>714</v>
      </c>
      <c r="B717" s="49">
        <f>A717/$B$1</f>
        <v>29.75</v>
      </c>
      <c r="C717" s="49">
        <f>(('Input and Output'!B$23*'Input and Output'!$B$10)+('Input and Output'!B$24*Calculations!$C$5)+('Input and Output'!B$25*Calculations!$C$6)+('Input and Output'!B$26*(IF('Input and Output'!D$7="Detritus",Calculations!$C$4,G717))-(SUM('Input and Output'!B$27:B$32))*H716))</f>
        <v>1.026812427681989E-2</v>
      </c>
      <c r="D717" s="49">
        <f>(('Input and Output'!C$23*'Input and Output'!$B$10)+('Input and Output'!C$24*Calculations!$C$5)+('Input and Output'!C$25*Calculations!$C$6)+('Input and Output'!C$26*(IF('Input and Output'!E$7="Detritus",Calculations!$C$4,H717))-(SUM('Input and Output'!C$27:C$32))*I716))</f>
        <v>8.6248824583890382E-2</v>
      </c>
      <c r="E717" s="49">
        <f>(('Input and Output'!D$23*'Input and Output'!$B$10)+('Input and Output'!D$24*Calculations!$C$5)+('Input and Output'!D$25*Calculations!$C$6)+('Input and Output'!D$26*(IF('Input and Output'!F$7="Detritus",Calculations!$C$4,I717))-(SUM('Input and Output'!D$27:D$32))*J716))</f>
        <v>3.7809746794664534E-2</v>
      </c>
      <c r="F717" s="49" t="e">
        <f>(('Input and Output'!E$23*'Input and Output'!$B$10)+('Input and Output'!E$24*Calculations!$C$5)+('Input and Output'!E$25*Calculations!$C$6)+('Input and Output'!E$26*(IF('Input and Output'!G$7="Detritus",Calculations!$C$4,J717))-(SUM('Input and Output'!E$27:E$32))*K716))</f>
        <v>#N/A</v>
      </c>
      <c r="H717" s="49">
        <f>IF(H$2="",NA(),C717*$B717+H716)</f>
        <v>324470.43219992245</v>
      </c>
      <c r="I717" s="49">
        <f>IF(I$2="",NA(),D717*$B717+I716)</f>
        <v>2973075.6547446121</v>
      </c>
      <c r="J717" s="49">
        <f>IF(J$2="",NA(),E717*$B717+J716)</f>
        <v>1381849.0236012382</v>
      </c>
      <c r="K717" s="49" t="e">
        <f>IF(K$2="",NA(),F717*$B717+K716)</f>
        <v>#N/A</v>
      </c>
    </row>
    <row r="718" spans="1:11" x14ac:dyDescent="0.4">
      <c r="A718" s="49">
        <v>715</v>
      </c>
      <c r="B718" s="49">
        <f>A718/$B$1</f>
        <v>29.791666666666668</v>
      </c>
      <c r="C718" s="49">
        <f>(('Input and Output'!B$23*'Input and Output'!$B$10)+('Input and Output'!B$24*Calculations!$C$5)+('Input and Output'!B$25*Calculations!$C$6)+('Input and Output'!B$26*(IF('Input and Output'!D$7="Detritus",Calculations!$C$4,G718))-(SUM('Input and Output'!B$27:B$32))*H717))</f>
        <v>9.9736098849803057E-3</v>
      </c>
      <c r="D718" s="49">
        <f>(('Input and Output'!C$23*'Input and Output'!$B$10)+('Input and Output'!C$24*Calculations!$C$5)+('Input and Output'!C$25*Calculations!$C$6)+('Input and Output'!C$26*(IF('Input and Output'!E$7="Detritus",Calculations!$C$4,H718))-(SUM('Input and Output'!C$27:C$32))*I717))</f>
        <v>8.3771292109304341E-2</v>
      </c>
      <c r="E718" s="49">
        <f>(('Input and Output'!D$23*'Input and Output'!$B$10)+('Input and Output'!D$24*Calculations!$C$5)+('Input and Output'!D$25*Calculations!$C$6)+('Input and Output'!D$26*(IF('Input and Output'!F$7="Detritus",Calculations!$C$4,I718))-(SUM('Input and Output'!D$27:D$32))*J717))</f>
        <v>3.6722053151606815E-2</v>
      </c>
      <c r="F718" s="49" t="e">
        <f>(('Input and Output'!E$23*'Input and Output'!$B$10)+('Input and Output'!E$24*Calculations!$C$5)+('Input and Output'!E$25*Calculations!$C$6)+('Input and Output'!E$26*(IF('Input and Output'!G$7="Detritus",Calculations!$C$4,J718))-(SUM('Input and Output'!E$27:E$32))*K717))</f>
        <v>#N/A</v>
      </c>
      <c r="H718" s="49">
        <f>IF(H$2="",NA(),C718*$B718+H717)</f>
        <v>324470.72933038359</v>
      </c>
      <c r="I718" s="49">
        <f>IF(I$2="",NA(),D718*$B718+I717)</f>
        <v>2973078.150431023</v>
      </c>
      <c r="J718" s="49">
        <f>IF(J$2="",NA(),E718*$B718+J717)</f>
        <v>1381850.117612405</v>
      </c>
      <c r="K718" s="49" t="e">
        <f>IF(K$2="",NA(),F718*$B718+K717)</f>
        <v>#N/A</v>
      </c>
    </row>
    <row r="719" spans="1:11" x14ac:dyDescent="0.4">
      <c r="A719" s="49">
        <v>716</v>
      </c>
      <c r="B719" s="49">
        <f>A719/$B$1</f>
        <v>29.833333333333332</v>
      </c>
      <c r="C719" s="49">
        <f>(('Input and Output'!B$23*'Input and Output'!$B$10)+('Input and Output'!B$24*Calculations!$C$5)+('Input and Output'!B$25*Calculations!$C$6)+('Input and Output'!B$26*(IF('Input and Output'!D$7="Detritus",Calculations!$C$4,G719))-(SUM('Input and Output'!B$27:B$32))*H718))</f>
        <v>9.6871422170465848E-3</v>
      </c>
      <c r="D719" s="49">
        <f>(('Input and Output'!C$23*'Input and Output'!$B$10)+('Input and Output'!C$24*Calculations!$C$5)+('Input and Output'!C$25*Calculations!$C$6)+('Input and Output'!C$26*(IF('Input and Output'!E$7="Detritus",Calculations!$C$4,H719))-(SUM('Input and Output'!C$27:C$32))*I718))</f>
        <v>8.1361563266000303E-2</v>
      </c>
      <c r="E719" s="49">
        <f>(('Input and Output'!D$23*'Input and Output'!$B$10)+('Input and Output'!D$24*Calculations!$C$5)+('Input and Output'!D$25*Calculations!$C$6)+('Input and Output'!D$26*(IF('Input and Output'!F$7="Detritus",Calculations!$C$4,I719))-(SUM('Input and Output'!D$27:D$32))*J718))</f>
        <v>3.5664175044075819E-2</v>
      </c>
      <c r="F719" s="49" t="e">
        <f>(('Input and Output'!E$23*'Input and Output'!$B$10)+('Input and Output'!E$24*Calculations!$C$5)+('Input and Output'!E$25*Calculations!$C$6)+('Input and Output'!E$26*(IF('Input and Output'!G$7="Detritus",Calculations!$C$4,J719))-(SUM('Input and Output'!E$27:E$32))*K718))</f>
        <v>#N/A</v>
      </c>
      <c r="H719" s="49">
        <f>IF(H$2="",NA(),C719*$B719+H718)</f>
        <v>324471.01833012642</v>
      </c>
      <c r="I719" s="49">
        <f>IF(I$2="",NA(),D719*$B719+I718)</f>
        <v>2973080.5777176605</v>
      </c>
      <c r="J719" s="49">
        <f>IF(J$2="",NA(),E719*$B719+J718)</f>
        <v>1381851.1815936272</v>
      </c>
      <c r="K719" s="49" t="e">
        <f>IF(K$2="",NA(),F719*$B719+K718)</f>
        <v>#N/A</v>
      </c>
    </row>
    <row r="720" spans="1:11" x14ac:dyDescent="0.4">
      <c r="A720" s="49">
        <v>717</v>
      </c>
      <c r="B720" s="49">
        <f>A720/$B$1</f>
        <v>29.875</v>
      </c>
      <c r="C720" s="49">
        <f>(('Input and Output'!B$23*'Input and Output'!$B$10)+('Input and Output'!B$24*Calculations!$C$5)+('Input and Output'!B$25*Calculations!$C$6)+('Input and Output'!B$26*(IF('Input and Output'!D$7="Detritus",Calculations!$C$4,G720))-(SUM('Input and Output'!B$27:B$32))*H719))</f>
        <v>9.4085134892907263E-3</v>
      </c>
      <c r="D720" s="49">
        <f>(('Input and Output'!C$23*'Input and Output'!$B$10)+('Input and Output'!C$24*Calculations!$C$5)+('Input and Output'!C$25*Calculations!$C$6)+('Input and Output'!C$26*(IF('Input and Output'!E$7="Detritus",Calculations!$C$4,H720))-(SUM('Input and Output'!C$27:C$32))*I719))</f>
        <v>7.9017883928827359E-2</v>
      </c>
      <c r="E720" s="49">
        <f>(('Input and Output'!D$23*'Input and Output'!$B$10)+('Input and Output'!D$24*Calculations!$C$5)+('Input and Output'!D$25*Calculations!$C$6)+('Input and Output'!D$26*(IF('Input and Output'!F$7="Detritus",Calculations!$C$4,I720))-(SUM('Input and Output'!D$27:D$32))*J719))</f>
        <v>3.4635339881788241E-2</v>
      </c>
      <c r="F720" s="49" t="e">
        <f>(('Input and Output'!E$23*'Input and Output'!$B$10)+('Input and Output'!E$24*Calculations!$C$5)+('Input and Output'!E$25*Calculations!$C$6)+('Input and Output'!E$26*(IF('Input and Output'!G$7="Detritus",Calculations!$C$4,J720))-(SUM('Input and Output'!E$27:E$32))*K719))</f>
        <v>#N/A</v>
      </c>
      <c r="H720" s="49">
        <f>IF(H$2="",NA(),C720*$B720+H719)</f>
        <v>324471.29940946691</v>
      </c>
      <c r="I720" s="49">
        <f>IF(I$2="",NA(),D720*$B720+I719)</f>
        <v>2973082.9383769426</v>
      </c>
      <c r="J720" s="49">
        <f>IF(J$2="",NA(),E720*$B720+J719)</f>
        <v>1381852.2163244062</v>
      </c>
      <c r="K720" s="49" t="e">
        <f>IF(K$2="",NA(),F720*$B720+K719)</f>
        <v>#N/A</v>
      </c>
    </row>
    <row r="721" spans="1:11" x14ac:dyDescent="0.4">
      <c r="A721" s="49">
        <v>718</v>
      </c>
      <c r="B721" s="49">
        <f>A721/$B$1</f>
        <v>29.916666666666668</v>
      </c>
      <c r="C721" s="49">
        <f>(('Input and Output'!B$23*'Input and Output'!$B$10)+('Input and Output'!B$24*Calculations!$C$5)+('Input and Output'!B$25*Calculations!$C$6)+('Input and Output'!B$26*(IF('Input and Output'!D$7="Detritus",Calculations!$C$4,G721))-(SUM('Input and Output'!B$27:B$32))*H720))</f>
        <v>9.1375209331090446E-3</v>
      </c>
      <c r="D721" s="49">
        <f>(('Input and Output'!C$23*'Input and Output'!$B$10)+('Input and Output'!C$24*Calculations!$C$5)+('Input and Output'!C$25*Calculations!$C$6)+('Input and Output'!C$26*(IF('Input and Output'!E$7="Detritus",Calculations!$C$4,H721))-(SUM('Input and Output'!C$27:C$32))*I720))</f>
        <v>7.6738542400562437E-2</v>
      </c>
      <c r="E721" s="49">
        <f>(('Input and Output'!D$23*'Input and Output'!$B$10)+('Input and Output'!D$24*Calculations!$C$5)+('Input and Output'!D$25*Calculations!$C$6)+('Input and Output'!D$26*(IF('Input and Output'!F$7="Detritus",Calculations!$C$4,I721))-(SUM('Input and Output'!D$27:D$32))*J720))</f>
        <v>3.3634793497185456E-2</v>
      </c>
      <c r="F721" s="49" t="e">
        <f>(('Input and Output'!E$23*'Input and Output'!$B$10)+('Input and Output'!E$24*Calculations!$C$5)+('Input and Output'!E$25*Calculations!$C$6)+('Input and Output'!E$26*(IF('Input and Output'!G$7="Detritus",Calculations!$C$4,J721))-(SUM('Input and Output'!E$27:E$32))*K720))</f>
        <v>#N/A</v>
      </c>
      <c r="H721" s="49">
        <f>IF(H$2="",NA(),C721*$B721+H720)</f>
        <v>324471.57277363481</v>
      </c>
      <c r="I721" s="49">
        <f>IF(I$2="",NA(),D721*$B721+I720)</f>
        <v>2973085.234138336</v>
      </c>
      <c r="J721" s="49">
        <f>IF(J$2="",NA(),E721*$B721+J720)</f>
        <v>1381853.2225653117</v>
      </c>
      <c r="K721" s="49" t="e">
        <f>IF(K$2="",NA(),F721*$B721+K720)</f>
        <v>#N/A</v>
      </c>
    </row>
    <row r="722" spans="1:11" x14ac:dyDescent="0.4">
      <c r="A722" s="49">
        <v>719</v>
      </c>
      <c r="B722" s="49">
        <f>A722/$B$1</f>
        <v>29.958333333333332</v>
      </c>
      <c r="C722" s="49">
        <f>(('Input and Output'!B$23*'Input and Output'!$B$10)+('Input and Output'!B$24*Calculations!$C$5)+('Input and Output'!B$25*Calculations!$C$6)+('Input and Output'!B$26*(IF('Input and Output'!D$7="Detritus",Calculations!$C$4,G722))-(SUM('Input and Output'!B$27:B$32))*H721))</f>
        <v>8.8739666836659126E-3</v>
      </c>
      <c r="D722" s="49">
        <f>(('Input and Output'!C$23*'Input and Output'!$B$10)+('Input and Output'!C$24*Calculations!$C$5)+('Input and Output'!C$25*Calculations!$C$6)+('Input and Output'!C$26*(IF('Input and Output'!E$7="Detritus",Calculations!$C$4,H722))-(SUM('Input and Output'!C$27:C$32))*I721))</f>
        <v>7.4521868469673791E-2</v>
      </c>
      <c r="E722" s="49">
        <f>(('Input and Output'!D$23*'Input and Output'!$B$10)+('Input and Output'!D$24*Calculations!$C$5)+('Input and Output'!D$25*Calculations!$C$6)+('Input and Output'!D$26*(IF('Input and Output'!F$7="Detritus",Calculations!$C$4,I722))-(SUM('Input and Output'!D$27:D$32))*J721))</f>
        <v>3.2661800276400754E-2</v>
      </c>
      <c r="F722" s="49" t="e">
        <f>(('Input and Output'!E$23*'Input and Output'!$B$10)+('Input and Output'!E$24*Calculations!$C$5)+('Input and Output'!E$25*Calculations!$C$6)+('Input and Output'!E$26*(IF('Input and Output'!G$7="Detritus",Calculations!$C$4,J722))-(SUM('Input and Output'!E$27:E$32))*K721))</f>
        <v>#N/A</v>
      </c>
      <c r="H722" s="49">
        <f>IF(H$2="",NA(),C722*$B722+H721)</f>
        <v>324471.83862288669</v>
      </c>
      <c r="I722" s="49">
        <f>IF(I$2="",NA(),D722*$B722+I721)</f>
        <v>2973087.4666893124</v>
      </c>
      <c r="J722" s="49">
        <f>IF(J$2="",NA(),E722*$B722+J721)</f>
        <v>1381854.2010584117</v>
      </c>
      <c r="K722" s="49" t="e">
        <f>IF(K$2="",NA(),F722*$B722+K721)</f>
        <v>#N/A</v>
      </c>
    </row>
    <row r="723" spans="1:11" x14ac:dyDescent="0.4">
      <c r="A723" s="49">
        <v>720</v>
      </c>
      <c r="B723" s="49">
        <f>A723/$B$1</f>
        <v>30</v>
      </c>
      <c r="C723" s="49">
        <f>(('Input and Output'!B$23*'Input and Output'!$B$10)+('Input and Output'!B$24*Calculations!$C$5)+('Input and Output'!B$25*Calculations!$C$6)+('Input and Output'!B$26*(IF('Input and Output'!D$7="Detritus",Calculations!$C$4,G723))-(SUM('Input and Output'!B$27:B$32))*H722))</f>
        <v>8.6176576707543973E-3</v>
      </c>
      <c r="D723" s="49">
        <f>(('Input and Output'!C$23*'Input and Output'!$B$10)+('Input and Output'!C$24*Calculations!$C$5)+('Input and Output'!C$25*Calculations!$C$6)+('Input and Output'!C$26*(IF('Input and Output'!E$7="Detritus",Calculations!$C$4,H723))-(SUM('Input and Output'!C$27:C$32))*I722))</f>
        <v>7.2366232488093374E-2</v>
      </c>
      <c r="E723" s="49">
        <f>(('Input and Output'!D$23*'Input and Output'!$B$10)+('Input and Output'!D$24*Calculations!$C$5)+('Input and Output'!D$25*Calculations!$C$6)+('Input and Output'!D$26*(IF('Input and Output'!F$7="Detritus",Calculations!$C$4,I723))-(SUM('Input and Output'!D$27:D$32))*J722))</f>
        <v>3.1715642300696345E-2</v>
      </c>
      <c r="F723" s="49" t="e">
        <f>(('Input and Output'!E$23*'Input and Output'!$B$10)+('Input and Output'!E$24*Calculations!$C$5)+('Input and Output'!E$25*Calculations!$C$6)+('Input and Output'!E$26*(IF('Input and Output'!G$7="Detritus",Calculations!$C$4,J723))-(SUM('Input and Output'!E$27:E$32))*K722))</f>
        <v>#N/A</v>
      </c>
      <c r="H723" s="49">
        <f>IF(H$2="",NA(),C723*$B723+H722)</f>
        <v>324472.09715261683</v>
      </c>
      <c r="I723" s="49">
        <f>IF(I$2="",NA(),D723*$B723+I722)</f>
        <v>2973089.637676287</v>
      </c>
      <c r="J723" s="49">
        <f>IF(J$2="",NA(),E723*$B723+J722)</f>
        <v>1381855.1525276809</v>
      </c>
      <c r="K723" s="49" t="e">
        <f>IF(K$2="",NA(),F723*$B723+K722)</f>
        <v>#N/A</v>
      </c>
    </row>
    <row r="724" spans="1:11" x14ac:dyDescent="0.4">
      <c r="A724" s="49">
        <v>721</v>
      </c>
      <c r="B724" s="49">
        <f>A724/$B$1</f>
        <v>30.041666666666668</v>
      </c>
      <c r="C724" s="49">
        <f>(('Input and Output'!B$23*'Input and Output'!$B$10)+('Input and Output'!B$24*Calculations!$C$5)+('Input and Output'!B$25*Calculations!$C$6)+('Input and Output'!B$26*(IF('Input and Output'!D$7="Detritus",Calculations!$C$4,G724))-(SUM('Input and Output'!B$27:B$32))*H723))</f>
        <v>8.3684055119306322E-3</v>
      </c>
      <c r="D724" s="49">
        <f>(('Input and Output'!C$23*'Input and Output'!$B$10)+('Input and Output'!C$24*Calculations!$C$5)+('Input and Output'!C$25*Calculations!$C$6)+('Input and Output'!C$26*(IF('Input and Output'!E$7="Detritus",Calculations!$C$4,H724))-(SUM('Input and Output'!C$27:C$32))*I723))</f>
        <v>7.0270044460812642E-2</v>
      </c>
      <c r="E724" s="49">
        <f>(('Input and Output'!D$23*'Input and Output'!$B$10)+('Input and Output'!D$24*Calculations!$C$5)+('Input and Output'!D$25*Calculations!$C$6)+('Input and Output'!D$26*(IF('Input and Output'!F$7="Detritus",Calculations!$C$4,I724))-(SUM('Input and Output'!D$27:D$32))*J723))</f>
        <v>3.0795619375567185E-2</v>
      </c>
      <c r="F724" s="49" t="e">
        <f>(('Input and Output'!E$23*'Input and Output'!$B$10)+('Input and Output'!E$24*Calculations!$C$5)+('Input and Output'!E$25*Calculations!$C$6)+('Input and Output'!E$26*(IF('Input and Output'!G$7="Detritus",Calculations!$C$4,J724))-(SUM('Input and Output'!E$27:E$32))*K723))</f>
        <v>#N/A</v>
      </c>
      <c r="H724" s="49">
        <f>IF(H$2="",NA(),C724*$B724+H723)</f>
        <v>324472.34855346574</v>
      </c>
      <c r="I724" s="49">
        <f>IF(I$2="",NA(),D724*$B724+I723)</f>
        <v>2973091.7487055394</v>
      </c>
      <c r="J724" s="49">
        <f>IF(J$2="",NA(),E724*$B724+J723)</f>
        <v>1381856.0776794129</v>
      </c>
      <c r="K724" s="49" t="e">
        <f>IF(K$2="",NA(),F724*$B724+K723)</f>
        <v>#N/A</v>
      </c>
    </row>
    <row r="725" spans="1:11" x14ac:dyDescent="0.4">
      <c r="A725" s="49">
        <v>722</v>
      </c>
      <c r="B725" s="49">
        <f>A725/$B$1</f>
        <v>30.083333333333332</v>
      </c>
      <c r="C725" s="49">
        <f>(('Input and Output'!B$23*'Input and Output'!$B$10)+('Input and Output'!B$24*Calculations!$C$5)+('Input and Output'!B$25*Calculations!$C$6)+('Input and Output'!B$26*(IF('Input and Output'!D$7="Detritus",Calculations!$C$4,G725))-(SUM('Input and Output'!B$27:B$32))*H724))</f>
        <v>8.1260264080356137E-3</v>
      </c>
      <c r="D725" s="49">
        <f>(('Input and Output'!C$23*'Input and Output'!$B$10)+('Input and Output'!C$24*Calculations!$C$5)+('Input and Output'!C$25*Calculations!$C$6)+('Input and Output'!C$26*(IF('Input and Output'!E$7="Detritus",Calculations!$C$4,H725))-(SUM('Input and Output'!C$27:C$32))*I724))</f>
        <v>6.8231753159125219E-2</v>
      </c>
      <c r="E725" s="49">
        <f>(('Input and Output'!D$23*'Input and Output'!$B$10)+('Input and Output'!D$24*Calculations!$C$5)+('Input and Output'!D$25*Calculations!$C$6)+('Input and Output'!D$26*(IF('Input and Output'!F$7="Detritus",Calculations!$C$4,I725))-(SUM('Input and Output'!D$27:D$32))*J724))</f>
        <v>2.9901048230385641E-2</v>
      </c>
      <c r="F725" s="49" t="e">
        <f>(('Input and Output'!E$23*'Input and Output'!$B$10)+('Input and Output'!E$24*Calculations!$C$5)+('Input and Output'!E$25*Calculations!$C$6)+('Input and Output'!E$26*(IF('Input and Output'!G$7="Detritus",Calculations!$C$4,J725))-(SUM('Input and Output'!E$27:E$32))*K724))</f>
        <v>#N/A</v>
      </c>
      <c r="H725" s="49">
        <f>IF(H$2="",NA(),C725*$B725+H724)</f>
        <v>324472.59301142686</v>
      </c>
      <c r="I725" s="49">
        <f>IF(I$2="",NA(),D725*$B725+I724)</f>
        <v>2973093.8013441134</v>
      </c>
      <c r="J725" s="49">
        <f>IF(J$2="",NA(),E725*$B725+J724)</f>
        <v>1381856.9772026138</v>
      </c>
      <c r="K725" s="49" t="e">
        <f>IF(K$2="",NA(),F725*$B725+K724)</f>
        <v>#N/A</v>
      </c>
    </row>
    <row r="726" spans="1:11" x14ac:dyDescent="0.4">
      <c r="A726" s="49">
        <v>723</v>
      </c>
      <c r="B726" s="49">
        <f>A726/$B$1</f>
        <v>30.125</v>
      </c>
      <c r="C726" s="49">
        <f>(('Input and Output'!B$23*'Input and Output'!$B$10)+('Input and Output'!B$24*Calculations!$C$5)+('Input and Output'!B$25*Calculations!$C$6)+('Input and Output'!B$26*(IF('Input and Output'!D$7="Detritus",Calculations!$C$4,G726))-(SUM('Input and Output'!B$27:B$32))*H725))</f>
        <v>7.8903410401949259E-3</v>
      </c>
      <c r="D726" s="49">
        <f>(('Input and Output'!C$23*'Input and Output'!$B$10)+('Input and Output'!C$24*Calculations!$C$5)+('Input and Output'!C$25*Calculations!$C$6)+('Input and Output'!C$26*(IF('Input and Output'!E$7="Detritus",Calculations!$C$4,H726))-(SUM('Input and Output'!C$27:C$32))*I725))</f>
        <v>6.6249845250240469E-2</v>
      </c>
      <c r="E726" s="49">
        <f>(('Input and Output'!D$23*'Input and Output'!$B$10)+('Input and Output'!D$24*Calculations!$C$5)+('Input and Output'!D$25*Calculations!$C$6)+('Input and Output'!D$26*(IF('Input and Output'!F$7="Detritus",Calculations!$C$4,I726))-(SUM('Input and Output'!D$27:D$32))*J725))</f>
        <v>2.9031262401986169E-2</v>
      </c>
      <c r="F726" s="49" t="e">
        <f>(('Input and Output'!E$23*'Input and Output'!$B$10)+('Input and Output'!E$24*Calculations!$C$5)+('Input and Output'!E$25*Calculations!$C$6)+('Input and Output'!E$26*(IF('Input and Output'!G$7="Detritus",Calculations!$C$4,J726))-(SUM('Input and Output'!E$27:E$32))*K725))</f>
        <v>#N/A</v>
      </c>
      <c r="H726" s="49">
        <f>IF(H$2="",NA(),C726*$B726+H725)</f>
        <v>324472.83070795069</v>
      </c>
      <c r="I726" s="49">
        <f>IF(I$2="",NA(),D726*$B726+I725)</f>
        <v>2973095.7971207015</v>
      </c>
      <c r="J726" s="49">
        <f>IF(J$2="",NA(),E726*$B726+J725)</f>
        <v>1381857.8517693938</v>
      </c>
      <c r="K726" s="49" t="e">
        <f>IF(K$2="",NA(),F726*$B726+K725)</f>
        <v>#N/A</v>
      </c>
    </row>
    <row r="727" spans="1:11" x14ac:dyDescent="0.4">
      <c r="A727" s="49">
        <v>724</v>
      </c>
      <c r="B727" s="49">
        <f>A727/$B$1</f>
        <v>30.166666666666668</v>
      </c>
      <c r="C727" s="49">
        <f>(('Input and Output'!B$23*'Input and Output'!$B$10)+('Input and Output'!B$24*Calculations!$C$5)+('Input and Output'!B$25*Calculations!$C$6)+('Input and Output'!B$26*(IF('Input and Output'!D$7="Detritus",Calculations!$C$4,G727))-(SUM('Input and Output'!B$27:B$32))*H726))</f>
        <v>7.6611744694332629E-3</v>
      </c>
      <c r="D727" s="49">
        <f>(('Input and Output'!C$23*'Input and Output'!$B$10)+('Input and Output'!C$24*Calculations!$C$5)+('Input and Output'!C$25*Calculations!$C$6)+('Input and Output'!C$26*(IF('Input and Output'!E$7="Detritus",Calculations!$C$4,H727))-(SUM('Input and Output'!C$27:C$32))*I726))</f>
        <v>6.4322844440539484E-2</v>
      </c>
      <c r="E727" s="49">
        <f>(('Input and Output'!D$23*'Input and Output'!$B$10)+('Input and Output'!D$24*Calculations!$C$5)+('Input and Output'!D$25*Calculations!$C$6)+('Input and Output'!D$26*(IF('Input and Output'!F$7="Detritus",Calculations!$C$4,I727))-(SUM('Input and Output'!D$27:D$32))*J726))</f>
        <v>2.8185611798107857E-2</v>
      </c>
      <c r="F727" s="49" t="e">
        <f>(('Input and Output'!E$23*'Input and Output'!$B$10)+('Input and Output'!E$24*Calculations!$C$5)+('Input and Output'!E$25*Calculations!$C$6)+('Input and Output'!E$26*(IF('Input and Output'!G$7="Detritus",Calculations!$C$4,J727))-(SUM('Input and Output'!E$27:E$32))*K726))</f>
        <v>#N/A</v>
      </c>
      <c r="H727" s="49">
        <f>IF(H$2="",NA(),C727*$B727+H726)</f>
        <v>324473.06182004721</v>
      </c>
      <c r="I727" s="49">
        <f>IF(I$2="",NA(),D727*$B727+I726)</f>
        <v>2973097.737526509</v>
      </c>
      <c r="J727" s="49">
        <f>IF(J$2="",NA(),E727*$B727+J726)</f>
        <v>1381858.7020353498</v>
      </c>
      <c r="K727" s="49" t="e">
        <f>IF(K$2="",NA(),F727*$B727+K726)</f>
        <v>#N/A</v>
      </c>
    </row>
    <row r="728" spans="1:11" x14ac:dyDescent="0.4">
      <c r="A728" s="49">
        <v>725</v>
      </c>
      <c r="B728" s="49">
        <f>A728/$B$1</f>
        <v>30.208333333333332</v>
      </c>
      <c r="C728" s="49">
        <f>(('Input and Output'!B$23*'Input and Output'!$B$10)+('Input and Output'!B$24*Calculations!$C$5)+('Input and Output'!B$25*Calculations!$C$6)+('Input and Output'!B$26*(IF('Input and Output'!D$7="Detritus",Calculations!$C$4,G728))-(SUM('Input and Output'!B$27:B$32))*H727))</f>
        <v>7.4383560378237235E-3</v>
      </c>
      <c r="D728" s="49">
        <f>(('Input and Output'!C$23*'Input and Output'!$B$10)+('Input and Output'!C$24*Calculations!$C$5)+('Input and Output'!C$25*Calculations!$C$6)+('Input and Output'!C$26*(IF('Input and Output'!E$7="Detritus",Calculations!$C$4,H728))-(SUM('Input and Output'!C$27:C$32))*I727))</f>
        <v>6.2449310647025413E-2</v>
      </c>
      <c r="E728" s="49">
        <f>(('Input and Output'!D$23*'Input and Output'!$B$10)+('Input and Output'!D$24*Calculations!$C$5)+('Input and Output'!D$25*Calculations!$C$6)+('Input and Output'!D$26*(IF('Input and Output'!F$7="Detritus",Calculations!$C$4,I728))-(SUM('Input and Output'!D$27:D$32))*J727))</f>
        <v>2.7363462217181223E-2</v>
      </c>
      <c r="F728" s="49" t="e">
        <f>(('Input and Output'!E$23*'Input and Output'!$B$10)+('Input and Output'!E$24*Calculations!$C$5)+('Input and Output'!E$25*Calculations!$C$6)+('Input and Output'!E$26*(IF('Input and Output'!G$7="Detritus",Calculations!$C$4,J728))-(SUM('Input and Output'!E$27:E$32))*K727))</f>
        <v>#N/A</v>
      </c>
      <c r="H728" s="49">
        <f>IF(H$2="",NA(),C728*$B728+H727)</f>
        <v>324473.28652038582</v>
      </c>
      <c r="I728" s="49">
        <f>IF(I$2="",NA(),D728*$B728+I727)</f>
        <v>2973099.6240161015</v>
      </c>
      <c r="J728" s="49">
        <f>IF(J$2="",NA(),E728*$B728+J727)</f>
        <v>1381859.5286399375</v>
      </c>
      <c r="K728" s="49" t="e">
        <f>IF(K$2="",NA(),F728*$B728+K727)</f>
        <v>#N/A</v>
      </c>
    </row>
    <row r="729" spans="1:11" x14ac:dyDescent="0.4">
      <c r="A729" s="49">
        <v>726</v>
      </c>
      <c r="B729" s="49">
        <f>A729/$B$1</f>
        <v>30.25</v>
      </c>
      <c r="C729" s="49">
        <f>(('Input and Output'!B$23*'Input and Output'!$B$10)+('Input and Output'!B$24*Calculations!$C$5)+('Input and Output'!B$25*Calculations!$C$6)+('Input and Output'!B$26*(IF('Input and Output'!D$7="Detritus",Calculations!$C$4,G729))-(SUM('Input and Output'!B$27:B$32))*H728))</f>
        <v>7.2217192724792767E-3</v>
      </c>
      <c r="D729" s="49">
        <f>(('Input and Output'!C$23*'Input and Output'!$B$10)+('Input and Output'!C$24*Calculations!$C$5)+('Input and Output'!C$25*Calculations!$C$6)+('Input and Output'!C$26*(IF('Input and Output'!E$7="Detritus",Calculations!$C$4,H729))-(SUM('Input and Output'!C$27:C$32))*I728))</f>
        <v>6.0627839176049747E-2</v>
      </c>
      <c r="E729" s="49">
        <f>(('Input and Output'!D$23*'Input and Output'!$B$10)+('Input and Output'!D$24*Calculations!$C$5)+('Input and Output'!D$25*Calculations!$C$6)+('Input and Output'!D$26*(IF('Input and Output'!F$7="Detritus",Calculations!$C$4,I729))-(SUM('Input and Output'!D$27:D$32))*J728))</f>
        <v>2.6564195217360975E-2</v>
      </c>
      <c r="F729" s="49" t="e">
        <f>(('Input and Output'!E$23*'Input and Output'!$B$10)+('Input and Output'!E$24*Calculations!$C$5)+('Input and Output'!E$25*Calculations!$C$6)+('Input and Output'!E$26*(IF('Input and Output'!G$7="Detritus",Calculations!$C$4,J729))-(SUM('Input and Output'!E$27:E$32))*K728))</f>
        <v>#N/A</v>
      </c>
      <c r="H729" s="49">
        <f>IF(H$2="",NA(),C729*$B729+H728)</f>
        <v>324473.50497739384</v>
      </c>
      <c r="I729" s="49">
        <f>IF(I$2="",NA(),D729*$B729+I728)</f>
        <v>2973101.4580082367</v>
      </c>
      <c r="J729" s="49">
        <f>IF(J$2="",NA(),E729*$B729+J728)</f>
        <v>1381860.332206843</v>
      </c>
      <c r="K729" s="49" t="e">
        <f>IF(K$2="",NA(),F729*$B729+K728)</f>
        <v>#N/A</v>
      </c>
    </row>
    <row r="730" spans="1:11" x14ac:dyDescent="0.4">
      <c r="A730" s="49">
        <v>727</v>
      </c>
      <c r="B730" s="49">
        <f>A730/$B$1</f>
        <v>30.291666666666668</v>
      </c>
      <c r="C730" s="49">
        <f>(('Input and Output'!B$23*'Input and Output'!$B$10)+('Input and Output'!B$24*Calculations!$C$5)+('Input and Output'!B$25*Calculations!$C$6)+('Input and Output'!B$26*(IF('Input and Output'!D$7="Detritus",Calculations!$C$4,G730))-(SUM('Input and Output'!B$27:B$32))*H729))</f>
        <v>7.0111017902263484E-3</v>
      </c>
      <c r="D730" s="49">
        <f>(('Input and Output'!C$23*'Input and Output'!$B$10)+('Input and Output'!C$24*Calculations!$C$5)+('Input and Output'!C$25*Calculations!$C$6)+('Input and Output'!C$26*(IF('Input and Output'!E$7="Detritus",Calculations!$C$4,H730))-(SUM('Input and Output'!C$27:C$32))*I729))</f>
        <v>5.8857059913862031E-2</v>
      </c>
      <c r="E730" s="49">
        <f>(('Input and Output'!D$23*'Input and Output'!$B$10)+('Input and Output'!D$24*Calculations!$C$5)+('Input and Output'!D$25*Calculations!$C$6)+('Input and Output'!D$26*(IF('Input and Output'!F$7="Detritus",Calculations!$C$4,I730))-(SUM('Input and Output'!D$27:D$32))*J729))</f>
        <v>2.578720737437834E-2</v>
      </c>
      <c r="F730" s="49" t="e">
        <f>(('Input and Output'!E$23*'Input and Output'!$B$10)+('Input and Output'!E$24*Calculations!$C$5)+('Input and Output'!E$25*Calculations!$C$6)+('Input and Output'!E$26*(IF('Input and Output'!G$7="Detritus",Calculations!$C$4,J730))-(SUM('Input and Output'!E$27:E$32))*K729))</f>
        <v>#N/A</v>
      </c>
      <c r="H730" s="49">
        <f>IF(H$2="",NA(),C730*$B730+H729)</f>
        <v>324473.71735535224</v>
      </c>
      <c r="I730" s="49">
        <f>IF(I$2="",NA(),D730*$B730+I729)</f>
        <v>2973103.2408866766</v>
      </c>
      <c r="J730" s="49">
        <f>IF(J$2="",NA(),E730*$B730+J729)</f>
        <v>1381861.1133443329</v>
      </c>
      <c r="K730" s="49" t="e">
        <f>IF(K$2="",NA(),F730*$B730+K729)</f>
        <v>#N/A</v>
      </c>
    </row>
    <row r="731" spans="1:11" x14ac:dyDescent="0.4">
      <c r="A731" s="49">
        <v>728</v>
      </c>
      <c r="B731" s="49">
        <f>A731/$B$1</f>
        <v>30.333333333333332</v>
      </c>
      <c r="C731" s="49">
        <f>(('Input and Output'!B$23*'Input and Output'!$B$10)+('Input and Output'!B$24*Calculations!$C$5)+('Input and Output'!B$25*Calculations!$C$6)+('Input and Output'!B$26*(IF('Input and Output'!D$7="Detritus",Calculations!$C$4,G731))-(SUM('Input and Output'!B$27:B$32))*H730))</f>
        <v>6.8063452054047957E-3</v>
      </c>
      <c r="D731" s="49">
        <f>(('Input and Output'!C$23*'Input and Output'!$B$10)+('Input and Output'!C$24*Calculations!$C$5)+('Input and Output'!C$25*Calculations!$C$6)+('Input and Output'!C$26*(IF('Input and Output'!E$7="Detritus",Calculations!$C$4,H731))-(SUM('Input and Output'!C$27:C$32))*I730))</f>
        <v>5.7135636549901392E-2</v>
      </c>
      <c r="E731" s="49">
        <f>(('Input and Output'!D$23*'Input and Output'!$B$10)+('Input and Output'!D$24*Calculations!$C$5)+('Input and Output'!D$25*Calculations!$C$6)+('Input and Output'!D$26*(IF('Input and Output'!F$7="Detritus",Calculations!$C$4,I731))-(SUM('Input and Output'!D$27:D$32))*J730))</f>
        <v>2.5031910558027448E-2</v>
      </c>
      <c r="F731" s="49" t="e">
        <f>(('Input and Output'!E$23*'Input and Output'!$B$10)+('Input and Output'!E$24*Calculations!$C$5)+('Input and Output'!E$25*Calculations!$C$6)+('Input and Output'!E$26*(IF('Input and Output'!G$7="Detritus",Calculations!$C$4,J731))-(SUM('Input and Output'!E$27:E$32))*K730))</f>
        <v>#N/A</v>
      </c>
      <c r="H731" s="49">
        <f>IF(H$2="",NA(),C731*$B731+H730)</f>
        <v>324473.92381449015</v>
      </c>
      <c r="I731" s="49">
        <f>IF(I$2="",NA(),D731*$B731+I730)</f>
        <v>2973104.9740009853</v>
      </c>
      <c r="J731" s="49">
        <f>IF(J$2="",NA(),E731*$B731+J730)</f>
        <v>1381861.8726456198</v>
      </c>
      <c r="K731" s="49" t="e">
        <f>IF(K$2="",NA(),F731*$B731+K730)</f>
        <v>#N/A</v>
      </c>
    </row>
    <row r="732" spans="1:11" x14ac:dyDescent="0.4">
      <c r="A732" s="49">
        <v>729</v>
      </c>
      <c r="B732" s="49">
        <f>A732/$B$1</f>
        <v>30.375</v>
      </c>
      <c r="C732" s="49">
        <f>(('Input and Output'!B$23*'Input and Output'!$B$10)+('Input and Output'!B$24*Calculations!$C$5)+('Input and Output'!B$25*Calculations!$C$6)+('Input and Output'!B$26*(IF('Input and Output'!D$7="Detritus",Calculations!$C$4,G732))-(SUM('Input and Output'!B$27:B$32))*H731))</f>
        <v>6.6072950389184371E-3</v>
      </c>
      <c r="D732" s="49">
        <f>(('Input and Output'!C$23*'Input and Output'!$B$10)+('Input and Output'!C$24*Calculations!$C$5)+('Input and Output'!C$25*Calculations!$C$6)+('Input and Output'!C$26*(IF('Input and Output'!E$7="Detritus",Calculations!$C$4,H732))-(SUM('Input and Output'!C$27:C$32))*I731))</f>
        <v>5.5462265801907051E-2</v>
      </c>
      <c r="E732" s="49">
        <f>(('Input and Output'!D$23*'Input and Output'!$B$10)+('Input and Output'!D$24*Calculations!$C$5)+('Input and Output'!D$25*Calculations!$C$6)+('Input and Output'!D$26*(IF('Input and Output'!F$7="Detritus",Calculations!$C$4,I732))-(SUM('Input and Output'!D$27:D$32))*J731))</f>
        <v>2.4297730709804455E-2</v>
      </c>
      <c r="F732" s="49" t="e">
        <f>(('Input and Output'!E$23*'Input and Output'!$B$10)+('Input and Output'!E$24*Calculations!$C$5)+('Input and Output'!E$25*Calculations!$C$6)+('Input and Output'!E$26*(IF('Input and Output'!G$7="Detritus",Calculations!$C$4,J732))-(SUM('Input and Output'!E$27:E$32))*K731))</f>
        <v>#N/A</v>
      </c>
      <c r="H732" s="49">
        <f>IF(H$2="",NA(),C732*$B732+H731)</f>
        <v>324474.12451107695</v>
      </c>
      <c r="I732" s="49">
        <f>IF(I$2="",NA(),D732*$B732+I731)</f>
        <v>2973106.6586673092</v>
      </c>
      <c r="J732" s="49">
        <f>IF(J$2="",NA(),E732*$B732+J731)</f>
        <v>1381862.6106891902</v>
      </c>
      <c r="K732" s="49" t="e">
        <f>IF(K$2="",NA(),F732*$B732+K731)</f>
        <v>#N/A</v>
      </c>
    </row>
    <row r="733" spans="1:11" x14ac:dyDescent="0.4">
      <c r="A733" s="49">
        <v>730</v>
      </c>
      <c r="B733" s="49">
        <f>A733/$B$1</f>
        <v>30.416666666666668</v>
      </c>
      <c r="C733" s="49">
        <f>(('Input and Output'!B$23*'Input and Output'!$B$10)+('Input and Output'!B$24*Calculations!$C$5)+('Input and Output'!B$25*Calculations!$C$6)+('Input and Output'!B$26*(IF('Input and Output'!D$7="Detritus",Calculations!$C$4,G733))-(SUM('Input and Output'!B$27:B$32))*H732))</f>
        <v>6.4138006292182581E-3</v>
      </c>
      <c r="D733" s="49">
        <f>(('Input and Output'!C$23*'Input and Output'!$B$10)+('Input and Output'!C$24*Calculations!$C$5)+('Input and Output'!C$25*Calculations!$C$6)+('Input and Output'!C$26*(IF('Input and Output'!E$7="Detritus",Calculations!$C$4,H733))-(SUM('Input and Output'!C$27:C$32))*I732))</f>
        <v>5.3835676664675702E-2</v>
      </c>
      <c r="E733" s="49">
        <f>(('Input and Output'!D$23*'Input and Output'!$B$10)+('Input and Output'!D$24*Calculations!$C$5)+('Input and Output'!D$25*Calculations!$C$6)+('Input and Output'!D$26*(IF('Input and Output'!F$7="Detritus",Calculations!$C$4,I733))-(SUM('Input and Output'!D$27:D$32))*J732))</f>
        <v>2.3584108526847558E-2</v>
      </c>
      <c r="F733" s="49" t="e">
        <f>(('Input and Output'!E$23*'Input and Output'!$B$10)+('Input and Output'!E$24*Calculations!$C$5)+('Input and Output'!E$25*Calculations!$C$6)+('Input and Output'!E$26*(IF('Input and Output'!G$7="Detritus",Calculations!$C$4,J733))-(SUM('Input and Output'!E$27:E$32))*K732))</f>
        <v>#N/A</v>
      </c>
      <c r="H733" s="49">
        <f>IF(H$2="",NA(),C733*$B733+H732)</f>
        <v>324474.31959751277</v>
      </c>
      <c r="I733" s="49">
        <f>IF(I$2="",NA(),D733*$B733+I732)</f>
        <v>2973108.2961691413</v>
      </c>
      <c r="J733" s="49">
        <f>IF(J$2="",NA(),E733*$B733+J732)</f>
        <v>1381863.3280391579</v>
      </c>
      <c r="K733" s="49" t="e">
        <f>IF(K$2="",NA(),F733*$B733+K732)</f>
        <v>#N/A</v>
      </c>
    </row>
    <row r="734" spans="1:11" x14ac:dyDescent="0.4">
      <c r="A734" s="49">
        <v>731</v>
      </c>
      <c r="B734" s="49">
        <f>A734/$B$1</f>
        <v>30.458333333333332</v>
      </c>
      <c r="C734" s="49">
        <f>(('Input and Output'!B$23*'Input and Output'!$B$10)+('Input and Output'!B$24*Calculations!$C$5)+('Input and Output'!B$25*Calculations!$C$6)+('Input and Output'!B$26*(IF('Input and Output'!D$7="Detritus",Calculations!$C$4,G734))-(SUM('Input and Output'!B$27:B$32))*H733))</f>
        <v>6.2257150452182941E-3</v>
      </c>
      <c r="D734" s="49">
        <f>(('Input and Output'!C$23*'Input and Output'!$B$10)+('Input and Output'!C$24*Calculations!$C$5)+('Input and Output'!C$25*Calculations!$C$6)+('Input and Output'!C$26*(IF('Input and Output'!E$7="Detritus",Calculations!$C$4,H734))-(SUM('Input and Output'!C$27:C$32))*I733))</f>
        <v>5.2254629667913832E-2</v>
      </c>
      <c r="E734" s="49">
        <f>(('Input and Output'!D$23*'Input and Output'!$B$10)+('Input and Output'!D$24*Calculations!$C$5)+('Input and Output'!D$25*Calculations!$C$6)+('Input and Output'!D$26*(IF('Input and Output'!F$7="Detritus",Calculations!$C$4,I734))-(SUM('Input and Output'!D$27:D$32))*J733))</f>
        <v>2.2890498210472288E-2</v>
      </c>
      <c r="F734" s="49" t="e">
        <f>(('Input and Output'!E$23*'Input and Output'!$B$10)+('Input and Output'!E$24*Calculations!$C$5)+('Input and Output'!E$25*Calculations!$C$6)+('Input and Output'!E$26*(IF('Input and Output'!G$7="Detritus",Calculations!$C$4,J734))-(SUM('Input and Output'!E$27:E$32))*K733))</f>
        <v>#N/A</v>
      </c>
      <c r="H734" s="49">
        <f>IF(H$2="",NA(),C734*$B734+H733)</f>
        <v>324474.50922241685</v>
      </c>
      <c r="I734" s="49">
        <f>IF(I$2="",NA(),D734*$B734+I733)</f>
        <v>2973109.8877580701</v>
      </c>
      <c r="J734" s="49">
        <f>IF(J$2="",NA(),E734*$B734+J733)</f>
        <v>1381864.0252455825</v>
      </c>
      <c r="K734" s="49" t="e">
        <f>IF(K$2="",NA(),F734*$B734+K733)</f>
        <v>#N/A</v>
      </c>
    </row>
    <row r="735" spans="1:11" x14ac:dyDescent="0.4">
      <c r="A735" s="49">
        <v>732</v>
      </c>
      <c r="B735" s="49">
        <f>A735/$B$1</f>
        <v>30.5</v>
      </c>
      <c r="C735" s="49">
        <f>(('Input and Output'!B$23*'Input and Output'!$B$10)+('Input and Output'!B$24*Calculations!$C$5)+('Input and Output'!B$25*Calculations!$C$6)+('Input and Output'!B$26*(IF('Input and Output'!D$7="Detritus",Calculations!$C$4,G735))-(SUM('Input and Output'!B$27:B$32))*H734))</f>
        <v>6.0428950009736582E-3</v>
      </c>
      <c r="D735" s="49">
        <f>(('Input and Output'!C$23*'Input and Output'!$B$10)+('Input and Output'!C$24*Calculations!$C$5)+('Input and Output'!C$25*Calculations!$C$6)+('Input and Output'!C$26*(IF('Input and Output'!E$7="Detritus",Calculations!$C$4,H735))-(SUM('Input and Output'!C$27:C$32))*I734))</f>
        <v>5.0717916158646403E-2</v>
      </c>
      <c r="E735" s="49">
        <f>(('Input and Output'!D$23*'Input and Output'!$B$10)+('Input and Output'!D$24*Calculations!$C$5)+('Input and Output'!D$25*Calculations!$C$6)+('Input and Output'!D$26*(IF('Input and Output'!F$7="Detritus",Calculations!$C$4,I735))-(SUM('Input and Output'!D$27:D$32))*J734))</f>
        <v>2.2216367829969386E-2</v>
      </c>
      <c r="F735" s="49" t="e">
        <f>(('Input and Output'!E$23*'Input and Output'!$B$10)+('Input and Output'!E$24*Calculations!$C$5)+('Input and Output'!E$25*Calculations!$C$6)+('Input and Output'!E$26*(IF('Input and Output'!G$7="Detritus",Calculations!$C$4,J735))-(SUM('Input and Output'!E$27:E$32))*K734))</f>
        <v>#N/A</v>
      </c>
      <c r="H735" s="49">
        <f>IF(H$2="",NA(),C735*$B735+H734)</f>
        <v>324474.69353071437</v>
      </c>
      <c r="I735" s="49">
        <f>IF(I$2="",NA(),D735*$B735+I734)</f>
        <v>2973111.4346545129</v>
      </c>
      <c r="J735" s="49">
        <f>IF(J$2="",NA(),E735*$B735+J734)</f>
        <v>1381864.7028448014</v>
      </c>
      <c r="K735" s="49" t="e">
        <f>IF(K$2="",NA(),F735*$B735+K734)</f>
        <v>#N/A</v>
      </c>
    </row>
    <row r="736" spans="1:11" x14ac:dyDescent="0.4">
      <c r="A736" s="49">
        <v>733</v>
      </c>
      <c r="B736" s="49">
        <f>A736/$B$1</f>
        <v>30.541666666666668</v>
      </c>
      <c r="C736" s="49">
        <f>(('Input and Output'!B$23*'Input and Output'!$B$10)+('Input and Output'!B$24*Calculations!$C$5)+('Input and Output'!B$25*Calculations!$C$6)+('Input and Output'!B$26*(IF('Input and Output'!D$7="Detritus",Calculations!$C$4,G736))-(SUM('Input and Output'!B$27:B$32))*H735))</f>
        <v>5.8652007720638721E-3</v>
      </c>
      <c r="D736" s="49">
        <f>(('Input and Output'!C$23*'Input and Output'!$B$10)+('Input and Output'!C$24*Calculations!$C$5)+('Input and Output'!C$25*Calculations!$C$6)+('Input and Output'!C$26*(IF('Input and Output'!E$7="Detritus",Calculations!$C$4,H736))-(SUM('Input and Output'!C$27:C$32))*I735))</f>
        <v>4.9224357588173007E-2</v>
      </c>
      <c r="E736" s="49">
        <f>(('Input and Output'!D$23*'Input and Output'!$B$10)+('Input and Output'!D$24*Calculations!$C$5)+('Input and Output'!D$25*Calculations!$C$6)+('Input and Output'!D$26*(IF('Input and Output'!F$7="Detritus",Calculations!$C$4,I736))-(SUM('Input and Output'!D$27:D$32))*J735))</f>
        <v>2.156119852224947E-2</v>
      </c>
      <c r="F736" s="49" t="e">
        <f>(('Input and Output'!E$23*'Input and Output'!$B$10)+('Input and Output'!E$24*Calculations!$C$5)+('Input and Output'!E$25*Calculations!$C$6)+('Input and Output'!E$26*(IF('Input and Output'!G$7="Detritus",Calculations!$C$4,J736))-(SUM('Input and Output'!E$27:E$32))*K735))</f>
        <v>#N/A</v>
      </c>
      <c r="H736" s="49">
        <f>IF(H$2="",NA(),C736*$B736+H735)</f>
        <v>324474.87266372127</v>
      </c>
      <c r="I736" s="49">
        <f>IF(I$2="",NA(),D736*$B736+I735)</f>
        <v>2973112.9380484344</v>
      </c>
      <c r="J736" s="49">
        <f>IF(J$2="",NA(),E736*$B736+J735)</f>
        <v>1381865.3613597394</v>
      </c>
      <c r="K736" s="49" t="e">
        <f>IF(K$2="",NA(),F736*$B736+K735)</f>
        <v>#N/A</v>
      </c>
    </row>
    <row r="737" spans="1:11" x14ac:dyDescent="0.4">
      <c r="A737" s="49">
        <v>734</v>
      </c>
      <c r="B737" s="49">
        <f>A737/$B$1</f>
        <v>30.583333333333332</v>
      </c>
      <c r="C737" s="49">
        <f>(('Input and Output'!B$23*'Input and Output'!$B$10)+('Input and Output'!B$24*Calculations!$C$5)+('Input and Output'!B$25*Calculations!$C$6)+('Input and Output'!B$26*(IF('Input and Output'!D$7="Detritus",Calculations!$C$4,G737))-(SUM('Input and Output'!B$27:B$32))*H736))</f>
        <v>5.6924961138520302E-3</v>
      </c>
      <c r="D737" s="49">
        <f>(('Input and Output'!C$23*'Input and Output'!$B$10)+('Input and Output'!C$24*Calculations!$C$5)+('Input and Output'!C$25*Calculations!$C$6)+('Input and Output'!C$26*(IF('Input and Output'!E$7="Detritus",Calculations!$C$4,H737))-(SUM('Input and Output'!C$27:C$32))*I736))</f>
        <v>4.7772804819942394E-2</v>
      </c>
      <c r="E737" s="49">
        <f>(('Input and Output'!D$23*'Input and Output'!$B$10)+('Input and Output'!D$24*Calculations!$C$5)+('Input and Output'!D$25*Calculations!$C$6)+('Input and Output'!D$26*(IF('Input and Output'!F$7="Detritus",Calculations!$C$4,I737))-(SUM('Input and Output'!D$27:D$32))*J736))</f>
        <v>2.0924484593706438E-2</v>
      </c>
      <c r="F737" s="49" t="e">
        <f>(('Input and Output'!E$23*'Input and Output'!$B$10)+('Input and Output'!E$24*Calculations!$C$5)+('Input and Output'!E$25*Calculations!$C$6)+('Input and Output'!E$26*(IF('Input and Output'!G$7="Detritus",Calculations!$C$4,J737))-(SUM('Input and Output'!E$27:E$32))*K736))</f>
        <v>#N/A</v>
      </c>
      <c r="H737" s="49">
        <f>IF(H$2="",NA(),C737*$B737+H736)</f>
        <v>324475.04675922741</v>
      </c>
      <c r="I737" s="49">
        <f>IF(I$2="",NA(),D737*$B737+I736)</f>
        <v>2973114.3991000485</v>
      </c>
      <c r="J737" s="49">
        <f>IF(J$2="",NA(),E737*$B737+J736)</f>
        <v>1381866.0013002267</v>
      </c>
      <c r="K737" s="49" t="e">
        <f>IF(K$2="",NA(),F737*$B737+K736)</f>
        <v>#N/A</v>
      </c>
    </row>
    <row r="738" spans="1:11" x14ac:dyDescent="0.4">
      <c r="A738" s="49">
        <v>735</v>
      </c>
      <c r="B738" s="49">
        <f>A738/$B$1</f>
        <v>30.625</v>
      </c>
      <c r="C738" s="49">
        <f>(('Input and Output'!B$23*'Input and Output'!$B$10)+('Input and Output'!B$24*Calculations!$C$5)+('Input and Output'!B$25*Calculations!$C$6)+('Input and Output'!B$26*(IF('Input and Output'!D$7="Detritus",Calculations!$C$4,G738))-(SUM('Input and Output'!B$27:B$32))*H737))</f>
        <v>5.5246481811650483E-3</v>
      </c>
      <c r="D738" s="49">
        <f>(('Input and Output'!C$23*'Input and Output'!$B$10)+('Input and Output'!C$24*Calculations!$C$5)+('Input and Output'!C$25*Calculations!$C$6)+('Input and Output'!C$26*(IF('Input and Output'!E$7="Detritus",Calculations!$C$4,H738))-(SUM('Input and Output'!C$27:C$32))*I737))</f>
        <v>4.636213744925044E-2</v>
      </c>
      <c r="E738" s="49">
        <f>(('Input and Output'!D$23*'Input and Output'!$B$10)+('Input and Output'!D$24*Calculations!$C$5)+('Input and Output'!D$25*Calculations!$C$6)+('Input and Output'!D$26*(IF('Input and Output'!F$7="Detritus",Calculations!$C$4,I738))-(SUM('Input and Output'!D$27:D$32))*J737))</f>
        <v>2.0305732836277457E-2</v>
      </c>
      <c r="F738" s="49" t="e">
        <f>(('Input and Output'!E$23*'Input and Output'!$B$10)+('Input and Output'!E$24*Calculations!$C$5)+('Input and Output'!E$25*Calculations!$C$6)+('Input and Output'!E$26*(IF('Input and Output'!G$7="Detritus",Calculations!$C$4,J738))-(SUM('Input and Output'!E$27:E$32))*K737))</f>
        <v>#N/A</v>
      </c>
      <c r="H738" s="49">
        <f>IF(H$2="",NA(),C738*$B738+H737)</f>
        <v>324475.21595157793</v>
      </c>
      <c r="I738" s="49">
        <f>IF(I$2="",NA(),D738*$B738+I737)</f>
        <v>2973115.8189405077</v>
      </c>
      <c r="J738" s="49">
        <f>IF(J$2="",NA(),E738*$B738+J737)</f>
        <v>1381866.6231632947</v>
      </c>
      <c r="K738" s="49" t="e">
        <f>IF(K$2="",NA(),F738*$B738+K737)</f>
        <v>#N/A</v>
      </c>
    </row>
    <row r="739" spans="1:11" x14ac:dyDescent="0.4">
      <c r="A739" s="49">
        <v>736</v>
      </c>
      <c r="B739" s="49">
        <f>A739/$B$1</f>
        <v>30.666666666666668</v>
      </c>
      <c r="C739" s="49">
        <f>(('Input and Output'!B$23*'Input and Output'!$B$10)+('Input and Output'!B$24*Calculations!$C$5)+('Input and Output'!B$25*Calculations!$C$6)+('Input and Output'!B$26*(IF('Input and Output'!D$7="Detritus",Calculations!$C$4,G739))-(SUM('Input and Output'!B$27:B$32))*H738))</f>
        <v>5.361527449906589E-3</v>
      </c>
      <c r="D739" s="49">
        <f>(('Input and Output'!C$23*'Input and Output'!$B$10)+('Input and Output'!C$24*Calculations!$C$5)+('Input and Output'!C$25*Calculations!$C$6)+('Input and Output'!C$26*(IF('Input and Output'!E$7="Detritus",Calculations!$C$4,H739))-(SUM('Input and Output'!C$27:C$32))*I738))</f>
        <v>4.4991263141128002E-2</v>
      </c>
      <c r="E739" s="49">
        <f>(('Input and Output'!D$23*'Input and Output'!$B$10)+('Input and Output'!D$24*Calculations!$C$5)+('Input and Output'!D$25*Calculations!$C$6)+('Input and Output'!D$26*(IF('Input and Output'!F$7="Detritus",Calculations!$C$4,I739))-(SUM('Input and Output'!D$27:D$32))*J738))</f>
        <v>1.9704462614754448E-2</v>
      </c>
      <c r="F739" s="49" t="e">
        <f>(('Input and Output'!E$23*'Input and Output'!$B$10)+('Input and Output'!E$24*Calculations!$C$5)+('Input and Output'!E$25*Calculations!$C$6)+('Input and Output'!E$26*(IF('Input and Output'!G$7="Detritus",Calculations!$C$4,J739))-(SUM('Input and Output'!E$27:E$32))*K738))</f>
        <v>#N/A</v>
      </c>
      <c r="H739" s="49">
        <f>IF(H$2="",NA(),C739*$B739+H738)</f>
        <v>324475.38037175307</v>
      </c>
      <c r="I739" s="49">
        <f>IF(I$2="",NA(),D739*$B739+I738)</f>
        <v>2973117.1986725773</v>
      </c>
      <c r="J739" s="49">
        <f>IF(J$2="",NA(),E739*$B739+J738)</f>
        <v>1381867.2274334815</v>
      </c>
      <c r="K739" s="49" t="e">
        <f>IF(K$2="",NA(),F739*$B739+K738)</f>
        <v>#N/A</v>
      </c>
    </row>
    <row r="740" spans="1:11" x14ac:dyDescent="0.4">
      <c r="A740" s="49">
        <v>737</v>
      </c>
      <c r="B740" s="49">
        <f>A740/$B$1</f>
        <v>30.708333333333332</v>
      </c>
      <c r="C740" s="49">
        <f>(('Input and Output'!B$23*'Input and Output'!$B$10)+('Input and Output'!B$24*Calculations!$C$5)+('Input and Output'!B$25*Calculations!$C$6)+('Input and Output'!B$26*(IF('Input and Output'!D$7="Detritus",Calculations!$C$4,G740))-(SUM('Input and Output'!B$27:B$32))*H739))</f>
        <v>5.2030076403184466E-3</v>
      </c>
      <c r="D740" s="49">
        <f>(('Input and Output'!C$23*'Input and Output'!$B$10)+('Input and Output'!C$24*Calculations!$C$5)+('Input and Output'!C$25*Calculations!$C$6)+('Input and Output'!C$26*(IF('Input and Output'!E$7="Detritus",Calculations!$C$4,H740))-(SUM('Input and Output'!C$27:C$32))*I739))</f>
        <v>4.3659116972776246E-2</v>
      </c>
      <c r="E740" s="49">
        <f>(('Input and Output'!D$23*'Input and Output'!$B$10)+('Input and Output'!D$24*Calculations!$C$5)+('Input and Output'!D$25*Calculations!$C$6)+('Input and Output'!D$26*(IF('Input and Output'!F$7="Detritus",Calculations!$C$4,I740))-(SUM('Input and Output'!D$27:D$32))*J739))</f>
        <v>1.9120205182844074E-2</v>
      </c>
      <c r="F740" s="49" t="e">
        <f>(('Input and Output'!E$23*'Input and Output'!$B$10)+('Input and Output'!E$24*Calculations!$C$5)+('Input and Output'!E$25*Calculations!$C$6)+('Input and Output'!E$26*(IF('Input and Output'!G$7="Detritus",Calculations!$C$4,J740))-(SUM('Input and Output'!E$27:E$32))*K739))</f>
        <v>#N/A</v>
      </c>
      <c r="H740" s="49">
        <f>IF(H$2="",NA(),C740*$B740+H739)</f>
        <v>324475.54014744604</v>
      </c>
      <c r="I740" s="49">
        <f>IF(I$2="",NA(),D740*$B740+I739)</f>
        <v>2973118.5393712944</v>
      </c>
      <c r="J740" s="49">
        <f>IF(J$2="",NA(),E740*$B740+J739)</f>
        <v>1381867.8145831157</v>
      </c>
      <c r="K740" s="49" t="e">
        <f>IF(K$2="",NA(),F740*$B740+K739)</f>
        <v>#N/A</v>
      </c>
    </row>
    <row r="741" spans="1:11" x14ac:dyDescent="0.4">
      <c r="A741" s="49">
        <v>738</v>
      </c>
      <c r="B741" s="49">
        <f>A741/$B$1</f>
        <v>30.75</v>
      </c>
      <c r="C741" s="49">
        <f>(('Input and Output'!B$23*'Input and Output'!$B$10)+('Input and Output'!B$24*Calculations!$C$5)+('Input and Output'!B$25*Calculations!$C$6)+('Input and Output'!B$26*(IF('Input and Output'!D$7="Detritus",Calculations!$C$4,G741))-(SUM('Input and Output'!B$27:B$32))*H740))</f>
        <v>5.0489656414356432E-3</v>
      </c>
      <c r="D741" s="49">
        <f>(('Input and Output'!C$23*'Input and Output'!$B$10)+('Input and Output'!C$24*Calculations!$C$5)+('Input and Output'!C$25*Calculations!$C$6)+('Input and Output'!C$26*(IF('Input and Output'!E$7="Detritus",Calculations!$C$4,H741))-(SUM('Input and Output'!C$27:C$32))*I740))</f>
        <v>4.2364660806924803E-2</v>
      </c>
      <c r="E741" s="49">
        <f>(('Input and Output'!D$23*'Input and Output'!$B$10)+('Input and Output'!D$24*Calculations!$C$5)+('Input and Output'!D$25*Calculations!$C$6)+('Input and Output'!D$26*(IF('Input and Output'!F$7="Detritus",Calculations!$C$4,I741))-(SUM('Input and Output'!D$27:D$32))*J740))</f>
        <v>1.8552503726823488E-2</v>
      </c>
      <c r="F741" s="49" t="e">
        <f>(('Input and Output'!E$23*'Input and Output'!$B$10)+('Input and Output'!E$24*Calculations!$C$5)+('Input and Output'!E$25*Calculations!$C$6)+('Input and Output'!E$26*(IF('Input and Output'!G$7="Detritus",Calculations!$C$4,J741))-(SUM('Input and Output'!E$27:E$32))*K740))</f>
        <v>#N/A</v>
      </c>
      <c r="H741" s="49">
        <f>IF(H$2="",NA(),C741*$B741+H740)</f>
        <v>324475.69540313951</v>
      </c>
      <c r="I741" s="49">
        <f>IF(I$2="",NA(),D741*$B741+I740)</f>
        <v>2973119.8420846141</v>
      </c>
      <c r="J741" s="49">
        <f>IF(J$2="",NA(),E741*$B741+J740)</f>
        <v>1381868.3850726055</v>
      </c>
      <c r="K741" s="49" t="e">
        <f>IF(K$2="",NA(),F741*$B741+K740)</f>
        <v>#N/A</v>
      </c>
    </row>
    <row r="742" spans="1:11" x14ac:dyDescent="0.4">
      <c r="A742" s="49">
        <v>739</v>
      </c>
      <c r="B742" s="49">
        <f>A742/$B$1</f>
        <v>30.791666666666668</v>
      </c>
      <c r="C742" s="49">
        <f>(('Input and Output'!B$23*'Input and Output'!$B$10)+('Input and Output'!B$24*Calculations!$C$5)+('Input and Output'!B$25*Calculations!$C$6)+('Input and Output'!B$26*(IF('Input and Output'!D$7="Detritus",Calculations!$C$4,G742))-(SUM('Input and Output'!B$27:B$32))*H741))</f>
        <v>4.8992814378152616E-3</v>
      </c>
      <c r="D742" s="49">
        <f>(('Input and Output'!C$23*'Input and Output'!$B$10)+('Input and Output'!C$24*Calculations!$C$5)+('Input and Output'!C$25*Calculations!$C$6)+('Input and Output'!C$26*(IF('Input and Output'!E$7="Detritus",Calculations!$C$4,H742))-(SUM('Input and Output'!C$27:C$32))*I741))</f>
        <v>4.1106882659732946E-2</v>
      </c>
      <c r="E742" s="49">
        <f>(('Input and Output'!D$23*'Input and Output'!$B$10)+('Input and Output'!D$24*Calculations!$C$5)+('Input and Output'!D$25*Calculations!$C$6)+('Input and Output'!D$26*(IF('Input and Output'!F$7="Detritus",Calculations!$C$4,I742))-(SUM('Input and Output'!D$27:D$32))*J741))</f>
        <v>1.8000912987190532E-2</v>
      </c>
      <c r="F742" s="49" t="e">
        <f>(('Input and Output'!E$23*'Input and Output'!$B$10)+('Input and Output'!E$24*Calculations!$C$5)+('Input and Output'!E$25*Calculations!$C$6)+('Input and Output'!E$26*(IF('Input and Output'!G$7="Detritus",Calculations!$C$4,J742))-(SUM('Input and Output'!E$27:E$32))*K741))</f>
        <v>#N/A</v>
      </c>
      <c r="H742" s="49">
        <f>IF(H$2="",NA(),C742*$B742+H741)</f>
        <v>324475.84626018046</v>
      </c>
      <c r="I742" s="49">
        <f>IF(I$2="",NA(),D742*$B742+I741)</f>
        <v>2973121.1078340425</v>
      </c>
      <c r="J742" s="49">
        <f>IF(J$2="",NA(),E742*$B742+J741)</f>
        <v>1381868.9393507179</v>
      </c>
      <c r="K742" s="49" t="e">
        <f>IF(K$2="",NA(),F742*$B742+K741)</f>
        <v>#N/A</v>
      </c>
    </row>
    <row r="743" spans="1:11" x14ac:dyDescent="0.4">
      <c r="A743" s="49">
        <v>740</v>
      </c>
      <c r="B743" s="49">
        <f>A743/$B$1</f>
        <v>30.833333333333332</v>
      </c>
      <c r="C743" s="49">
        <f>(('Input and Output'!B$23*'Input and Output'!$B$10)+('Input and Output'!B$24*Calculations!$C$5)+('Input and Output'!B$25*Calculations!$C$6)+('Input and Output'!B$26*(IF('Input and Output'!D$7="Detritus",Calculations!$C$4,G743))-(SUM('Input and Output'!B$27:B$32))*H742))</f>
        <v>4.7538380371747735E-3</v>
      </c>
      <c r="D743" s="49">
        <f>(('Input and Output'!C$23*'Input and Output'!$B$10)+('Input and Output'!C$24*Calculations!$C$5)+('Input and Output'!C$25*Calculations!$C$6)+('Input and Output'!C$26*(IF('Input and Output'!E$7="Detritus",Calculations!$C$4,H743))-(SUM('Input and Output'!C$27:C$32))*I742))</f>
        <v>3.9884796090518648E-2</v>
      </c>
      <c r="E743" s="49">
        <f>(('Input and Output'!D$23*'Input and Output'!$B$10)+('Input and Output'!D$24*Calculations!$C$5)+('Input and Output'!D$25*Calculations!$C$6)+('Input and Output'!D$26*(IF('Input and Output'!F$7="Detritus",Calculations!$C$4,I743))-(SUM('Input and Output'!D$27:D$32))*J742))</f>
        <v>1.7464998894865857E-2</v>
      </c>
      <c r="F743" s="49" t="e">
        <f>(('Input and Output'!E$23*'Input and Output'!$B$10)+('Input and Output'!E$24*Calculations!$C$5)+('Input and Output'!E$25*Calculations!$C$6)+('Input and Output'!E$26*(IF('Input and Output'!G$7="Detritus",Calculations!$C$4,J743))-(SUM('Input and Output'!E$27:E$32))*K742))</f>
        <v>#N/A</v>
      </c>
      <c r="H743" s="49">
        <f>IF(H$2="",NA(),C743*$B743+H742)</f>
        <v>324475.99283685326</v>
      </c>
      <c r="I743" s="49">
        <f>IF(I$2="",NA(),D743*$B743+I742)</f>
        <v>2973122.3376152553</v>
      </c>
      <c r="J743" s="49">
        <f>IF(J$2="",NA(),E743*$B743+J742)</f>
        <v>1381869.4778548505</v>
      </c>
      <c r="K743" s="49" t="e">
        <f>IF(K$2="",NA(),F743*$B743+K742)</f>
        <v>#N/A</v>
      </c>
    </row>
    <row r="744" spans="1:11" x14ac:dyDescent="0.4">
      <c r="A744" s="49">
        <v>741</v>
      </c>
      <c r="B744" s="49">
        <f>A744/$B$1</f>
        <v>30.875</v>
      </c>
      <c r="C744" s="49">
        <f>(('Input and Output'!B$23*'Input and Output'!$B$10)+('Input and Output'!B$24*Calculations!$C$5)+('Input and Output'!B$25*Calculations!$C$6)+('Input and Output'!B$26*(IF('Input and Output'!D$7="Detritus",Calculations!$C$4,G744))-(SUM('Input and Output'!B$27:B$32))*H743))</f>
        <v>4.612521399792513E-3</v>
      </c>
      <c r="D744" s="49">
        <f>(('Input and Output'!C$23*'Input and Output'!$B$10)+('Input and Output'!C$24*Calculations!$C$5)+('Input and Output'!C$25*Calculations!$C$6)+('Input and Output'!C$26*(IF('Input and Output'!E$7="Detritus",Calculations!$C$4,H744))-(SUM('Input and Output'!C$27:C$32))*I743))</f>
        <v>3.8697439606039552E-2</v>
      </c>
      <c r="E744" s="49">
        <f>(('Input and Output'!D$23*'Input and Output'!$B$10)+('Input and Output'!D$24*Calculations!$C$5)+('Input and Output'!D$25*Calculations!$C$6)+('Input and Output'!D$26*(IF('Input and Output'!F$7="Detritus",Calculations!$C$4,I744))-(SUM('Input and Output'!D$27:D$32))*J743))</f>
        <v>1.6944338338362286E-2</v>
      </c>
      <c r="F744" s="49" t="e">
        <f>(('Input and Output'!E$23*'Input and Output'!$B$10)+('Input and Output'!E$24*Calculations!$C$5)+('Input and Output'!E$25*Calculations!$C$6)+('Input and Output'!E$26*(IF('Input and Output'!G$7="Detritus",Calculations!$C$4,J744))-(SUM('Input and Output'!E$27:E$32))*K743))</f>
        <v>#N/A</v>
      </c>
      <c r="H744" s="49">
        <f>IF(H$2="",NA(),C744*$B744+H743)</f>
        <v>324476.13524845149</v>
      </c>
      <c r="I744" s="49">
        <f>IF(I$2="",NA(),D744*$B744+I743)</f>
        <v>2973123.532398703</v>
      </c>
      <c r="J744" s="49">
        <f>IF(J$2="",NA(),E744*$B744+J743)</f>
        <v>1381870.0010112966</v>
      </c>
      <c r="K744" s="49" t="e">
        <f>IF(K$2="",NA(),F744*$B744+K743)</f>
        <v>#N/A</v>
      </c>
    </row>
    <row r="745" spans="1:11" x14ac:dyDescent="0.4">
      <c r="A745" s="49">
        <v>742</v>
      </c>
      <c r="B745" s="49">
        <f>A745/$B$1</f>
        <v>30.916666666666668</v>
      </c>
      <c r="C745" s="49">
        <f>(('Input and Output'!B$23*'Input and Output'!$B$10)+('Input and Output'!B$24*Calculations!$C$5)+('Input and Output'!B$25*Calculations!$C$6)+('Input and Output'!B$26*(IF('Input and Output'!D$7="Detritus",Calculations!$C$4,G745))-(SUM('Input and Output'!B$27:B$32))*H744))</f>
        <v>4.4752203695566095E-3</v>
      </c>
      <c r="D745" s="49">
        <f>(('Input and Output'!C$23*'Input and Output'!$B$10)+('Input and Output'!C$24*Calculations!$C$5)+('Input and Output'!C$25*Calculations!$C$6)+('Input and Output'!C$26*(IF('Input and Output'!E$7="Detritus",Calculations!$C$4,H745))-(SUM('Input and Output'!C$27:C$32))*I744))</f>
        <v>3.7543876073868887E-2</v>
      </c>
      <c r="E745" s="49">
        <f>(('Input and Output'!D$23*'Input and Output'!$B$10)+('Input and Output'!D$24*Calculations!$C$5)+('Input and Output'!D$25*Calculations!$C$6)+('Input and Output'!D$26*(IF('Input and Output'!F$7="Detritus",Calculations!$C$4,I745))-(SUM('Input and Output'!D$27:D$32))*J744))</f>
        <v>1.6438519134680973E-2</v>
      </c>
      <c r="F745" s="49" t="e">
        <f>(('Input and Output'!E$23*'Input and Output'!$B$10)+('Input and Output'!E$24*Calculations!$C$5)+('Input and Output'!E$25*Calculations!$C$6)+('Input and Output'!E$26*(IF('Input and Output'!G$7="Detritus",Calculations!$C$4,J745))-(SUM('Input and Output'!E$27:E$32))*K744))</f>
        <v>#N/A</v>
      </c>
      <c r="H745" s="49">
        <f>IF(H$2="",NA(),C745*$B745+H744)</f>
        <v>324476.27360734792</v>
      </c>
      <c r="I745" s="49">
        <f>IF(I$2="",NA(),D745*$B745+I744)</f>
        <v>2973124.6931302049</v>
      </c>
      <c r="J745" s="49">
        <f>IF(J$2="",NA(),E745*$B745+J744)</f>
        <v>1381870.5092355132</v>
      </c>
      <c r="K745" s="49" t="e">
        <f>IF(K$2="",NA(),F745*$B745+K744)</f>
        <v>#N/A</v>
      </c>
    </row>
    <row r="746" spans="1:11" x14ac:dyDescent="0.4">
      <c r="A746" s="49">
        <v>743</v>
      </c>
      <c r="B746" s="49">
        <f>A746/$B$1</f>
        <v>30.958333333333332</v>
      </c>
      <c r="C746" s="49">
        <f>(('Input and Output'!B$23*'Input and Output'!$B$10)+('Input and Output'!B$24*Calculations!$C$5)+('Input and Output'!B$25*Calculations!$C$6)+('Input and Output'!B$26*(IF('Input and Output'!D$7="Detritus",Calculations!$C$4,G746))-(SUM('Input and Output'!B$27:B$32))*H745))</f>
        <v>4.3418266062644761E-3</v>
      </c>
      <c r="D746" s="49">
        <f>(('Input and Output'!C$23*'Input and Output'!$B$10)+('Input and Output'!C$24*Calculations!$C$5)+('Input and Output'!C$25*Calculations!$C$6)+('Input and Output'!C$26*(IF('Input and Output'!E$7="Detritus",Calculations!$C$4,H746))-(SUM('Input and Output'!C$27:C$32))*I745))</f>
        <v>3.6423192152142292E-2</v>
      </c>
      <c r="E746" s="49">
        <f>(('Input and Output'!D$23*'Input and Output'!$B$10)+('Input and Output'!D$24*Calculations!$C$5)+('Input and Output'!D$25*Calculations!$C$6)+('Input and Output'!D$26*(IF('Input and Output'!F$7="Detritus",Calculations!$C$4,I746))-(SUM('Input and Output'!D$27:D$32))*J745))</f>
        <v>1.5947139359923312E-2</v>
      </c>
      <c r="F746" s="49" t="e">
        <f>(('Input and Output'!E$23*'Input and Output'!$B$10)+('Input and Output'!E$24*Calculations!$C$5)+('Input and Output'!E$25*Calculations!$C$6)+('Input and Output'!E$26*(IF('Input and Output'!G$7="Detritus",Calculations!$C$4,J746))-(SUM('Input and Output'!E$27:E$32))*K745))</f>
        <v>#N/A</v>
      </c>
      <c r="H746" s="49">
        <f>IF(H$2="",NA(),C746*$B746+H745)</f>
        <v>324476.40802306327</v>
      </c>
      <c r="I746" s="49">
        <f>IF(I$2="",NA(),D746*$B746+I745)</f>
        <v>2973125.8207315286</v>
      </c>
      <c r="J746" s="49">
        <f>IF(J$2="",NA(),E746*$B746+J745)</f>
        <v>1381871.0029323692</v>
      </c>
      <c r="K746" s="49" t="e">
        <f>IF(K$2="",NA(),F746*$B746+K745)</f>
        <v>#N/A</v>
      </c>
    </row>
    <row r="747" spans="1:11" x14ac:dyDescent="0.4">
      <c r="A747" s="49">
        <v>744</v>
      </c>
      <c r="B747" s="49">
        <f>A747/$B$1</f>
        <v>31</v>
      </c>
      <c r="C747" s="49">
        <f>(('Input and Output'!B$23*'Input and Output'!$B$10)+('Input and Output'!B$24*Calculations!$C$5)+('Input and Output'!B$25*Calculations!$C$6)+('Input and Output'!B$26*(IF('Input and Output'!D$7="Detritus",Calculations!$C$4,G747))-(SUM('Input and Output'!B$27:B$32))*H746))</f>
        <v>4.2122345194570698E-3</v>
      </c>
      <c r="D747" s="49">
        <f>(('Input and Output'!C$23*'Input and Output'!$B$10)+('Input and Output'!C$24*Calculations!$C$5)+('Input and Output'!C$25*Calculations!$C$6)+('Input and Output'!C$26*(IF('Input and Output'!E$7="Detritus",Calculations!$C$4,H747))-(SUM('Input and Output'!C$27:C$32))*I746))</f>
        <v>3.5334497726580594E-2</v>
      </c>
      <c r="E747" s="49">
        <f>(('Input and Output'!D$23*'Input and Output'!$B$10)+('Input and Output'!D$24*Calculations!$C$5)+('Input and Output'!D$25*Calculations!$C$6)+('Input and Output'!D$26*(IF('Input and Output'!F$7="Detritus",Calculations!$C$4,I747))-(SUM('Input and Output'!D$27:D$32))*J746))</f>
        <v>1.5469807480258169E-2</v>
      </c>
      <c r="F747" s="49" t="e">
        <f>(('Input and Output'!E$23*'Input and Output'!$B$10)+('Input and Output'!E$24*Calculations!$C$5)+('Input and Output'!E$25*Calculations!$C$6)+('Input and Output'!E$26*(IF('Input and Output'!G$7="Detritus",Calculations!$C$4,J747))-(SUM('Input and Output'!E$27:E$32))*K746))</f>
        <v>#N/A</v>
      </c>
      <c r="H747" s="49">
        <f>IF(H$2="",NA(),C747*$B747+H746)</f>
        <v>324476.5386023334</v>
      </c>
      <c r="I747" s="49">
        <f>IF(I$2="",NA(),D747*$B747+I746)</f>
        <v>2973126.9161009579</v>
      </c>
      <c r="J747" s="49">
        <f>IF(J$2="",NA(),E747*$B747+J746)</f>
        <v>1381871.4824964011</v>
      </c>
      <c r="K747" s="49" t="e">
        <f>IF(K$2="",NA(),F747*$B747+K746)</f>
        <v>#N/A</v>
      </c>
    </row>
    <row r="748" spans="1:11" x14ac:dyDescent="0.4">
      <c r="A748" s="49">
        <v>745</v>
      </c>
      <c r="B748" s="49">
        <f>A748/$B$1</f>
        <v>31.041666666666668</v>
      </c>
      <c r="C748" s="49">
        <f>(('Input and Output'!B$23*'Input and Output'!$B$10)+('Input and Output'!B$24*Calculations!$C$5)+('Input and Output'!B$25*Calculations!$C$6)+('Input and Output'!B$26*(IF('Input and Output'!D$7="Detritus",Calculations!$C$4,G748))-(SUM('Input and Output'!B$27:B$32))*H747))</f>
        <v>4.0863412036173941E-3</v>
      </c>
      <c r="D748" s="49">
        <f>(('Input and Output'!C$23*'Input and Output'!$B$10)+('Input and Output'!C$24*Calculations!$C$5)+('Input and Output'!C$25*Calculations!$C$6)+('Input and Output'!C$26*(IF('Input and Output'!E$7="Detritus",Calculations!$C$4,H748))-(SUM('Input and Output'!C$27:C$32))*I747))</f>
        <v>3.4276925365702482E-2</v>
      </c>
      <c r="E748" s="49">
        <f>(('Input and Output'!D$23*'Input and Output'!$B$10)+('Input and Output'!D$24*Calculations!$C$5)+('Input and Output'!D$25*Calculations!$C$6)+('Input and Output'!D$26*(IF('Input and Output'!F$7="Detritus",Calculations!$C$4,I748))-(SUM('Input and Output'!D$27:D$32))*J747))</f>
        <v>1.5006141959020169E-2</v>
      </c>
      <c r="F748" s="49" t="e">
        <f>(('Input and Output'!E$23*'Input and Output'!$B$10)+('Input and Output'!E$24*Calculations!$C$5)+('Input and Output'!E$25*Calculations!$C$6)+('Input and Output'!E$26*(IF('Input and Output'!G$7="Detritus",Calculations!$C$4,J748))-(SUM('Input and Output'!E$27:E$32))*K747))</f>
        <v>#N/A</v>
      </c>
      <c r="H748" s="49">
        <f>IF(H$2="",NA(),C748*$B748+H747)</f>
        <v>324476.66544917494</v>
      </c>
      <c r="I748" s="49">
        <f>IF(I$2="",NA(),D748*$B748+I747)</f>
        <v>2973127.9801138495</v>
      </c>
      <c r="J748" s="49">
        <f>IF(J$2="",NA(),E748*$B748+J747)</f>
        <v>1381871.9483120576</v>
      </c>
      <c r="K748" s="49" t="e">
        <f>IF(K$2="",NA(),F748*$B748+K747)</f>
        <v>#N/A</v>
      </c>
    </row>
    <row r="749" spans="1:11" x14ac:dyDescent="0.4">
      <c r="A749" s="49">
        <v>746</v>
      </c>
      <c r="B749" s="49">
        <f>A749/$B$1</f>
        <v>31.083333333333332</v>
      </c>
      <c r="C749" s="49">
        <f>(('Input and Output'!B$23*'Input and Output'!$B$10)+('Input and Output'!B$24*Calculations!$C$5)+('Input and Output'!B$25*Calculations!$C$6)+('Input and Output'!B$26*(IF('Input and Output'!D$7="Detritus",Calculations!$C$4,G749))-(SUM('Input and Output'!B$27:B$32))*H748))</f>
        <v>3.9640463747900867E-3</v>
      </c>
      <c r="D749" s="49">
        <f>(('Input and Output'!C$23*'Input and Output'!$B$10)+('Input and Output'!C$24*Calculations!$C$5)+('Input and Output'!C$25*Calculations!$C$6)+('Input and Output'!C$26*(IF('Input and Output'!E$7="Detritus",Calculations!$C$4,H749))-(SUM('Input and Output'!C$27:C$32))*I748))</f>
        <v>3.3249629770580214E-2</v>
      </c>
      <c r="E749" s="49">
        <f>(('Input and Output'!D$23*'Input and Output'!$B$10)+('Input and Output'!D$24*Calculations!$C$5)+('Input and Output'!D$25*Calculations!$C$6)+('Input and Output'!D$26*(IF('Input and Output'!F$7="Detritus",Calculations!$C$4,I749))-(SUM('Input and Output'!D$27:D$32))*J748))</f>
        <v>1.4555770834704163E-2</v>
      </c>
      <c r="F749" s="49" t="e">
        <f>(('Input and Output'!E$23*'Input and Output'!$B$10)+('Input and Output'!E$24*Calculations!$C$5)+('Input and Output'!E$25*Calculations!$C$6)+('Input and Output'!E$26*(IF('Input and Output'!G$7="Detritus",Calculations!$C$4,J749))-(SUM('Input and Output'!E$27:E$32))*K748))</f>
        <v>#N/A</v>
      </c>
      <c r="H749" s="49">
        <f>IF(H$2="",NA(),C749*$B749+H748)</f>
        <v>324476.78866494977</v>
      </c>
      <c r="I749" s="49">
        <f>IF(I$2="",NA(),D749*$B749+I748)</f>
        <v>2973129.0136231747</v>
      </c>
      <c r="J749" s="49">
        <f>IF(J$2="",NA(),E749*$B749+J748)</f>
        <v>1381872.4007539344</v>
      </c>
      <c r="K749" s="49" t="e">
        <f>IF(K$2="",NA(),F749*$B749+K748)</f>
        <v>#N/A</v>
      </c>
    </row>
    <row r="750" spans="1:11" x14ac:dyDescent="0.4">
      <c r="A750" s="49">
        <v>747</v>
      </c>
      <c r="B750" s="49">
        <f>A750/$B$1</f>
        <v>31.125</v>
      </c>
      <c r="C750" s="49">
        <f>(('Input and Output'!B$23*'Input and Output'!$B$10)+('Input and Output'!B$24*Calculations!$C$5)+('Input and Output'!B$25*Calculations!$C$6)+('Input and Output'!B$26*(IF('Input and Output'!D$7="Detritus",Calculations!$C$4,G750))-(SUM('Input and Output'!B$27:B$32))*H749))</f>
        <v>3.8452523085652501E-3</v>
      </c>
      <c r="D750" s="49">
        <f>(('Input and Output'!C$23*'Input and Output'!$B$10)+('Input and Output'!C$24*Calculations!$C$5)+('Input and Output'!C$25*Calculations!$C$6)+('Input and Output'!C$26*(IF('Input and Output'!E$7="Detritus",Calculations!$C$4,H750))-(SUM('Input and Output'!C$27:C$32))*I749))</f>
        <v>3.2251787271889043E-2</v>
      </c>
      <c r="E750" s="49">
        <f>(('Input and Output'!D$23*'Input and Output'!$B$10)+('Input and Output'!D$24*Calculations!$C$5)+('Input and Output'!D$25*Calculations!$C$6)+('Input and Output'!D$26*(IF('Input and Output'!F$7="Detritus",Calculations!$C$4,I750))-(SUM('Input and Output'!D$27:D$32))*J749))</f>
        <v>1.4118332012003521E-2</v>
      </c>
      <c r="F750" s="49" t="e">
        <f>(('Input and Output'!E$23*'Input and Output'!$B$10)+('Input and Output'!E$24*Calculations!$C$5)+('Input and Output'!E$25*Calculations!$C$6)+('Input and Output'!E$26*(IF('Input and Output'!G$7="Detritus",Calculations!$C$4,J750))-(SUM('Input and Output'!E$27:E$32))*K749))</f>
        <v>#N/A</v>
      </c>
      <c r="H750" s="49">
        <f>IF(H$2="",NA(),C750*$B750+H749)</f>
        <v>324476.90834842785</v>
      </c>
      <c r="I750" s="49">
        <f>IF(I$2="",NA(),D750*$B750+I749)</f>
        <v>2973130.0174600538</v>
      </c>
      <c r="J750" s="49">
        <f>IF(J$2="",NA(),E750*$B750+J749)</f>
        <v>1381872.8401870183</v>
      </c>
      <c r="K750" s="49" t="e">
        <f>IF(K$2="",NA(),F750*$B750+K749)</f>
        <v>#N/A</v>
      </c>
    </row>
    <row r="751" spans="1:11" x14ac:dyDescent="0.4">
      <c r="A751" s="49">
        <v>748</v>
      </c>
      <c r="B751" s="49">
        <f>A751/$B$1</f>
        <v>31.166666666666668</v>
      </c>
      <c r="C751" s="49">
        <f>(('Input and Output'!B$23*'Input and Output'!$B$10)+('Input and Output'!B$24*Calculations!$C$5)+('Input and Output'!B$25*Calculations!$C$6)+('Input and Output'!B$26*(IF('Input and Output'!D$7="Detritus",Calculations!$C$4,G751))-(SUM('Input and Output'!B$27:B$32))*H750))</f>
        <v>3.7298637794833667E-3</v>
      </c>
      <c r="D751" s="49">
        <f>(('Input and Output'!C$23*'Input and Output'!$B$10)+('Input and Output'!C$24*Calculations!$C$5)+('Input and Output'!C$25*Calculations!$C$6)+('Input and Output'!C$26*(IF('Input and Output'!E$7="Detritus",Calculations!$C$4,H751))-(SUM('Input and Output'!C$27:C$32))*I750))</f>
        <v>3.1282595298762317E-2</v>
      </c>
      <c r="E751" s="49">
        <f>(('Input and Output'!D$23*'Input and Output'!$B$10)+('Input and Output'!D$24*Calculations!$C$5)+('Input and Output'!D$25*Calculations!$C$6)+('Input and Output'!D$26*(IF('Input and Output'!F$7="Detritus",Calculations!$C$4,I751))-(SUM('Input and Output'!D$27:D$32))*J750))</f>
        <v>1.3693472272279905E-2</v>
      </c>
      <c r="F751" s="49" t="e">
        <f>(('Input and Output'!E$23*'Input and Output'!$B$10)+('Input and Output'!E$24*Calculations!$C$5)+('Input and Output'!E$25*Calculations!$C$6)+('Input and Output'!E$26*(IF('Input and Output'!G$7="Detritus",Calculations!$C$4,J751))-(SUM('Input and Output'!E$27:E$32))*K750))</f>
        <v>#N/A</v>
      </c>
      <c r="H751" s="49">
        <f>IF(H$2="",NA(),C751*$B751+H750)</f>
        <v>324477.02459584898</v>
      </c>
      <c r="I751" s="49">
        <f>IF(I$2="",NA(),D751*$B751+I750)</f>
        <v>2973130.9924342739</v>
      </c>
      <c r="J751" s="49">
        <f>IF(J$2="",NA(),E751*$B751+J750)</f>
        <v>1381873.266966904</v>
      </c>
      <c r="K751" s="49" t="e">
        <f>IF(K$2="",NA(),F751*$B751+K750)</f>
        <v>#N/A</v>
      </c>
    </row>
    <row r="752" spans="1:11" x14ac:dyDescent="0.4">
      <c r="A752" s="49">
        <v>749</v>
      </c>
      <c r="B752" s="49">
        <f>A752/$B$1</f>
        <v>31.208333333333332</v>
      </c>
      <c r="C752" s="49">
        <f>(('Input and Output'!B$23*'Input and Output'!$B$10)+('Input and Output'!B$24*Calculations!$C$5)+('Input and Output'!B$25*Calculations!$C$6)+('Input and Output'!B$26*(IF('Input and Output'!D$7="Detritus",Calculations!$C$4,G752))-(SUM('Input and Output'!B$27:B$32))*H751))</f>
        <v>3.6177880014065522E-3</v>
      </c>
      <c r="D752" s="49">
        <f>(('Input and Output'!C$23*'Input and Output'!$B$10)+('Input and Output'!C$24*Calculations!$C$5)+('Input and Output'!C$25*Calculations!$C$6)+('Input and Output'!C$26*(IF('Input and Output'!E$7="Detritus",Calculations!$C$4,H752))-(SUM('Input and Output'!C$27:C$32))*I751))</f>
        <v>3.034127188493585E-2</v>
      </c>
      <c r="E752" s="49">
        <f>(('Input and Output'!D$23*'Input and Output'!$B$10)+('Input and Output'!D$24*Calculations!$C$5)+('Input and Output'!D$25*Calculations!$C$6)+('Input and Output'!D$26*(IF('Input and Output'!F$7="Detritus",Calculations!$C$4,I752))-(SUM('Input and Output'!D$27:D$32))*J751))</f>
        <v>1.3280847899295622E-2</v>
      </c>
      <c r="F752" s="49" t="e">
        <f>(('Input and Output'!E$23*'Input and Output'!$B$10)+('Input and Output'!E$24*Calculations!$C$5)+('Input and Output'!E$25*Calculations!$C$6)+('Input and Output'!E$26*(IF('Input and Output'!G$7="Detritus",Calculations!$C$4,J752))-(SUM('Input and Output'!E$27:E$32))*K751))</f>
        <v>#N/A</v>
      </c>
      <c r="H752" s="49">
        <f>IF(H$2="",NA(),C752*$B752+H751)</f>
        <v>324477.13750098285</v>
      </c>
      <c r="I752" s="49">
        <f>IF(I$2="",NA(),D752*$B752+I751)</f>
        <v>2973131.9393348005</v>
      </c>
      <c r="J752" s="49">
        <f>IF(J$2="",NA(),E752*$B752+J751)</f>
        <v>1381873.6814400323</v>
      </c>
      <c r="K752" s="49" t="e">
        <f>IF(K$2="",NA(),F752*$B752+K751)</f>
        <v>#N/A</v>
      </c>
    </row>
    <row r="753" spans="1:11" x14ac:dyDescent="0.4">
      <c r="A753" s="49">
        <v>750</v>
      </c>
      <c r="B753" s="49">
        <f>A753/$B$1</f>
        <v>31.25</v>
      </c>
      <c r="C753" s="49">
        <f>(('Input and Output'!B$23*'Input and Output'!$B$10)+('Input and Output'!B$24*Calculations!$C$5)+('Input and Output'!B$25*Calculations!$C$6)+('Input and Output'!B$26*(IF('Input and Output'!D$7="Detritus",Calculations!$C$4,G753))-(SUM('Input and Output'!B$27:B$32))*H752))</f>
        <v>3.508934569538269E-3</v>
      </c>
      <c r="D753" s="49">
        <f>(('Input and Output'!C$23*'Input and Output'!$B$10)+('Input and Output'!C$24*Calculations!$C$5)+('Input and Output'!C$25*Calculations!$C$6)+('Input and Output'!C$26*(IF('Input and Output'!E$7="Detritus",Calculations!$C$4,H753))-(SUM('Input and Output'!C$27:C$32))*I752))</f>
        <v>2.9427055172163818E-2</v>
      </c>
      <c r="E753" s="49">
        <f>(('Input and Output'!D$23*'Input and Output'!$B$10)+('Input and Output'!D$24*Calculations!$C$5)+('Input and Output'!D$25*Calculations!$C$6)+('Input and Output'!D$26*(IF('Input and Output'!F$7="Detritus",Calculations!$C$4,I753))-(SUM('Input and Output'!D$27:D$32))*J752))</f>
        <v>1.2880123747891048E-2</v>
      </c>
      <c r="F753" s="49" t="e">
        <f>(('Input and Output'!E$23*'Input and Output'!$B$10)+('Input and Output'!E$24*Calculations!$C$5)+('Input and Output'!E$25*Calculations!$C$6)+('Input and Output'!E$26*(IF('Input and Output'!G$7="Detritus",Calculations!$C$4,J753))-(SUM('Input and Output'!E$27:E$32))*K752))</f>
        <v>#N/A</v>
      </c>
      <c r="H753" s="49">
        <f>IF(H$2="",NA(),C753*$B753+H752)</f>
        <v>324477.24715518812</v>
      </c>
      <c r="I753" s="49">
        <f>IF(I$2="",NA(),D753*$B753+I752)</f>
        <v>2973132.8589302744</v>
      </c>
      <c r="J753" s="49">
        <f>IF(J$2="",NA(),E753*$B753+J752)</f>
        <v>1381874.0839438995</v>
      </c>
      <c r="K753" s="49" t="e">
        <f>IF(K$2="",NA(),F753*$B753+K752)</f>
        <v>#N/A</v>
      </c>
    </row>
    <row r="754" spans="1:11" x14ac:dyDescent="0.4">
      <c r="A754" s="49">
        <v>751</v>
      </c>
      <c r="B754" s="49">
        <f>A754/$B$1</f>
        <v>31.291666666666668</v>
      </c>
      <c r="C754" s="49">
        <f>(('Input and Output'!B$23*'Input and Output'!$B$10)+('Input and Output'!B$24*Calculations!$C$5)+('Input and Output'!B$25*Calculations!$C$6)+('Input and Output'!B$26*(IF('Input and Output'!D$7="Detritus",Calculations!$C$4,G754))-(SUM('Input and Output'!B$27:B$32))*H753))</f>
        <v>3.4032154038072804E-3</v>
      </c>
      <c r="D754" s="49">
        <f>(('Input and Output'!C$23*'Input and Output'!$B$10)+('Input and Output'!C$24*Calculations!$C$5)+('Input and Output'!C$25*Calculations!$C$6)+('Input and Output'!C$26*(IF('Input and Output'!E$7="Detritus",Calculations!$C$4,H754))-(SUM('Input and Output'!C$27:C$32))*I753))</f>
        <v>2.8539202926367579E-2</v>
      </c>
      <c r="E754" s="49">
        <f>(('Input and Output'!D$23*'Input and Output'!$B$10)+('Input and Output'!D$24*Calculations!$C$5)+('Input and Output'!D$25*Calculations!$C$6)+('Input and Output'!D$26*(IF('Input and Output'!F$7="Detritus",Calculations!$C$4,I754))-(SUM('Input and Output'!D$27:D$32))*J753))</f>
        <v>1.2490973404055694E-2</v>
      </c>
      <c r="F754" s="49" t="e">
        <f>(('Input and Output'!E$23*'Input and Output'!$B$10)+('Input and Output'!E$24*Calculations!$C$5)+('Input and Output'!E$25*Calculations!$C$6)+('Input and Output'!E$26*(IF('Input and Output'!G$7="Detritus",Calculations!$C$4,J754))-(SUM('Input and Output'!E$27:E$32))*K753))</f>
        <v>#N/A</v>
      </c>
      <c r="H754" s="49">
        <f>IF(H$2="",NA(),C754*$B754+H753)</f>
        <v>324477.35364747012</v>
      </c>
      <c r="I754" s="49">
        <f>IF(I$2="",NA(),D754*$B754+I753)</f>
        <v>2973133.7519694995</v>
      </c>
      <c r="J754" s="49">
        <f>IF(J$2="",NA(),E754*$B754+J753)</f>
        <v>1381874.4748072757</v>
      </c>
      <c r="K754" s="49" t="e">
        <f>IF(K$2="",NA(),F754*$B754+K753)</f>
        <v>#N/A</v>
      </c>
    </row>
    <row r="755" spans="1:11" x14ac:dyDescent="0.4">
      <c r="A755" s="49">
        <v>752</v>
      </c>
      <c r="B755" s="49">
        <f>A755/$B$1</f>
        <v>31.333333333333332</v>
      </c>
      <c r="C755" s="49">
        <f>(('Input and Output'!B$23*'Input and Output'!$B$10)+('Input and Output'!B$24*Calculations!$C$5)+('Input and Output'!B$25*Calculations!$C$6)+('Input and Output'!B$26*(IF('Input and Output'!D$7="Detritus",Calculations!$C$4,G755))-(SUM('Input and Output'!B$27:B$32))*H754))</f>
        <v>3.3005446929337268E-3</v>
      </c>
      <c r="D755" s="49">
        <f>(('Input and Output'!C$23*'Input and Output'!$B$10)+('Input and Output'!C$24*Calculations!$C$5)+('Input and Output'!C$25*Calculations!$C$6)+('Input and Output'!C$26*(IF('Input and Output'!E$7="Detritus",Calculations!$C$4,H755))-(SUM('Input and Output'!C$27:C$32))*I754))</f>
        <v>2.7676992078340845E-2</v>
      </c>
      <c r="E755" s="49">
        <f>(('Input and Output'!D$23*'Input and Output'!$B$10)+('Input and Output'!D$24*Calculations!$C$5)+('Input and Output'!D$25*Calculations!$C$6)+('Input and Output'!D$26*(IF('Input and Output'!F$7="Detritus",Calculations!$C$4,I755))-(SUM('Input and Output'!D$27:D$32))*J754))</f>
        <v>1.2113078922993736E-2</v>
      </c>
      <c r="F755" s="49" t="e">
        <f>(('Input and Output'!E$23*'Input and Output'!$B$10)+('Input and Output'!E$24*Calculations!$C$5)+('Input and Output'!E$25*Calculations!$C$6)+('Input and Output'!E$26*(IF('Input and Output'!G$7="Detritus",Calculations!$C$4,J755))-(SUM('Input and Output'!E$27:E$32))*K754))</f>
        <v>#N/A</v>
      </c>
      <c r="H755" s="49">
        <f>IF(H$2="",NA(),C755*$B755+H754)</f>
        <v>324477.45706453716</v>
      </c>
      <c r="I755" s="49">
        <f>IF(I$2="",NA(),D755*$B755+I754)</f>
        <v>2973134.619181918</v>
      </c>
      <c r="J755" s="49">
        <f>IF(J$2="",NA(),E755*$B755+J754)</f>
        <v>1381874.8543504153</v>
      </c>
      <c r="K755" s="49" t="e">
        <f>IF(K$2="",NA(),F755*$B755+K754)</f>
        <v>#N/A</v>
      </c>
    </row>
    <row r="756" spans="1:11" x14ac:dyDescent="0.4">
      <c r="A756" s="49">
        <v>753</v>
      </c>
      <c r="B756" s="49">
        <f>A756/$B$1</f>
        <v>31.375</v>
      </c>
      <c r="C756" s="49">
        <f>(('Input and Output'!B$23*'Input and Output'!$B$10)+('Input and Output'!B$24*Calculations!$C$5)+('Input and Output'!B$25*Calculations!$C$6)+('Input and Output'!B$26*(IF('Input and Output'!D$7="Detritus",Calculations!$C$4,G756))-(SUM('Input and Output'!B$27:B$32))*H755))</f>
        <v>3.2008388401436605E-3</v>
      </c>
      <c r="D756" s="49">
        <f>(('Input and Output'!C$23*'Input and Output'!$B$10)+('Input and Output'!C$24*Calculations!$C$5)+('Input and Output'!C$25*Calculations!$C$6)+('Input and Output'!C$26*(IF('Input and Output'!E$7="Detritus",Calculations!$C$4,H756))-(SUM('Input and Output'!C$27:C$32))*I755))</f>
        <v>2.6839718250812439E-2</v>
      </c>
      <c r="E756" s="49">
        <f>(('Input and Output'!D$23*'Input and Output'!$B$10)+('Input and Output'!D$24*Calculations!$C$5)+('Input and Output'!D$25*Calculations!$C$6)+('Input and Output'!D$26*(IF('Input and Output'!F$7="Detritus",Calculations!$C$4,I756))-(SUM('Input and Output'!D$27:D$32))*J755))</f>
        <v>1.1746130639949115E-2</v>
      </c>
      <c r="F756" s="49" t="e">
        <f>(('Input and Output'!E$23*'Input and Output'!$B$10)+('Input and Output'!E$24*Calculations!$C$5)+('Input and Output'!E$25*Calculations!$C$6)+('Input and Output'!E$26*(IF('Input and Output'!G$7="Detritus",Calculations!$C$4,J756))-(SUM('Input and Output'!E$27:E$32))*K755))</f>
        <v>#N/A</v>
      </c>
      <c r="H756" s="49">
        <f>IF(H$2="",NA(),C756*$B756+H755)</f>
        <v>324477.55749085575</v>
      </c>
      <c r="I756" s="49">
        <f>IF(I$2="",NA(),D756*$B756+I755)</f>
        <v>2973135.4612780781</v>
      </c>
      <c r="J756" s="49">
        <f>IF(J$2="",NA(),E756*$B756+J755)</f>
        <v>1381875.2228852641</v>
      </c>
      <c r="K756" s="49" t="e">
        <f>IF(K$2="",NA(),F756*$B756+K755)</f>
        <v>#N/A</v>
      </c>
    </row>
    <row r="757" spans="1:11" x14ac:dyDescent="0.4">
      <c r="A757" s="49">
        <v>754</v>
      </c>
      <c r="B757" s="49">
        <f>A757/$B$1</f>
        <v>31.416666666666668</v>
      </c>
      <c r="C757" s="49">
        <f>(('Input and Output'!B$23*'Input and Output'!$B$10)+('Input and Output'!B$24*Calculations!$C$5)+('Input and Output'!B$25*Calculations!$C$6)+('Input and Output'!B$26*(IF('Input and Output'!D$7="Detritus",Calculations!$C$4,G757))-(SUM('Input and Output'!B$27:B$32))*H756))</f>
        <v>3.1040164100772927E-3</v>
      </c>
      <c r="D757" s="49">
        <f>(('Input and Output'!C$23*'Input and Output'!$B$10)+('Input and Output'!C$24*Calculations!$C$5)+('Input and Output'!C$25*Calculations!$C$6)+('Input and Output'!C$26*(IF('Input and Output'!E$7="Detritus",Calculations!$C$4,H757))-(SUM('Input and Output'!C$27:C$32))*I756))</f>
        <v>2.6026695318250859E-2</v>
      </c>
      <c r="E757" s="49">
        <f>(('Input and Output'!D$23*'Input and Output'!$B$10)+('Input and Output'!D$24*Calculations!$C$5)+('Input and Output'!D$25*Calculations!$C$6)+('Input and Output'!D$26*(IF('Input and Output'!F$7="Detritus",Calculations!$C$4,I757))-(SUM('Input and Output'!D$27:D$32))*J756))</f>
        <v>1.1389826719096163E-2</v>
      </c>
      <c r="F757" s="49" t="e">
        <f>(('Input and Output'!E$23*'Input and Output'!$B$10)+('Input and Output'!E$24*Calculations!$C$5)+('Input and Output'!E$25*Calculations!$C$6)+('Input and Output'!E$26*(IF('Input and Output'!G$7="Detritus",Calculations!$C$4,J757))-(SUM('Input and Output'!E$27:E$32))*K756))</f>
        <v>#N/A</v>
      </c>
      <c r="H757" s="49">
        <f>IF(H$2="",NA(),C757*$B757+H756)</f>
        <v>324477.65500870463</v>
      </c>
      <c r="I757" s="49">
        <f>IF(I$2="",NA(),D757*$B757+I756)</f>
        <v>2973136.2789500896</v>
      </c>
      <c r="J757" s="49">
        <f>IF(J$2="",NA(),E757*$B757+J756)</f>
        <v>1381875.5807156535</v>
      </c>
      <c r="K757" s="49" t="e">
        <f>IF(K$2="",NA(),F757*$B757+K756)</f>
        <v>#N/A</v>
      </c>
    </row>
    <row r="758" spans="1:11" x14ac:dyDescent="0.4">
      <c r="A758" s="49">
        <v>755</v>
      </c>
      <c r="B758" s="49">
        <f>A758/$B$1</f>
        <v>31.458333333333332</v>
      </c>
      <c r="C758" s="49">
        <f>(('Input and Output'!B$23*'Input and Output'!$B$10)+('Input and Output'!B$24*Calculations!$C$5)+('Input and Output'!B$25*Calculations!$C$6)+('Input and Output'!B$26*(IF('Input and Output'!D$7="Detritus",Calculations!$C$4,G758))-(SUM('Input and Output'!B$27:B$32))*H757))</f>
        <v>3.0099980767204215E-3</v>
      </c>
      <c r="D758" s="49">
        <f>(('Input and Output'!C$23*'Input and Output'!$B$10)+('Input and Output'!C$24*Calculations!$C$5)+('Input and Output'!C$25*Calculations!$C$6)+('Input and Output'!C$26*(IF('Input and Output'!E$7="Detritus",Calculations!$C$4,H758))-(SUM('Input and Output'!C$27:C$32))*I757))</f>
        <v>2.5237254956664401E-2</v>
      </c>
      <c r="E758" s="49">
        <f>(('Input and Output'!D$23*'Input and Output'!$B$10)+('Input and Output'!D$24*Calculations!$C$5)+('Input and Output'!D$25*Calculations!$C$6)+('Input and Output'!D$26*(IF('Input and Output'!F$7="Detritus",Calculations!$C$4,I758))-(SUM('Input and Output'!D$27:D$32))*J757))</f>
        <v>1.1043873488233658E-2</v>
      </c>
      <c r="F758" s="49" t="e">
        <f>(('Input and Output'!E$23*'Input and Output'!$B$10)+('Input and Output'!E$24*Calculations!$C$5)+('Input and Output'!E$25*Calculations!$C$6)+('Input and Output'!E$26*(IF('Input and Output'!G$7="Detritus",Calculations!$C$4,J758))-(SUM('Input and Output'!E$27:E$32))*K757))</f>
        <v>#N/A</v>
      </c>
      <c r="H758" s="49">
        <f>IF(H$2="",NA(),C758*$B758+H757)</f>
        <v>324477.74969822745</v>
      </c>
      <c r="I758" s="49">
        <f>IF(I$2="",NA(),D758*$B758+I757)</f>
        <v>2973137.0728720683</v>
      </c>
      <c r="J758" s="49">
        <f>IF(J$2="",NA(),E758*$B758+J757)</f>
        <v>1381875.9281375071</v>
      </c>
      <c r="K758" s="49" t="e">
        <f>IF(K$2="",NA(),F758*$B758+K757)</f>
        <v>#N/A</v>
      </c>
    </row>
    <row r="759" spans="1:11" x14ac:dyDescent="0.4">
      <c r="A759" s="49">
        <v>756</v>
      </c>
      <c r="B759" s="49">
        <f>A759/$B$1</f>
        <v>31.5</v>
      </c>
      <c r="C759" s="49">
        <f>(('Input and Output'!B$23*'Input and Output'!$B$10)+('Input and Output'!B$24*Calculations!$C$5)+('Input and Output'!B$25*Calculations!$C$6)+('Input and Output'!B$26*(IF('Input and Output'!D$7="Detritus",Calculations!$C$4,G759))-(SUM('Input and Output'!B$27:B$32))*H758))</f>
        <v>2.9187065723590422E-3</v>
      </c>
      <c r="D759" s="49">
        <f>(('Input and Output'!C$23*'Input and Output'!$B$10)+('Input and Output'!C$24*Calculations!$C$5)+('Input and Output'!C$25*Calculations!$C$6)+('Input and Output'!C$26*(IF('Input and Output'!E$7="Detritus",Calculations!$C$4,H759))-(SUM('Input and Output'!C$27:C$32))*I758))</f>
        <v>2.4470746227052587E-2</v>
      </c>
      <c r="E759" s="49">
        <f>(('Input and Output'!D$23*'Input and Output'!$B$10)+('Input and Output'!D$24*Calculations!$C$5)+('Input and Output'!D$25*Calculations!$C$6)+('Input and Output'!D$26*(IF('Input and Output'!F$7="Detritus",Calculations!$C$4,I759))-(SUM('Input and Output'!D$27:D$32))*J758))</f>
        <v>1.070798463842948E-2</v>
      </c>
      <c r="F759" s="49" t="e">
        <f>(('Input and Output'!E$23*'Input and Output'!$B$10)+('Input and Output'!E$24*Calculations!$C$5)+('Input and Output'!E$25*Calculations!$C$6)+('Input and Output'!E$26*(IF('Input and Output'!G$7="Detritus",Calculations!$C$4,J759))-(SUM('Input and Output'!E$27:E$32))*K758))</f>
        <v>#N/A</v>
      </c>
      <c r="H759" s="49">
        <f>IF(H$2="",NA(),C759*$B759+H758)</f>
        <v>324477.8416374845</v>
      </c>
      <c r="I759" s="49">
        <f>IF(I$2="",NA(),D759*$B759+I758)</f>
        <v>2973137.8437005742</v>
      </c>
      <c r="J759" s="49">
        <f>IF(J$2="",NA(),E759*$B759+J758)</f>
        <v>1381876.2654390233</v>
      </c>
      <c r="K759" s="49" t="e">
        <f>IF(K$2="",NA(),F759*$B759+K758)</f>
        <v>#N/A</v>
      </c>
    </row>
    <row r="760" spans="1:11" x14ac:dyDescent="0.4">
      <c r="A760" s="49">
        <v>757</v>
      </c>
      <c r="B760" s="49">
        <f>A760/$B$1</f>
        <v>31.541666666666668</v>
      </c>
      <c r="C760" s="49">
        <f>(('Input and Output'!B$23*'Input and Output'!$B$10)+('Input and Output'!B$24*Calculations!$C$5)+('Input and Output'!B$25*Calculations!$C$6)+('Input and Output'!B$26*(IF('Input and Output'!D$7="Detritus",Calculations!$C$4,G760))-(SUM('Input and Output'!B$27:B$32))*H759))</f>
        <v>2.8300666380687289E-3</v>
      </c>
      <c r="D760" s="49">
        <f>(('Input and Output'!C$23*'Input and Output'!$B$10)+('Input and Output'!C$24*Calculations!$C$5)+('Input and Output'!C$25*Calculations!$C$6)+('Input and Output'!C$26*(IF('Input and Output'!E$7="Detritus",Calculations!$C$4,H760))-(SUM('Input and Output'!C$27:C$32))*I759))</f>
        <v>2.3726535136120219E-2</v>
      </c>
      <c r="E760" s="49">
        <f>(('Input and Output'!D$23*'Input and Output'!$B$10)+('Input and Output'!D$24*Calculations!$C$5)+('Input and Output'!D$25*Calculations!$C$6)+('Input and Output'!D$26*(IF('Input and Output'!F$7="Detritus",Calculations!$C$4,I760))-(SUM('Input and Output'!D$27:D$32))*J759))</f>
        <v>1.0381881544162752E-2</v>
      </c>
      <c r="F760" s="49" t="e">
        <f>(('Input and Output'!E$23*'Input and Output'!$B$10)+('Input and Output'!E$24*Calculations!$C$5)+('Input and Output'!E$25*Calculations!$C$6)+('Input and Output'!E$26*(IF('Input and Output'!G$7="Detritus",Calculations!$C$4,J760))-(SUM('Input and Output'!E$27:E$32))*K759))</f>
        <v>#N/A</v>
      </c>
      <c r="H760" s="49">
        <f>IF(H$2="",NA(),C760*$B760+H759)</f>
        <v>324477.93090250302</v>
      </c>
      <c r="I760" s="49">
        <f>IF(I$2="",NA(),D760*$B760+I759)</f>
        <v>2973138.5920750368</v>
      </c>
      <c r="J760" s="49">
        <f>IF(J$2="",NA(),E760*$B760+J759)</f>
        <v>1381876.5929008704</v>
      </c>
      <c r="K760" s="49" t="e">
        <f>IF(K$2="",NA(),F760*$B760+K759)</f>
        <v>#N/A</v>
      </c>
    </row>
    <row r="761" spans="1:11" x14ac:dyDescent="0.4">
      <c r="A761" s="49">
        <v>758</v>
      </c>
      <c r="B761" s="49">
        <f>A761/$B$1</f>
        <v>31.583333333333332</v>
      </c>
      <c r="C761" s="49">
        <f>(('Input and Output'!B$23*'Input and Output'!$B$10)+('Input and Output'!B$24*Calculations!$C$5)+('Input and Output'!B$25*Calculations!$C$6)+('Input and Output'!B$26*(IF('Input and Output'!D$7="Detritus",Calculations!$C$4,G761))-(SUM('Input and Output'!B$27:B$32))*H760))</f>
        <v>2.744004974829295E-3</v>
      </c>
      <c r="D761" s="49">
        <f>(('Input and Output'!C$23*'Input and Output'!$B$10)+('Input and Output'!C$24*Calculations!$C$5)+('Input and Output'!C$25*Calculations!$C$6)+('Input and Output'!C$26*(IF('Input and Output'!E$7="Detritus",Calculations!$C$4,H761))-(SUM('Input and Output'!C$27:C$32))*I760))</f>
        <v>2.3004004237009212E-2</v>
      </c>
      <c r="E761" s="49">
        <f>(('Input and Output'!D$23*'Input and Output'!$B$10)+('Input and Output'!D$24*Calculations!$C$5)+('Input and Output'!D$25*Calculations!$C$6)+('Input and Output'!D$26*(IF('Input and Output'!F$7="Detritus",Calculations!$C$4,I761))-(SUM('Input and Output'!D$27:D$32))*J760))</f>
        <v>1.0065292681247229E-2</v>
      </c>
      <c r="F761" s="49" t="e">
        <f>(('Input and Output'!E$23*'Input and Output'!$B$10)+('Input and Output'!E$24*Calculations!$C$5)+('Input and Output'!E$25*Calculations!$C$6)+('Input and Output'!E$26*(IF('Input and Output'!G$7="Detritus",Calculations!$C$4,J761))-(SUM('Input and Output'!E$27:E$32))*K760))</f>
        <v>#N/A</v>
      </c>
      <c r="H761" s="49">
        <f>IF(H$2="",NA(),C761*$B761+H760)</f>
        <v>324478.01756732684</v>
      </c>
      <c r="I761" s="49">
        <f>IF(I$2="",NA(),D761*$B761+I760)</f>
        <v>2973139.3186181705</v>
      </c>
      <c r="J761" s="49">
        <f>IF(J$2="",NA(),E761*$B761+J760)</f>
        <v>1381876.9107963643</v>
      </c>
      <c r="K761" s="49" t="e">
        <f>IF(K$2="",NA(),F761*$B761+K760)</f>
        <v>#N/A</v>
      </c>
    </row>
    <row r="762" spans="1:11" x14ac:dyDescent="0.4">
      <c r="A762" s="49">
        <v>759</v>
      </c>
      <c r="B762" s="49">
        <f>A762/$B$1</f>
        <v>31.625</v>
      </c>
      <c r="C762" s="49">
        <f>(('Input and Output'!B$23*'Input and Output'!$B$10)+('Input and Output'!B$24*Calculations!$C$5)+('Input and Output'!B$25*Calculations!$C$6)+('Input and Output'!B$26*(IF('Input and Output'!D$7="Detritus",Calculations!$C$4,G762))-(SUM('Input and Output'!B$27:B$32))*H761))</f>
        <v>2.6604501959468507E-3</v>
      </c>
      <c r="D762" s="49">
        <f>(('Input and Output'!C$23*'Input and Output'!$B$10)+('Input and Output'!C$24*Calculations!$C$5)+('Input and Output'!C$25*Calculations!$C$6)+('Input and Output'!C$26*(IF('Input and Output'!E$7="Detritus",Calculations!$C$4,H762))-(SUM('Input and Output'!C$27:C$32))*I761))</f>
        <v>2.2302552227301931E-2</v>
      </c>
      <c r="E762" s="49">
        <f>(('Input and Output'!D$23*'Input and Output'!$B$10)+('Input and Output'!D$24*Calculations!$C$5)+('Input and Output'!D$25*Calculations!$C$6)+('Input and Output'!D$26*(IF('Input and Output'!F$7="Detritus",Calculations!$C$4,I762))-(SUM('Input and Output'!D$27:D$32))*J761))</f>
        <v>9.7579537869023625E-3</v>
      </c>
      <c r="F762" s="49" t="e">
        <f>(('Input and Output'!E$23*'Input and Output'!$B$10)+('Input and Output'!E$24*Calculations!$C$5)+('Input and Output'!E$25*Calculations!$C$6)+('Input and Output'!E$26*(IF('Input and Output'!G$7="Detritus",Calculations!$C$4,J762))-(SUM('Input and Output'!E$27:E$32))*K761))</f>
        <v>#N/A</v>
      </c>
      <c r="H762" s="49">
        <f>IF(H$2="",NA(),C762*$B762+H761)</f>
        <v>324478.10170406429</v>
      </c>
      <c r="I762" s="49">
        <f>IF(I$2="",NA(),D762*$B762+I761)</f>
        <v>2973140.0239363848</v>
      </c>
      <c r="J762" s="49">
        <f>IF(J$2="",NA(),E762*$B762+J761)</f>
        <v>1381877.2193916528</v>
      </c>
      <c r="K762" s="49" t="e">
        <f>IF(K$2="",NA(),F762*$B762+K761)</f>
        <v>#N/A</v>
      </c>
    </row>
    <row r="763" spans="1:11" x14ac:dyDescent="0.4">
      <c r="A763" s="49">
        <v>760</v>
      </c>
      <c r="B763" s="49">
        <f>A763/$B$1</f>
        <v>31.666666666666668</v>
      </c>
      <c r="C763" s="49">
        <f>(('Input and Output'!B$23*'Input and Output'!$B$10)+('Input and Output'!B$24*Calculations!$C$5)+('Input and Output'!B$25*Calculations!$C$6)+('Input and Output'!B$26*(IF('Input and Output'!D$7="Detritus",Calculations!$C$4,G763))-(SUM('Input and Output'!B$27:B$32))*H762))</f>
        <v>2.5793327808401045E-3</v>
      </c>
      <c r="D763" s="49">
        <f>(('Input and Output'!C$23*'Input and Output'!$B$10)+('Input and Output'!C$24*Calculations!$C$5)+('Input and Output'!C$25*Calculations!$C$6)+('Input and Output'!C$26*(IF('Input and Output'!E$7="Detritus",Calculations!$C$4,H763))-(SUM('Input and Output'!C$27:C$32))*I762))</f>
        <v>2.1621593548843521E-2</v>
      </c>
      <c r="E763" s="49">
        <f>(('Input and Output'!D$23*'Input and Output'!$B$10)+('Input and Output'!D$24*Calculations!$C$5)+('Input and Output'!D$25*Calculations!$C$6)+('Input and Output'!D$26*(IF('Input and Output'!F$7="Detritus",Calculations!$C$4,I763))-(SUM('Input and Output'!D$27:D$32))*J762))</f>
        <v>9.4596074814035092E-3</v>
      </c>
      <c r="F763" s="49" t="e">
        <f>(('Input and Output'!E$23*'Input and Output'!$B$10)+('Input and Output'!E$24*Calculations!$C$5)+('Input and Output'!E$25*Calculations!$C$6)+('Input and Output'!E$26*(IF('Input and Output'!G$7="Detritus",Calculations!$C$4,J763))-(SUM('Input and Output'!E$27:E$32))*K762))</f>
        <v>#N/A</v>
      </c>
      <c r="H763" s="49">
        <f>IF(H$2="",NA(),C763*$B763+H762)</f>
        <v>324478.18338293571</v>
      </c>
      <c r="I763" s="49">
        <f>IF(I$2="",NA(),D763*$B763+I762)</f>
        <v>2973140.7086201804</v>
      </c>
      <c r="J763" s="49">
        <f>IF(J$2="",NA(),E763*$B763+J762)</f>
        <v>1381877.5189458898</v>
      </c>
      <c r="K763" s="49" t="e">
        <f>IF(K$2="",NA(),F763*$B763+K762)</f>
        <v>#N/A</v>
      </c>
    </row>
    <row r="764" spans="1:11" x14ac:dyDescent="0.4">
      <c r="A764" s="49">
        <v>761</v>
      </c>
      <c r="B764" s="49">
        <f>A764/$B$1</f>
        <v>31.708333333333332</v>
      </c>
      <c r="C764" s="49">
        <f>(('Input and Output'!B$23*'Input and Output'!$B$10)+('Input and Output'!B$24*Calculations!$C$5)+('Input and Output'!B$25*Calculations!$C$6)+('Input and Output'!B$26*(IF('Input and Output'!D$7="Detritus",Calculations!$C$4,G764))-(SUM('Input and Output'!B$27:B$32))*H763))</f>
        <v>2.5005850289971931E-3</v>
      </c>
      <c r="D764" s="49">
        <f>(('Input and Output'!C$23*'Input and Output'!$B$10)+('Input and Output'!C$24*Calculations!$C$5)+('Input and Output'!C$25*Calculations!$C$6)+('Input and Output'!C$26*(IF('Input and Output'!E$7="Detritus",Calculations!$C$4,H764))-(SUM('Input and Output'!C$27:C$32))*I763))</f>
        <v>2.0960558004844643E-2</v>
      </c>
      <c r="E764" s="49">
        <f>(('Input and Output'!D$23*'Input and Output'!$B$10)+('Input and Output'!D$24*Calculations!$C$5)+('Input and Output'!D$25*Calculations!$C$6)+('Input and Output'!D$26*(IF('Input and Output'!F$7="Detritus",Calculations!$C$4,I764))-(SUM('Input and Output'!D$27:D$32))*J763))</f>
        <v>9.1700031225627754E-3</v>
      </c>
      <c r="F764" s="49" t="e">
        <f>(('Input and Output'!E$23*'Input and Output'!$B$10)+('Input and Output'!E$24*Calculations!$C$5)+('Input and Output'!E$25*Calculations!$C$6)+('Input and Output'!E$26*(IF('Input and Output'!G$7="Detritus",Calculations!$C$4,J764))-(SUM('Input and Output'!E$27:E$32))*K763))</f>
        <v>#N/A</v>
      </c>
      <c r="H764" s="49">
        <f>IF(H$2="",NA(),C764*$B764+H763)</f>
        <v>324478.26267231931</v>
      </c>
      <c r="I764" s="49">
        <f>IF(I$2="",NA(),D764*$B764+I763)</f>
        <v>2973141.3732445403</v>
      </c>
      <c r="J764" s="49">
        <f>IF(J$2="",NA(),E764*$B764+J763)</f>
        <v>1381877.8097114055</v>
      </c>
      <c r="K764" s="49" t="e">
        <f>IF(K$2="",NA(),F764*$B764+K763)</f>
        <v>#N/A</v>
      </c>
    </row>
    <row r="765" spans="1:11" x14ac:dyDescent="0.4">
      <c r="A765" s="49">
        <v>762</v>
      </c>
      <c r="B765" s="49">
        <f>A765/$B$1</f>
        <v>31.75</v>
      </c>
      <c r="C765" s="49">
        <f>(('Input and Output'!B$23*'Input and Output'!$B$10)+('Input and Output'!B$24*Calculations!$C$5)+('Input and Output'!B$25*Calculations!$C$6)+('Input and Output'!B$26*(IF('Input and Output'!D$7="Detritus",Calculations!$C$4,G765))-(SUM('Input and Output'!B$27:B$32))*H764))</f>
        <v>2.4241410160925625E-3</v>
      </c>
      <c r="D765" s="49">
        <f>(('Input and Output'!C$23*'Input and Output'!$B$10)+('Input and Output'!C$24*Calculations!$C$5)+('Input and Output'!C$25*Calculations!$C$6)+('Input and Output'!C$26*(IF('Input and Output'!E$7="Detritus",Calculations!$C$4,H765))-(SUM('Input and Output'!C$27:C$32))*I764))</f>
        <v>2.0318890389717126E-2</v>
      </c>
      <c r="E765" s="49">
        <f>(('Input and Output'!D$23*'Input and Output'!$B$10)+('Input and Output'!D$24*Calculations!$C$5)+('Input and Output'!D$25*Calculations!$C$6)+('Input and Output'!D$26*(IF('Input and Output'!F$7="Detritus",Calculations!$C$4,I765))-(SUM('Input and Output'!D$27:D$32))*J764))</f>
        <v>8.888896645657951E-3</v>
      </c>
      <c r="F765" s="49" t="e">
        <f>(('Input and Output'!E$23*'Input and Output'!$B$10)+('Input and Output'!E$24*Calculations!$C$5)+('Input and Output'!E$25*Calculations!$C$6)+('Input and Output'!E$26*(IF('Input and Output'!G$7="Detritus",Calculations!$C$4,J765))-(SUM('Input and Output'!E$27:E$32))*K764))</f>
        <v>#N/A</v>
      </c>
      <c r="H765" s="49">
        <f>IF(H$2="",NA(),C765*$B765+H764)</f>
        <v>324478.33963879658</v>
      </c>
      <c r="I765" s="49">
        <f>IF(I$2="",NA(),D765*$B765+I764)</f>
        <v>2973142.0183693101</v>
      </c>
      <c r="J765" s="49">
        <f>IF(J$2="",NA(),E765*$B765+J764)</f>
        <v>1381878.0919338739</v>
      </c>
      <c r="K765" s="49" t="e">
        <f>IF(K$2="",NA(),F765*$B765+K764)</f>
        <v>#N/A</v>
      </c>
    </row>
    <row r="766" spans="1:11" x14ac:dyDescent="0.4">
      <c r="A766" s="49">
        <v>763</v>
      </c>
      <c r="B766" s="49">
        <f>A766/$B$1</f>
        <v>31.791666666666668</v>
      </c>
      <c r="C766" s="49">
        <f>(('Input and Output'!B$23*'Input and Output'!$B$10)+('Input and Output'!B$24*Calculations!$C$5)+('Input and Output'!B$25*Calculations!$C$6)+('Input and Output'!B$26*(IF('Input and Output'!D$7="Detritus",Calculations!$C$4,G766))-(SUM('Input and Output'!B$27:B$32))*H765))</f>
        <v>2.349936549933318E-3</v>
      </c>
      <c r="D766" s="49">
        <f>(('Input and Output'!C$23*'Input and Output'!$B$10)+('Input and Output'!C$24*Calculations!$C$5)+('Input and Output'!C$25*Calculations!$C$6)+('Input and Output'!C$26*(IF('Input and Output'!E$7="Detritus",Calculations!$C$4,H766))-(SUM('Input and Output'!C$27:C$32))*I765))</f>
        <v>1.9696050110724173E-2</v>
      </c>
      <c r="E766" s="49">
        <f>(('Input and Output'!D$23*'Input and Output'!$B$10)+('Input and Output'!D$24*Calculations!$C$5)+('Input and Output'!D$25*Calculations!$C$6)+('Input and Output'!D$26*(IF('Input and Output'!F$7="Detritus",Calculations!$C$4,I766))-(SUM('Input and Output'!D$27:D$32))*J765))</f>
        <v>8.6160505925363395E-3</v>
      </c>
      <c r="F766" s="49" t="e">
        <f>(('Input and Output'!E$23*'Input and Output'!$B$10)+('Input and Output'!E$24*Calculations!$C$5)+('Input and Output'!E$25*Calculations!$C$6)+('Input and Output'!E$26*(IF('Input and Output'!G$7="Detritus",Calculations!$C$4,J766))-(SUM('Input and Output'!E$27:E$32))*K765))</f>
        <v>#N/A</v>
      </c>
      <c r="H766" s="49">
        <f>IF(H$2="",NA(),C766*$B766+H765)</f>
        <v>324478.41434719606</v>
      </c>
      <c r="I766" s="49">
        <f>IF(I$2="",NA(),D766*$B766+I765)</f>
        <v>2973142.64453957</v>
      </c>
      <c r="J766" s="49">
        <f>IF(J$2="",NA(),E766*$B766+J765)</f>
        <v>1381878.3658524824</v>
      </c>
      <c r="K766" s="49" t="e">
        <f>IF(K$2="",NA(),F766*$B766+K765)</f>
        <v>#N/A</v>
      </c>
    </row>
    <row r="767" spans="1:11" x14ac:dyDescent="0.4">
      <c r="A767" s="49">
        <v>764</v>
      </c>
      <c r="B767" s="49">
        <f>A767/$B$1</f>
        <v>31.833333333333332</v>
      </c>
      <c r="C767" s="49">
        <f>(('Input and Output'!B$23*'Input and Output'!$B$10)+('Input and Output'!B$24*Calculations!$C$5)+('Input and Output'!B$25*Calculations!$C$6)+('Input and Output'!B$26*(IF('Input and Output'!D$7="Detritus",Calculations!$C$4,G767))-(SUM('Input and Output'!B$27:B$32))*H766))</f>
        <v>2.2779091283950947E-3</v>
      </c>
      <c r="D767" s="49">
        <f>(('Input and Output'!C$23*'Input and Output'!$B$10)+('Input and Output'!C$24*Calculations!$C$5)+('Input and Output'!C$25*Calculations!$C$6)+('Input and Output'!C$26*(IF('Input and Output'!E$7="Detritus",Calculations!$C$4,H767))-(SUM('Input and Output'!C$27:C$32))*I766))</f>
        <v>1.9091510836005909E-2</v>
      </c>
      <c r="E767" s="49">
        <f>(('Input and Output'!D$23*'Input and Output'!$B$10)+('Input and Output'!D$24*Calculations!$C$5)+('Input and Output'!D$25*Calculations!$C$6)+('Input and Output'!D$26*(IF('Input and Output'!F$7="Detritus",Calculations!$C$4,I767))-(SUM('Input and Output'!D$27:D$32))*J766))</f>
        <v>8.3512334713304881E-3</v>
      </c>
      <c r="F767" s="49" t="e">
        <f>(('Input and Output'!E$23*'Input and Output'!$B$10)+('Input and Output'!E$24*Calculations!$C$5)+('Input and Output'!E$25*Calculations!$C$6)+('Input and Output'!E$26*(IF('Input and Output'!G$7="Detritus",Calculations!$C$4,J767))-(SUM('Input and Output'!E$27:E$32))*K766))</f>
        <v>#N/A</v>
      </c>
      <c r="H767" s="49">
        <f>IF(H$2="",NA(),C767*$B767+H766)</f>
        <v>324478.48686063662</v>
      </c>
      <c r="I767" s="49">
        <f>IF(I$2="",NA(),D767*$B767+I766)</f>
        <v>2973143.2522859983</v>
      </c>
      <c r="J767" s="49">
        <f>IF(J$2="",NA(),E767*$B767+J766)</f>
        <v>1381878.6317000813</v>
      </c>
      <c r="K767" s="49" t="e">
        <f>IF(K$2="",NA(),F767*$B767+K766)</f>
        <v>#N/A</v>
      </c>
    </row>
    <row r="768" spans="1:11" x14ac:dyDescent="0.4">
      <c r="A768" s="49">
        <v>765</v>
      </c>
      <c r="B768" s="49">
        <f>A768/$B$1</f>
        <v>31.875</v>
      </c>
      <c r="C768" s="49">
        <f>(('Input and Output'!B$23*'Input and Output'!$B$10)+('Input and Output'!B$24*Calculations!$C$5)+('Input and Output'!B$25*Calculations!$C$6)+('Input and Output'!B$26*(IF('Input and Output'!D$7="Detritus",Calculations!$C$4,G768))-(SUM('Input and Output'!B$27:B$32))*H767))</f>
        <v>2.2079978976989878E-3</v>
      </c>
      <c r="D768" s="49">
        <f>(('Input and Output'!C$23*'Input and Output'!$B$10)+('Input and Output'!C$24*Calculations!$C$5)+('Input and Output'!C$25*Calculations!$C$6)+('Input and Output'!C$26*(IF('Input and Output'!E$7="Detritus",Calculations!$C$4,H768))-(SUM('Input and Output'!C$27:C$32))*I767))</f>
        <v>1.8504760142604937E-2</v>
      </c>
      <c r="E768" s="49">
        <f>(('Input and Output'!D$23*'Input and Output'!$B$10)+('Input and Output'!D$24*Calculations!$C$5)+('Input and Output'!D$25*Calculations!$C$6)+('Input and Output'!D$26*(IF('Input and Output'!F$7="Detritus",Calculations!$C$4,I768))-(SUM('Input and Output'!D$27:D$32))*J767))</f>
        <v>8.0942202948790509E-3</v>
      </c>
      <c r="F768" s="49" t="e">
        <f>(('Input and Output'!E$23*'Input and Output'!$B$10)+('Input and Output'!E$24*Calculations!$C$5)+('Input and Output'!E$25*Calculations!$C$6)+('Input and Output'!E$26*(IF('Input and Output'!G$7="Detritus",Calculations!$C$4,J768))-(SUM('Input and Output'!E$27:E$32))*K767))</f>
        <v>#N/A</v>
      </c>
      <c r="H768" s="49">
        <f>IF(H$2="",NA(),C768*$B768+H767)</f>
        <v>324478.55724056961</v>
      </c>
      <c r="I768" s="49">
        <f>IF(I$2="",NA(),D768*$B768+I767)</f>
        <v>2973143.8421252277</v>
      </c>
      <c r="J768" s="49">
        <f>IF(J$2="",NA(),E768*$B768+J767)</f>
        <v>1381878.8897033532</v>
      </c>
      <c r="K768" s="49" t="e">
        <f>IF(K$2="",NA(),F768*$B768+K767)</f>
        <v>#N/A</v>
      </c>
    </row>
    <row r="769" spans="1:11" x14ac:dyDescent="0.4">
      <c r="A769" s="49">
        <v>766</v>
      </c>
      <c r="B769" s="49">
        <f>A769/$B$1</f>
        <v>31.916666666666668</v>
      </c>
      <c r="C769" s="49">
        <f>(('Input and Output'!B$23*'Input and Output'!$B$10)+('Input and Output'!B$24*Calculations!$C$5)+('Input and Output'!B$25*Calculations!$C$6)+('Input and Output'!B$26*(IF('Input and Output'!D$7="Detritus",Calculations!$C$4,G769))-(SUM('Input and Output'!B$27:B$32))*H768))</f>
        <v>2.140143611768508E-3</v>
      </c>
      <c r="D769" s="49">
        <f>(('Input and Output'!C$23*'Input and Output'!$B$10)+('Input and Output'!C$24*Calculations!$C$5)+('Input and Output'!C$25*Calculations!$C$6)+('Input and Output'!C$26*(IF('Input and Output'!E$7="Detritus",Calculations!$C$4,H769))-(SUM('Input and Output'!C$27:C$32))*I768))</f>
        <v>1.7935299169948848E-2</v>
      </c>
      <c r="E769" s="49">
        <f>(('Input and Output'!D$23*'Input and Output'!$B$10)+('Input and Output'!D$24*Calculations!$C$5)+('Input and Output'!D$25*Calculations!$C$6)+('Input and Output'!D$26*(IF('Input and Output'!F$7="Detritus",Calculations!$C$4,I769))-(SUM('Input and Output'!D$27:D$32))*J768))</f>
        <v>7.8447917076118756E-3</v>
      </c>
      <c r="F769" s="49" t="e">
        <f>(('Input and Output'!E$23*'Input and Output'!$B$10)+('Input and Output'!E$24*Calculations!$C$5)+('Input and Output'!E$25*Calculations!$C$6)+('Input and Output'!E$26*(IF('Input and Output'!G$7="Detritus",Calculations!$C$4,J769))-(SUM('Input and Output'!E$27:E$32))*K768))</f>
        <v>#N/A</v>
      </c>
      <c r="H769" s="49">
        <f>IF(H$2="",NA(),C769*$B769+H768)</f>
        <v>324478.62554681988</v>
      </c>
      <c r="I769" s="49">
        <f>IF(I$2="",NA(),D769*$B769+I768)</f>
        <v>2973144.4145601927</v>
      </c>
      <c r="J769" s="49">
        <f>IF(J$2="",NA(),E769*$B769+J768)</f>
        <v>1381879.1400829551</v>
      </c>
      <c r="K769" s="49" t="e">
        <f>IF(K$2="",NA(),F769*$B769+K768)</f>
        <v>#N/A</v>
      </c>
    </row>
    <row r="770" spans="1:11" x14ac:dyDescent="0.4">
      <c r="A770" s="49">
        <v>767</v>
      </c>
      <c r="B770" s="49">
        <f>A770/$B$1</f>
        <v>31.958333333333332</v>
      </c>
      <c r="C770" s="49">
        <f>(('Input and Output'!B$23*'Input and Output'!$B$10)+('Input and Output'!B$24*Calculations!$C$5)+('Input and Output'!B$25*Calculations!$C$6)+('Input and Output'!B$26*(IF('Input and Output'!D$7="Detritus",Calculations!$C$4,G770))-(SUM('Input and Output'!B$27:B$32))*H769))</f>
        <v>2.0742885925528753E-3</v>
      </c>
      <c r="D770" s="49">
        <f>(('Input and Output'!C$23*'Input and Output'!$B$10)+('Input and Output'!C$24*Calculations!$C$5)+('Input and Output'!C$25*Calculations!$C$6)+('Input and Output'!C$26*(IF('Input and Output'!E$7="Detritus",Calculations!$C$4,H770))-(SUM('Input and Output'!C$27:C$32))*I769))</f>
        <v>1.738264228697517E-2</v>
      </c>
      <c r="E770" s="49">
        <f>(('Input and Output'!D$23*'Input and Output'!$B$10)+('Input and Output'!D$24*Calculations!$C$5)+('Input and Output'!D$25*Calculations!$C$6)+('Input and Output'!D$26*(IF('Input and Output'!F$7="Detritus",Calculations!$C$4,I770))-(SUM('Input and Output'!D$27:D$32))*J769))</f>
        <v>7.6027343784517143E-3</v>
      </c>
      <c r="F770" s="49" t="e">
        <f>(('Input and Output'!E$23*'Input and Output'!$B$10)+('Input and Output'!E$24*Calculations!$C$5)+('Input and Output'!E$25*Calculations!$C$6)+('Input and Output'!E$26*(IF('Input and Output'!G$7="Detritus",Calculations!$C$4,J770))-(SUM('Input and Output'!E$27:E$32))*K769))</f>
        <v>#N/A</v>
      </c>
      <c r="H770" s="49">
        <f>IF(H$2="",NA(),C770*$B770+H769)</f>
        <v>324478.69183762616</v>
      </c>
      <c r="I770" s="49">
        <f>IF(I$2="",NA(),D770*$B770+I769)</f>
        <v>2973144.9700804693</v>
      </c>
      <c r="J770" s="49">
        <f>IF(J$2="",NA(),E770*$B770+J769)</f>
        <v>1381879.3830536746</v>
      </c>
      <c r="K770" s="49" t="e">
        <f>IF(K$2="",NA(),F770*$B770+K769)</f>
        <v>#N/A</v>
      </c>
    </row>
    <row r="771" spans="1:11" x14ac:dyDescent="0.4">
      <c r="A771" s="49">
        <v>768</v>
      </c>
      <c r="B771" s="49">
        <f>A771/$B$1</f>
        <v>32</v>
      </c>
      <c r="C771" s="49">
        <f>(('Input and Output'!B$23*'Input and Output'!$B$10)+('Input and Output'!B$24*Calculations!$C$5)+('Input and Output'!B$25*Calculations!$C$6)+('Input and Output'!B$26*(IF('Input and Output'!D$7="Detritus",Calculations!$C$4,G771))-(SUM('Input and Output'!B$27:B$32))*H770))</f>
        <v>2.010376691316651E-3</v>
      </c>
      <c r="D771" s="49">
        <f>(('Input and Output'!C$23*'Input and Output'!$B$10)+('Input and Output'!C$24*Calculations!$C$5)+('Input and Output'!C$25*Calculations!$C$6)+('Input and Output'!C$26*(IF('Input and Output'!E$7="Detritus",Calculations!$C$4,H771))-(SUM('Input and Output'!C$27:C$32))*I770))</f>
        <v>1.6846316761075286E-2</v>
      </c>
      <c r="E771" s="49">
        <f>(('Input and Output'!D$23*'Input and Output'!$B$10)+('Input and Output'!D$24*Calculations!$C$5)+('Input and Output'!D$25*Calculations!$C$6)+('Input and Output'!D$26*(IF('Input and Output'!F$7="Detritus",Calculations!$C$4,I771))-(SUM('Input and Output'!D$27:D$32))*J770))</f>
        <v>7.367840637016343E-3</v>
      </c>
      <c r="F771" s="49" t="e">
        <f>(('Input and Output'!E$23*'Input and Output'!$B$10)+('Input and Output'!E$24*Calculations!$C$5)+('Input and Output'!E$25*Calculations!$C$6)+('Input and Output'!E$26*(IF('Input and Output'!G$7="Detritus",Calculations!$C$4,J771))-(SUM('Input and Output'!E$27:E$32))*K770))</f>
        <v>#N/A</v>
      </c>
      <c r="H771" s="49">
        <f>IF(H$2="",NA(),C771*$B771+H770)</f>
        <v>324478.75616968027</v>
      </c>
      <c r="I771" s="49">
        <f>IF(I$2="",NA(),D771*$B771+I770)</f>
        <v>2973145.5091626057</v>
      </c>
      <c r="J771" s="49">
        <f>IF(J$2="",NA(),E771*$B771+J770)</f>
        <v>1381879.6188245751</v>
      </c>
      <c r="K771" s="49" t="e">
        <f>IF(K$2="",NA(),F771*$B771+K770)</f>
        <v>#N/A</v>
      </c>
    </row>
    <row r="772" spans="1:11" x14ac:dyDescent="0.4">
      <c r="A772" s="49">
        <v>769</v>
      </c>
      <c r="B772" s="49">
        <f>A772/$B$1</f>
        <v>32.041666666666664</v>
      </c>
      <c r="C772" s="49">
        <f>(('Input and Output'!B$23*'Input and Output'!$B$10)+('Input and Output'!B$24*Calculations!$C$5)+('Input and Output'!B$25*Calculations!$C$6)+('Input and Output'!B$26*(IF('Input and Output'!D$7="Detritus",Calculations!$C$4,G772))-(SUM('Input and Output'!B$27:B$32))*H771))</f>
        <v>1.9483532507251766E-3</v>
      </c>
      <c r="D772" s="49">
        <f>(('Input and Output'!C$23*'Input and Output'!$B$10)+('Input and Output'!C$24*Calculations!$C$5)+('Input and Output'!C$25*Calculations!$C$6)+('Input and Output'!C$26*(IF('Input and Output'!E$7="Detritus",Calculations!$C$4,H772))-(SUM('Input and Output'!C$27:C$32))*I771))</f>
        <v>1.6325862443409278E-2</v>
      </c>
      <c r="E772" s="49">
        <f>(('Input and Output'!D$23*'Input and Output'!$B$10)+('Input and Output'!D$24*Calculations!$C$5)+('Input and Output'!D$25*Calculations!$C$6)+('Input and Output'!D$26*(IF('Input and Output'!F$7="Detritus",Calculations!$C$4,I772))-(SUM('Input and Output'!D$27:D$32))*J771))</f>
        <v>7.1399081825802568E-3</v>
      </c>
      <c r="F772" s="49" t="e">
        <f>(('Input and Output'!E$23*'Input and Output'!$B$10)+('Input and Output'!E$24*Calculations!$C$5)+('Input and Output'!E$25*Calculations!$C$6)+('Input and Output'!E$26*(IF('Input and Output'!G$7="Detritus",Calculations!$C$4,J772))-(SUM('Input and Output'!E$27:E$32))*K771))</f>
        <v>#N/A</v>
      </c>
      <c r="H772" s="49">
        <f>IF(H$2="",NA(),C772*$B772+H771)</f>
        <v>324478.8185981657</v>
      </c>
      <c r="I772" s="49">
        <f>IF(I$2="",NA(),D772*$B772+I771)</f>
        <v>2973146.0322704483</v>
      </c>
      <c r="J772" s="49">
        <f>IF(J$2="",NA(),E772*$B772+J771)</f>
        <v>1381879.8475991332</v>
      </c>
      <c r="K772" s="49" t="e">
        <f>IF(K$2="",NA(),F772*$B772+K771)</f>
        <v>#N/A</v>
      </c>
    </row>
    <row r="773" spans="1:11" x14ac:dyDescent="0.4">
      <c r="A773" s="49">
        <v>770</v>
      </c>
      <c r="B773" s="49">
        <f>A773/$B$1</f>
        <v>32.083333333333336</v>
      </c>
      <c r="C773" s="49">
        <f>(('Input and Output'!B$23*'Input and Output'!$B$10)+('Input and Output'!B$24*Calculations!$C$5)+('Input and Output'!B$25*Calculations!$C$6)+('Input and Output'!B$26*(IF('Input and Output'!D$7="Detritus",Calculations!$C$4,G773))-(SUM('Input and Output'!B$27:B$32))*H772))</f>
        <v>1.8881650674984485E-3</v>
      </c>
      <c r="D773" s="49">
        <f>(('Input and Output'!C$23*'Input and Output'!$B$10)+('Input and Output'!C$24*Calculations!$C$5)+('Input and Output'!C$25*Calculations!$C$6)+('Input and Output'!C$26*(IF('Input and Output'!E$7="Detritus",Calculations!$C$4,H773))-(SUM('Input and Output'!C$27:C$32))*I772))</f>
        <v>1.5820831450582773E-2</v>
      </c>
      <c r="E773" s="49">
        <f>(('Input and Output'!D$23*'Input and Output'!$B$10)+('Input and Output'!D$24*Calculations!$C$5)+('Input and Output'!D$25*Calculations!$C$6)+('Input and Output'!D$26*(IF('Input and Output'!F$7="Detritus",Calculations!$C$4,I773))-(SUM('Input and Output'!D$27:D$32))*J772))</f>
        <v>6.9187404478725512E-3</v>
      </c>
      <c r="F773" s="49" t="e">
        <f>(('Input and Output'!E$23*'Input and Output'!$B$10)+('Input and Output'!E$24*Calculations!$C$5)+('Input and Output'!E$25*Calculations!$C$6)+('Input and Output'!E$26*(IF('Input and Output'!G$7="Detritus",Calculations!$C$4,J773))-(SUM('Input and Output'!E$27:E$32))*K772))</f>
        <v>#N/A</v>
      </c>
      <c r="H773" s="49">
        <f>IF(H$2="",NA(),C773*$B773+H772)</f>
        <v>324478.87917679496</v>
      </c>
      <c r="I773" s="49">
        <f>IF(I$2="",NA(),D773*$B773+I772)</f>
        <v>2973146.5398554574</v>
      </c>
      <c r="J773" s="49">
        <f>IF(J$2="",NA(),E773*$B773+J772)</f>
        <v>1381880.0695753891</v>
      </c>
      <c r="K773" s="49" t="e">
        <f>IF(K$2="",NA(),F773*$B773+K772)</f>
        <v>#N/A</v>
      </c>
    </row>
    <row r="774" spans="1:11" x14ac:dyDescent="0.4">
      <c r="A774" s="49">
        <v>771</v>
      </c>
      <c r="B774" s="49">
        <f>A774/$B$1</f>
        <v>32.125</v>
      </c>
      <c r="C774" s="49">
        <f>(('Input and Output'!B$23*'Input and Output'!$B$10)+('Input and Output'!B$24*Calculations!$C$5)+('Input and Output'!B$25*Calculations!$C$6)+('Input and Output'!B$26*(IF('Input and Output'!D$7="Detritus",Calculations!$C$4,G774))-(SUM('Input and Output'!B$27:B$32))*H773))</f>
        <v>1.8297603567134502E-3</v>
      </c>
      <c r="D774" s="49">
        <f>(('Input and Output'!C$23*'Input and Output'!$B$10)+('Input and Output'!C$24*Calculations!$C$5)+('Input and Output'!C$25*Calculations!$C$6)+('Input and Output'!C$26*(IF('Input and Output'!E$7="Detritus",Calculations!$C$4,H774))-(SUM('Input and Output'!C$27:C$32))*I773))</f>
        <v>1.5330787854509254E-2</v>
      </c>
      <c r="E774" s="49">
        <f>(('Input and Output'!D$23*'Input and Output'!$B$10)+('Input and Output'!D$24*Calculations!$C$5)+('Input and Output'!D$25*Calculations!$C$6)+('Input and Output'!D$26*(IF('Input and Output'!F$7="Detritus",Calculations!$C$4,I774))-(SUM('Input and Output'!D$27:D$32))*J773))</f>
        <v>6.704145696858177E-3</v>
      </c>
      <c r="F774" s="49" t="e">
        <f>(('Input and Output'!E$23*'Input and Output'!$B$10)+('Input and Output'!E$24*Calculations!$C$5)+('Input and Output'!E$25*Calculations!$C$6)+('Input and Output'!E$26*(IF('Input and Output'!G$7="Detritus",Calculations!$C$4,J774))-(SUM('Input and Output'!E$27:E$32))*K773))</f>
        <v>#N/A</v>
      </c>
      <c r="H774" s="49">
        <f>IF(H$2="",NA(),C774*$B774+H773)</f>
        <v>324478.93795784644</v>
      </c>
      <c r="I774" s="49">
        <f>IF(I$2="",NA(),D774*$B774+I773)</f>
        <v>2973147.032357017</v>
      </c>
      <c r="J774" s="49">
        <f>IF(J$2="",NA(),E774*$B774+J773)</f>
        <v>1381880.2849460696</v>
      </c>
      <c r="K774" s="49" t="e">
        <f>IF(K$2="",NA(),F774*$B774+K773)</f>
        <v>#N/A</v>
      </c>
    </row>
    <row r="775" spans="1:11" x14ac:dyDescent="0.4">
      <c r="A775" s="49">
        <v>772</v>
      </c>
      <c r="B775" s="49">
        <f>A775/$B$1</f>
        <v>32.166666666666664</v>
      </c>
      <c r="C775" s="49">
        <f>(('Input and Output'!B$23*'Input and Output'!$B$10)+('Input and Output'!B$24*Calculations!$C$5)+('Input and Output'!B$25*Calculations!$C$6)+('Input and Output'!B$26*(IF('Input and Output'!D$7="Detritus",Calculations!$C$4,G775))-(SUM('Input and Output'!B$27:B$32))*H774))</f>
        <v>1.7730887159927988E-3</v>
      </c>
      <c r="D775" s="49">
        <f>(('Input and Output'!C$23*'Input and Output'!$B$10)+('Input and Output'!C$24*Calculations!$C$5)+('Input and Output'!C$25*Calculations!$C$6)+('Input and Output'!C$26*(IF('Input and Output'!E$7="Detritus",Calculations!$C$4,H775))-(SUM('Input and Output'!C$27:C$32))*I774))</f>
        <v>1.4855307397738216E-2</v>
      </c>
      <c r="E775" s="49">
        <f>(('Input and Output'!D$23*'Input and Output'!$B$10)+('Input and Output'!D$24*Calculations!$C$5)+('Input and Output'!D$25*Calculations!$C$6)+('Input and Output'!D$26*(IF('Input and Output'!F$7="Detritus",Calculations!$C$4,I775))-(SUM('Input and Output'!D$27:D$32))*J774))</f>
        <v>6.4959377668856177E-3</v>
      </c>
      <c r="F775" s="49" t="e">
        <f>(('Input and Output'!E$23*'Input and Output'!$B$10)+('Input and Output'!E$24*Calculations!$C$5)+('Input and Output'!E$25*Calculations!$C$6)+('Input and Output'!E$26*(IF('Input and Output'!G$7="Detritus",Calculations!$C$4,J775))-(SUM('Input and Output'!E$27:E$32))*K774))</f>
        <v>#N/A</v>
      </c>
      <c r="H775" s="49">
        <f>IF(H$2="",NA(),C775*$B775+H774)</f>
        <v>324478.99499220017</v>
      </c>
      <c r="I775" s="49">
        <f>IF(I$2="",NA(),D775*$B775+I774)</f>
        <v>2973147.5102027385</v>
      </c>
      <c r="J775" s="49">
        <f>IF(J$2="",NA(),E775*$B775+J774)</f>
        <v>1381880.4938987345</v>
      </c>
      <c r="K775" s="49" t="e">
        <f>IF(K$2="",NA(),F775*$B775+K774)</f>
        <v>#N/A</v>
      </c>
    </row>
    <row r="776" spans="1:11" x14ac:dyDescent="0.4">
      <c r="A776" s="49">
        <v>773</v>
      </c>
      <c r="B776" s="49">
        <f>A776/$B$1</f>
        <v>32.208333333333336</v>
      </c>
      <c r="C776" s="49">
        <f>(('Input and Output'!B$23*'Input and Output'!$B$10)+('Input and Output'!B$24*Calculations!$C$5)+('Input and Output'!B$25*Calculations!$C$6)+('Input and Output'!B$26*(IF('Input and Output'!D$7="Detritus",Calculations!$C$4,G776))-(SUM('Input and Output'!B$27:B$32))*H775))</f>
        <v>1.7181010912281636E-3</v>
      </c>
      <c r="D776" s="49">
        <f>(('Input and Output'!C$23*'Input and Output'!$B$10)+('Input and Output'!C$24*Calculations!$C$5)+('Input and Output'!C$25*Calculations!$C$6)+('Input and Output'!C$26*(IF('Input and Output'!E$7="Detritus",Calculations!$C$4,H776))-(SUM('Input and Output'!C$27:C$32))*I775))</f>
        <v>1.4393977183317475E-2</v>
      </c>
      <c r="E776" s="49">
        <f>(('Input and Output'!D$23*'Input and Output'!$B$10)+('Input and Output'!D$24*Calculations!$C$5)+('Input and Output'!D$25*Calculations!$C$6)+('Input and Output'!D$26*(IF('Input and Output'!F$7="Detritus",Calculations!$C$4,I776))-(SUM('Input and Output'!D$27:D$32))*J775))</f>
        <v>6.2939351228123996E-3</v>
      </c>
      <c r="F776" s="49" t="e">
        <f>(('Input and Output'!E$23*'Input and Output'!$B$10)+('Input and Output'!E$24*Calculations!$C$5)+('Input and Output'!E$25*Calculations!$C$6)+('Input and Output'!E$26*(IF('Input and Output'!G$7="Detritus",Calculations!$C$4,J776))-(SUM('Input and Output'!E$27:E$32))*K775))</f>
        <v>#N/A</v>
      </c>
      <c r="H776" s="49">
        <f>IF(H$2="",NA(),C776*$B776+H775)</f>
        <v>324479.05032937281</v>
      </c>
      <c r="I776" s="49">
        <f>IF(I$2="",NA(),D776*$B776+I775)</f>
        <v>2973147.9738087538</v>
      </c>
      <c r="J776" s="49">
        <f>IF(J$2="",NA(),E776*$B776+J775)</f>
        <v>1381880.6966158948</v>
      </c>
      <c r="K776" s="49" t="e">
        <f>IF(K$2="",NA(),F776*$B776+K775)</f>
        <v>#N/A</v>
      </c>
    </row>
    <row r="777" spans="1:11" x14ac:dyDescent="0.4">
      <c r="A777" s="49">
        <v>774</v>
      </c>
      <c r="B777" s="49">
        <f>A777/$B$1</f>
        <v>32.25</v>
      </c>
      <c r="C777" s="49">
        <f>(('Input and Output'!B$23*'Input and Output'!$B$10)+('Input and Output'!B$24*Calculations!$C$5)+('Input and Output'!B$25*Calculations!$C$6)+('Input and Output'!B$26*(IF('Input and Output'!D$7="Detritus",Calculations!$C$4,G777))-(SUM('Input and Output'!B$27:B$32))*H776))</f>
        <v>1.6647497427015878E-3</v>
      </c>
      <c r="D777" s="49">
        <f>(('Input and Output'!C$23*'Input and Output'!$B$10)+('Input and Output'!C$24*Calculations!$C$5)+('Input and Output'!C$25*Calculations!$C$6)+('Input and Output'!C$26*(IF('Input and Output'!E$7="Detritus",Calculations!$C$4,H777))-(SUM('Input and Output'!C$27:C$32))*I776))</f>
        <v>1.3946395406492229E-2</v>
      </c>
      <c r="E777" s="49">
        <f>(('Input and Output'!D$23*'Input and Output'!$B$10)+('Input and Output'!D$24*Calculations!$C$5)+('Input and Output'!D$25*Calculations!$C$6)+('Input and Output'!D$26*(IF('Input and Output'!F$7="Detritus",Calculations!$C$4,I777))-(SUM('Input and Output'!D$27:D$32))*J776))</f>
        <v>6.0979613808740396E-3</v>
      </c>
      <c r="F777" s="49" t="e">
        <f>(('Input and Output'!E$23*'Input and Output'!$B$10)+('Input and Output'!E$24*Calculations!$C$5)+('Input and Output'!E$25*Calculations!$C$6)+('Input and Output'!E$26*(IF('Input and Output'!G$7="Detritus",Calculations!$C$4,J777))-(SUM('Input and Output'!E$27:E$32))*K776))</f>
        <v>#N/A</v>
      </c>
      <c r="H777" s="49">
        <f>IF(H$2="",NA(),C777*$B777+H776)</f>
        <v>324479.10401755199</v>
      </c>
      <c r="I777" s="49">
        <f>IF(I$2="",NA(),D777*$B777+I776)</f>
        <v>2973148.4235800058</v>
      </c>
      <c r="J777" s="49">
        <f>IF(J$2="",NA(),E777*$B777+J776)</f>
        <v>1381880.8932751494</v>
      </c>
      <c r="K777" s="49" t="e">
        <f>IF(K$2="",NA(),F777*$B777+K776)</f>
        <v>#N/A</v>
      </c>
    </row>
    <row r="778" spans="1:11" x14ac:dyDescent="0.4">
      <c r="A778" s="49">
        <v>775</v>
      </c>
      <c r="B778" s="49">
        <f>A778/$B$1</f>
        <v>32.291666666666664</v>
      </c>
      <c r="C778" s="49">
        <f>(('Input and Output'!B$23*'Input and Output'!$B$10)+('Input and Output'!B$24*Calculations!$C$5)+('Input and Output'!B$25*Calculations!$C$6)+('Input and Output'!B$26*(IF('Input and Output'!D$7="Detritus",Calculations!$C$4,G778))-(SUM('Input and Output'!B$27:B$32))*H777))</f>
        <v>1.6129882120026195E-3</v>
      </c>
      <c r="D778" s="49">
        <f>(('Input and Output'!C$23*'Input and Output'!$B$10)+('Input and Output'!C$24*Calculations!$C$5)+('Input and Output'!C$25*Calculations!$C$6)+('Input and Output'!C$26*(IF('Input and Output'!E$7="Detritus",Calculations!$C$4,H778))-(SUM('Input and Output'!C$27:C$32))*I777))</f>
        <v>1.3512171064576251E-2</v>
      </c>
      <c r="E778" s="49">
        <f>(('Input and Output'!D$23*'Input and Output'!$B$10)+('Input and Output'!D$24*Calculations!$C$5)+('Input and Output'!D$25*Calculations!$C$6)+('Input and Output'!D$26*(IF('Input and Output'!F$7="Detritus",Calculations!$C$4,I778))-(SUM('Input and Output'!D$27:D$32))*J777))</f>
        <v>5.9078446975036059E-3</v>
      </c>
      <c r="F778" s="49" t="e">
        <f>(('Input and Output'!E$23*'Input and Output'!$B$10)+('Input and Output'!E$24*Calculations!$C$5)+('Input and Output'!E$25*Calculations!$C$6)+('Input and Output'!E$26*(IF('Input and Output'!G$7="Detritus",Calculations!$C$4,J778))-(SUM('Input and Output'!E$27:E$32))*K777))</f>
        <v>#N/A</v>
      </c>
      <c r="H778" s="49">
        <f>IF(H$2="",NA(),C778*$B778+H777)</f>
        <v>324479.15610362968</v>
      </c>
      <c r="I778" s="49">
        <f>IF(I$2="",NA(),D778*$B778+I777)</f>
        <v>2973148.8599105296</v>
      </c>
      <c r="J778" s="49">
        <f>IF(J$2="",NA(),E778*$B778+J777)</f>
        <v>1381881.084049301</v>
      </c>
      <c r="K778" s="49" t="e">
        <f>IF(K$2="",NA(),F778*$B778+K777)</f>
        <v>#N/A</v>
      </c>
    </row>
    <row r="779" spans="1:11" x14ac:dyDescent="0.4">
      <c r="A779" s="49">
        <v>776</v>
      </c>
      <c r="B779" s="49">
        <f>A779/$B$1</f>
        <v>32.333333333333336</v>
      </c>
      <c r="C779" s="49">
        <f>(('Input and Output'!B$23*'Input and Output'!$B$10)+('Input and Output'!B$24*Calculations!$C$5)+('Input and Output'!B$25*Calculations!$C$6)+('Input and Output'!B$26*(IF('Input and Output'!D$7="Detritus",Calculations!$C$4,G779))-(SUM('Input and Output'!B$27:B$32))*H778))</f>
        <v>1.5627712899117796E-3</v>
      </c>
      <c r="D779" s="49">
        <f>(('Input and Output'!C$23*'Input and Output'!$B$10)+('Input and Output'!C$24*Calculations!$C$5)+('Input and Output'!C$25*Calculations!$C$6)+('Input and Output'!C$26*(IF('Input and Output'!E$7="Detritus",Calculations!$C$4,H779))-(SUM('Input and Output'!C$27:C$32))*I778))</f>
        <v>1.3090923686831957E-2</v>
      </c>
      <c r="E779" s="49">
        <f>(('Input and Output'!D$23*'Input and Output'!$B$10)+('Input and Output'!D$24*Calculations!$C$5)+('Input and Output'!D$25*Calculations!$C$6)+('Input and Output'!D$26*(IF('Input and Output'!F$7="Detritus",Calculations!$C$4,I779))-(SUM('Input and Output'!D$27:D$32))*J778))</f>
        <v>5.7234181476815138E-3</v>
      </c>
      <c r="F779" s="49" t="e">
        <f>(('Input and Output'!E$23*'Input and Output'!$B$10)+('Input and Output'!E$24*Calculations!$C$5)+('Input and Output'!E$25*Calculations!$C$6)+('Input and Output'!E$26*(IF('Input and Output'!G$7="Detritus",Calculations!$C$4,J779))-(SUM('Input and Output'!E$27:E$32))*K778))</f>
        <v>#N/A</v>
      </c>
      <c r="H779" s="49">
        <f>IF(H$2="",NA(),C779*$B779+H778)</f>
        <v>324479.20663323475</v>
      </c>
      <c r="I779" s="49">
        <f>IF(I$2="",NA(),D779*$B779+I778)</f>
        <v>2973149.2831837288</v>
      </c>
      <c r="J779" s="49">
        <f>IF(J$2="",NA(),E779*$B779+J778)</f>
        <v>1381881.2691064877</v>
      </c>
      <c r="K779" s="49" t="e">
        <f>IF(K$2="",NA(),F779*$B779+K778)</f>
        <v>#N/A</v>
      </c>
    </row>
    <row r="780" spans="1:11" x14ac:dyDescent="0.4">
      <c r="A780" s="49">
        <v>777</v>
      </c>
      <c r="B780" s="49">
        <f>A780/$B$1</f>
        <v>32.375</v>
      </c>
      <c r="C780" s="49">
        <f>(('Input and Output'!B$23*'Input and Output'!$B$10)+('Input and Output'!B$24*Calculations!$C$5)+('Input and Output'!B$25*Calculations!$C$6)+('Input and Output'!B$26*(IF('Input and Output'!D$7="Detritus",Calculations!$C$4,G780))-(SUM('Input and Output'!B$27:B$32))*H779))</f>
        <v>1.5140549850798379E-3</v>
      </c>
      <c r="D780" s="49">
        <f>(('Input and Output'!C$23*'Input and Output'!$B$10)+('Input and Output'!C$24*Calculations!$C$5)+('Input and Output'!C$25*Calculations!$C$6)+('Input and Output'!C$26*(IF('Input and Output'!E$7="Detritus",Calculations!$C$4,H780))-(SUM('Input and Output'!C$27:C$32))*I779))</f>
        <v>1.2682283072535938E-2</v>
      </c>
      <c r="E780" s="49">
        <f>(('Input and Output'!D$23*'Input and Output'!$B$10)+('Input and Output'!D$24*Calculations!$C$5)+('Input and Output'!D$25*Calculations!$C$6)+('Input and Output'!D$26*(IF('Input and Output'!F$7="Detritus",Calculations!$C$4,I780))-(SUM('Input and Output'!D$27:D$32))*J779))</f>
        <v>5.544518895476358E-3</v>
      </c>
      <c r="F780" s="49" t="e">
        <f>(('Input and Output'!E$23*'Input and Output'!$B$10)+('Input and Output'!E$24*Calculations!$C$5)+('Input and Output'!E$25*Calculations!$C$6)+('Input and Output'!E$26*(IF('Input and Output'!G$7="Detritus",Calculations!$C$4,J780))-(SUM('Input and Output'!E$27:E$32))*K779))</f>
        <v>#N/A</v>
      </c>
      <c r="H780" s="49">
        <f>IF(H$2="",NA(),C780*$B780+H779)</f>
        <v>324479.25565076491</v>
      </c>
      <c r="I780" s="49">
        <f>IF(I$2="",NA(),D780*$B780+I779)</f>
        <v>2973149.6937726433</v>
      </c>
      <c r="J780" s="49">
        <f>IF(J$2="",NA(),E780*$B780+J779)</f>
        <v>1381881.4486102869</v>
      </c>
      <c r="K780" s="49" t="e">
        <f>IF(K$2="",NA(),F780*$B780+K779)</f>
        <v>#N/A</v>
      </c>
    </row>
    <row r="781" spans="1:11" x14ac:dyDescent="0.4">
      <c r="A781" s="49">
        <v>778</v>
      </c>
      <c r="B781" s="49">
        <f>A781/$B$1</f>
        <v>32.416666666666664</v>
      </c>
      <c r="C781" s="49">
        <f>(('Input and Output'!B$23*'Input and Output'!$B$10)+('Input and Output'!B$24*Calculations!$C$5)+('Input and Output'!B$25*Calculations!$C$6)+('Input and Output'!B$26*(IF('Input and Output'!D$7="Detritus",Calculations!$C$4,G781))-(SUM('Input and Output'!B$27:B$32))*H780))</f>
        <v>1.4667964929913069E-3</v>
      </c>
      <c r="D781" s="49">
        <f>(('Input and Output'!C$23*'Input and Output'!$B$10)+('Input and Output'!C$24*Calculations!$C$5)+('Input and Output'!C$25*Calculations!$C$6)+('Input and Output'!C$26*(IF('Input and Output'!E$7="Detritus",Calculations!$C$4,H781))-(SUM('Input and Output'!C$27:C$32))*I780))</f>
        <v>1.2285889020859031E-2</v>
      </c>
      <c r="E781" s="49">
        <f>(('Input and Output'!D$23*'Input and Output'!$B$10)+('Input and Output'!D$24*Calculations!$C$5)+('Input and Output'!D$25*Calculations!$C$6)+('Input and Output'!D$26*(IF('Input and Output'!F$7="Detritus",Calculations!$C$4,I781))-(SUM('Input and Output'!D$27:D$32))*J780))</f>
        <v>5.3709890380559955E-3</v>
      </c>
      <c r="F781" s="49" t="e">
        <f>(('Input and Output'!E$23*'Input and Output'!$B$10)+('Input and Output'!E$24*Calculations!$C$5)+('Input and Output'!E$25*Calculations!$C$6)+('Input and Output'!E$26*(IF('Input and Output'!G$7="Detritus",Calculations!$C$4,J781))-(SUM('Input and Output'!E$27:E$32))*K780))</f>
        <v>#N/A</v>
      </c>
      <c r="H781" s="49">
        <f>IF(H$2="",NA(),C781*$B781+H780)</f>
        <v>324479.30319941789</v>
      </c>
      <c r="I781" s="49">
        <f>IF(I$2="",NA(),D781*$B781+I780)</f>
        <v>2973150.0920402124</v>
      </c>
      <c r="J781" s="49">
        <f>IF(J$2="",NA(),E781*$B781+J780)</f>
        <v>1381881.6227198483</v>
      </c>
      <c r="K781" s="49" t="e">
        <f>IF(K$2="",NA(),F781*$B781+K780)</f>
        <v>#N/A</v>
      </c>
    </row>
    <row r="782" spans="1:11" x14ac:dyDescent="0.4">
      <c r="A782" s="49">
        <v>779</v>
      </c>
      <c r="B782" s="49">
        <f>A782/$B$1</f>
        <v>32.458333333333336</v>
      </c>
      <c r="C782" s="49">
        <f>(('Input and Output'!B$23*'Input and Output'!$B$10)+('Input and Output'!B$24*Calculations!$C$5)+('Input and Output'!B$25*Calculations!$C$6)+('Input and Output'!B$26*(IF('Input and Output'!D$7="Detritus",Calculations!$C$4,G782))-(SUM('Input and Output'!B$27:B$32))*H781))</f>
        <v>1.4209541660648028E-3</v>
      </c>
      <c r="D782" s="49">
        <f>(('Input and Output'!C$23*'Input and Output'!$B$10)+('Input and Output'!C$24*Calculations!$C$5)+('Input and Output'!C$25*Calculations!$C$6)+('Input and Output'!C$26*(IF('Input and Output'!E$7="Detritus",Calculations!$C$4,H782))-(SUM('Input and Output'!C$27:C$32))*I781))</f>
        <v>1.1901391097126179E-2</v>
      </c>
      <c r="E782" s="49">
        <f>(('Input and Output'!D$23*'Input and Output'!$B$10)+('Input and Output'!D$24*Calculations!$C$5)+('Input and Output'!D$25*Calculations!$C$6)+('Input and Output'!D$26*(IF('Input and Output'!F$7="Detritus",Calculations!$C$4,I782))-(SUM('Input and Output'!D$27:D$32))*J781))</f>
        <v>5.2026743978785817E-3</v>
      </c>
      <c r="F782" s="49" t="e">
        <f>(('Input and Output'!E$23*'Input and Output'!$B$10)+('Input and Output'!E$24*Calculations!$C$5)+('Input and Output'!E$25*Calculations!$C$6)+('Input and Output'!E$26*(IF('Input and Output'!G$7="Detritus",Calculations!$C$4,J782))-(SUM('Input and Output'!E$27:E$32))*K781))</f>
        <v>#N/A</v>
      </c>
      <c r="H782" s="49">
        <f>IF(H$2="",NA(),C782*$B782+H781)</f>
        <v>324479.34932122187</v>
      </c>
      <c r="I782" s="49">
        <f>IF(I$2="",NA(),D782*$B782+I781)</f>
        <v>2973150.4783395319</v>
      </c>
      <c r="J782" s="49">
        <f>IF(J$2="",NA(),E782*$B782+J781)</f>
        <v>1381881.7915899882</v>
      </c>
      <c r="K782" s="49" t="e">
        <f>IF(K$2="",NA(),F782*$B782+K781)</f>
        <v>#N/A</v>
      </c>
    </row>
    <row r="783" spans="1:11" x14ac:dyDescent="0.4">
      <c r="A783" s="49">
        <v>780</v>
      </c>
      <c r="B783" s="49">
        <f>A783/$B$1</f>
        <v>32.5</v>
      </c>
      <c r="C783" s="49">
        <f>(('Input and Output'!B$23*'Input and Output'!$B$10)+('Input and Output'!B$24*Calculations!$C$5)+('Input and Output'!B$25*Calculations!$C$6)+('Input and Output'!B$26*(IF('Input and Output'!D$7="Detritus",Calculations!$C$4,G783))-(SUM('Input and Output'!B$27:B$32))*H782))</f>
        <v>1.3764874843786856E-3</v>
      </c>
      <c r="D783" s="49">
        <f>(('Input and Output'!C$23*'Input and Output'!$B$10)+('Input and Output'!C$24*Calculations!$C$5)+('Input and Output'!C$25*Calculations!$C$6)+('Input and Output'!C$26*(IF('Input and Output'!E$7="Detritus",Calculations!$C$4,H783))-(SUM('Input and Output'!C$27:C$32))*I782))</f>
        <v>1.1528448361787014E-2</v>
      </c>
      <c r="E783" s="49">
        <f>(('Input and Output'!D$23*'Input and Output'!$B$10)+('Input and Output'!D$24*Calculations!$C$5)+('Input and Output'!D$25*Calculations!$C$6)+('Input and Output'!D$26*(IF('Input and Output'!F$7="Detritus",Calculations!$C$4,I783))-(SUM('Input and Output'!D$27:D$32))*J782))</f>
        <v>5.0394255413266364E-3</v>
      </c>
      <c r="F783" s="49" t="e">
        <f>(('Input and Output'!E$23*'Input and Output'!$B$10)+('Input and Output'!E$24*Calculations!$C$5)+('Input and Output'!E$25*Calculations!$C$6)+('Input and Output'!E$26*(IF('Input and Output'!G$7="Detritus",Calculations!$C$4,J783))-(SUM('Input and Output'!E$27:E$32))*K782))</f>
        <v>#N/A</v>
      </c>
      <c r="H783" s="49">
        <f>IF(H$2="",NA(),C783*$B783+H782)</f>
        <v>324479.39405706513</v>
      </c>
      <c r="I783" s="49">
        <f>IF(I$2="",NA(),D783*$B783+I782)</f>
        <v>2973150.8530141036</v>
      </c>
      <c r="J783" s="49">
        <f>IF(J$2="",NA(),E783*$B783+J782)</f>
        <v>1381881.9553713182</v>
      </c>
      <c r="K783" s="49" t="e">
        <f>IF(K$2="",NA(),F783*$B783+K782)</f>
        <v>#N/A</v>
      </c>
    </row>
    <row r="784" spans="1:11" x14ac:dyDescent="0.4">
      <c r="A784" s="49">
        <v>781</v>
      </c>
      <c r="B784" s="49">
        <f>A784/$B$1</f>
        <v>32.541666666666664</v>
      </c>
      <c r="C784" s="49">
        <f>(('Input and Output'!B$23*'Input and Output'!$B$10)+('Input and Output'!B$24*Calculations!$C$5)+('Input and Output'!B$25*Calculations!$C$6)+('Input and Output'!B$26*(IF('Input and Output'!D$7="Detritus",Calculations!$C$4,G784))-(SUM('Input and Output'!B$27:B$32))*H783))</f>
        <v>1.3333570270219752E-3</v>
      </c>
      <c r="D784" s="49">
        <f>(('Input and Output'!C$23*'Input and Output'!$B$10)+('Input and Output'!C$24*Calculations!$C$5)+('Input and Output'!C$25*Calculations!$C$6)+('Input and Output'!C$26*(IF('Input and Output'!E$7="Detritus",Calculations!$C$4,H784))-(SUM('Input and Output'!C$27:C$32))*I783))</f>
        <v>1.1166729142132681E-2</v>
      </c>
      <c r="E784" s="49">
        <f>(('Input and Output'!D$23*'Input and Output'!$B$10)+('Input and Output'!D$24*Calculations!$C$5)+('Input and Output'!D$25*Calculations!$C$6)+('Input and Output'!D$26*(IF('Input and Output'!F$7="Detritus",Calculations!$C$4,I784))-(SUM('Input and Output'!D$27:D$32))*J783))</f>
        <v>4.8810966000019107E-3</v>
      </c>
      <c r="F784" s="49" t="e">
        <f>(('Input and Output'!E$23*'Input and Output'!$B$10)+('Input and Output'!E$24*Calculations!$C$5)+('Input and Output'!E$25*Calculations!$C$6)+('Input and Output'!E$26*(IF('Input and Output'!G$7="Detritus",Calculations!$C$4,J784))-(SUM('Input and Output'!E$27:E$32))*K783))</f>
        <v>#N/A</v>
      </c>
      <c r="H784" s="49">
        <f>IF(H$2="",NA(),C784*$B784+H783)</f>
        <v>324479.43744672503</v>
      </c>
      <c r="I784" s="49">
        <f>IF(I$2="",NA(),D784*$B784+I783)</f>
        <v>2973151.2163980813</v>
      </c>
      <c r="J784" s="49">
        <f>IF(J$2="",NA(),E784*$B784+J783)</f>
        <v>1381882.1142103367</v>
      </c>
      <c r="K784" s="49" t="e">
        <f>IF(K$2="",NA(),F784*$B784+K783)</f>
        <v>#N/A</v>
      </c>
    </row>
    <row r="785" spans="1:11" x14ac:dyDescent="0.4">
      <c r="A785" s="49">
        <v>782</v>
      </c>
      <c r="B785" s="49">
        <f>A785/$B$1</f>
        <v>32.583333333333336</v>
      </c>
      <c r="C785" s="49">
        <f>(('Input and Output'!B$23*'Input and Output'!$B$10)+('Input and Output'!B$24*Calculations!$C$5)+('Input and Output'!B$25*Calculations!$C$6)+('Input and Output'!B$26*(IF('Input and Output'!D$7="Detritus",Calculations!$C$4,G785))-(SUM('Input and Output'!B$27:B$32))*H784))</f>
        <v>1.291524444013703E-3</v>
      </c>
      <c r="D785" s="49">
        <f>(('Input and Output'!C$23*'Input and Output'!$B$10)+('Input and Output'!C$24*Calculations!$C$5)+('Input and Output'!C$25*Calculations!$C$6)+('Input and Output'!C$26*(IF('Input and Output'!E$7="Detritus",Calculations!$C$4,H785))-(SUM('Input and Output'!C$27:C$32))*I784))</f>
        <v>1.0815910794917727E-2</v>
      </c>
      <c r="E785" s="49">
        <f>(('Input and Output'!D$23*'Input and Output'!$B$10)+('Input and Output'!D$24*Calculations!$C$5)+('Input and Output'!D$25*Calculations!$C$6)+('Input and Output'!D$26*(IF('Input and Output'!F$7="Detritus",Calculations!$C$4,I785))-(SUM('Input and Output'!D$27:D$32))*J784))</f>
        <v>4.7275461147364695E-3</v>
      </c>
      <c r="F785" s="49" t="e">
        <f>(('Input and Output'!E$23*'Input and Output'!$B$10)+('Input and Output'!E$24*Calculations!$C$5)+('Input and Output'!E$25*Calculations!$C$6)+('Input and Output'!E$26*(IF('Input and Output'!G$7="Detritus",Calculations!$C$4,J785))-(SUM('Input and Output'!E$27:E$32))*K784))</f>
        <v>#N/A</v>
      </c>
      <c r="H785" s="49">
        <f>IF(H$2="",NA(),C785*$B785+H784)</f>
        <v>324479.47952889651</v>
      </c>
      <c r="I785" s="49">
        <f>IF(I$2="",NA(),D785*$B785+I784)</f>
        <v>2973151.5688165082</v>
      </c>
      <c r="J785" s="49">
        <f>IF(J$2="",NA(),E785*$B785+J784)</f>
        <v>1381882.2682495476</v>
      </c>
      <c r="K785" s="49" t="e">
        <f>IF(K$2="",NA(),F785*$B785+K784)</f>
        <v>#N/A</v>
      </c>
    </row>
    <row r="786" spans="1:11" x14ac:dyDescent="0.4">
      <c r="A786" s="49">
        <v>783</v>
      </c>
      <c r="B786" s="49">
        <f>A786/$B$1</f>
        <v>32.625</v>
      </c>
      <c r="C786" s="49">
        <f>(('Input and Output'!B$23*'Input and Output'!$B$10)+('Input and Output'!B$24*Calculations!$C$5)+('Input and Output'!B$25*Calculations!$C$6)+('Input and Output'!B$26*(IF('Input and Output'!D$7="Detritus",Calculations!$C$4,G786))-(SUM('Input and Output'!B$27:B$32))*H785))</f>
        <v>1.2509524290180707E-3</v>
      </c>
      <c r="D786" s="49">
        <f>(('Input and Output'!C$23*'Input and Output'!$B$10)+('Input and Output'!C$24*Calculations!$C$5)+('Input and Output'!C$25*Calculations!$C$6)+('Input and Output'!C$26*(IF('Input and Output'!E$7="Detritus",Calculations!$C$4,H786))-(SUM('Input and Output'!C$27:C$32))*I785))</f>
        <v>1.0475679475348443E-2</v>
      </c>
      <c r="E786" s="49">
        <f>(('Input and Output'!D$23*'Input and Output'!$B$10)+('Input and Output'!D$24*Calculations!$C$5)+('Input and Output'!D$25*Calculations!$C$6)+('Input and Output'!D$26*(IF('Input and Output'!F$7="Detritus",Calculations!$C$4,I786))-(SUM('Input and Output'!D$27:D$32))*J785))</f>
        <v>4.5786360751662869E-3</v>
      </c>
      <c r="F786" s="49" t="e">
        <f>(('Input and Output'!E$23*'Input and Output'!$B$10)+('Input and Output'!E$24*Calculations!$C$5)+('Input and Output'!E$25*Calculations!$C$6)+('Input and Output'!E$26*(IF('Input and Output'!G$7="Detritus",Calculations!$C$4,J786))-(SUM('Input and Output'!E$27:E$32))*K785))</f>
        <v>#N/A</v>
      </c>
      <c r="H786" s="49">
        <f>IF(H$2="",NA(),C786*$B786+H785)</f>
        <v>324479.5203412195</v>
      </c>
      <c r="I786" s="49">
        <f>IF(I$2="",NA(),D786*$B786+I785)</f>
        <v>2973151.9105855511</v>
      </c>
      <c r="J786" s="49">
        <f>IF(J$2="",NA(),E786*$B786+J785)</f>
        <v>1381882.4176275495</v>
      </c>
      <c r="K786" s="49" t="e">
        <f>IF(K$2="",NA(),F786*$B786+K785)</f>
        <v>#N/A</v>
      </c>
    </row>
    <row r="787" spans="1:11" x14ac:dyDescent="0.4">
      <c r="A787" s="49">
        <v>784</v>
      </c>
      <c r="B787" s="49">
        <f>A787/$B$1</f>
        <v>32.666666666666664</v>
      </c>
      <c r="C787" s="49">
        <f>(('Input and Output'!B$23*'Input and Output'!$B$10)+('Input and Output'!B$24*Calculations!$C$5)+('Input and Output'!B$25*Calculations!$C$6)+('Input and Output'!B$26*(IF('Input and Output'!D$7="Detritus",Calculations!$C$4,G787))-(SUM('Input and Output'!B$27:B$32))*H786))</f>
        <v>1.2116046928554169E-3</v>
      </c>
      <c r="D787" s="49">
        <f>(('Input and Output'!C$23*'Input and Output'!$B$10)+('Input and Output'!C$24*Calculations!$C$5)+('Input and Output'!C$25*Calculations!$C$6)+('Input and Output'!C$26*(IF('Input and Output'!E$7="Detritus",Calculations!$C$4,H787))-(SUM('Input and Output'!C$27:C$32))*I786))</f>
        <v>1.0145729905161716E-2</v>
      </c>
      <c r="E787" s="49">
        <f>(('Input and Output'!D$23*'Input and Output'!$B$10)+('Input and Output'!D$24*Calculations!$C$5)+('Input and Output'!D$25*Calculations!$C$6)+('Input and Output'!D$26*(IF('Input and Output'!F$7="Detritus",Calculations!$C$4,I787))-(SUM('Input and Output'!D$27:D$32))*J786))</f>
        <v>4.4342326764308382E-3</v>
      </c>
      <c r="F787" s="49" t="e">
        <f>(('Input and Output'!E$23*'Input and Output'!$B$10)+('Input and Output'!E$24*Calculations!$C$5)+('Input and Output'!E$25*Calculations!$C$6)+('Input and Output'!E$26*(IF('Input and Output'!G$7="Detritus",Calculations!$C$4,J787))-(SUM('Input and Output'!E$27:E$32))*K786))</f>
        <v>#N/A</v>
      </c>
      <c r="H787" s="49">
        <f>IF(H$2="",NA(),C787*$B787+H786)</f>
        <v>324479.55992030614</v>
      </c>
      <c r="I787" s="49">
        <f>IF(I$2="",NA(),D787*$B787+I786)</f>
        <v>2973152.242012728</v>
      </c>
      <c r="J787" s="49">
        <f>IF(J$2="",NA(),E787*$B787+J786)</f>
        <v>1381882.5624791502</v>
      </c>
      <c r="K787" s="49" t="e">
        <f>IF(K$2="",NA(),F787*$B787+K786)</f>
        <v>#N/A</v>
      </c>
    </row>
    <row r="788" spans="1:11" x14ac:dyDescent="0.4">
      <c r="A788" s="49">
        <v>785</v>
      </c>
      <c r="B788" s="49">
        <f>A788/$B$1</f>
        <v>32.708333333333336</v>
      </c>
      <c r="C788" s="49">
        <f>(('Input and Output'!B$23*'Input and Output'!$B$10)+('Input and Output'!B$24*Calculations!$C$5)+('Input and Output'!B$25*Calculations!$C$6)+('Input and Output'!B$26*(IF('Input and Output'!D$7="Detritus",Calculations!$C$4,G788))-(SUM('Input and Output'!B$27:B$32))*H787))</f>
        <v>1.1734459372405581E-3</v>
      </c>
      <c r="D788" s="49">
        <f>(('Input and Output'!C$23*'Input and Output'!$B$10)+('Input and Output'!C$24*Calculations!$C$5)+('Input and Output'!C$25*Calculations!$C$6)+('Input and Output'!C$26*(IF('Input and Output'!E$7="Detritus",Calculations!$C$4,H788))-(SUM('Input and Output'!C$27:C$32))*I787))</f>
        <v>9.8257651616222574E-3</v>
      </c>
      <c r="E788" s="49">
        <f>(('Input and Output'!D$23*'Input and Output'!$B$10)+('Input and Output'!D$24*Calculations!$C$5)+('Input and Output'!D$25*Calculations!$C$6)+('Input and Output'!D$26*(IF('Input and Output'!F$7="Detritus",Calculations!$C$4,I788))-(SUM('Input and Output'!D$27:D$32))*J787))</f>
        <v>4.2942054024024401E-3</v>
      </c>
      <c r="F788" s="49" t="e">
        <f>(('Input and Output'!E$23*'Input and Output'!$B$10)+('Input and Output'!E$24*Calculations!$C$5)+('Input and Output'!E$25*Calculations!$C$6)+('Input and Output'!E$26*(IF('Input and Output'!G$7="Detritus",Calculations!$C$4,J788))-(SUM('Input and Output'!E$27:E$32))*K787))</f>
        <v>#N/A</v>
      </c>
      <c r="H788" s="49">
        <f>IF(H$2="",NA(),C788*$B788+H787)</f>
        <v>324479.59830176702</v>
      </c>
      <c r="I788" s="49">
        <f>IF(I$2="",NA(),D788*$B788+I787)</f>
        <v>2973152.56339713</v>
      </c>
      <c r="J788" s="49">
        <f>IF(J$2="",NA(),E788*$B788+J787)</f>
        <v>1381882.7029354519</v>
      </c>
      <c r="K788" s="49" t="e">
        <f>IF(K$2="",NA(),F788*$B788+K787)</f>
        <v>#N/A</v>
      </c>
    </row>
    <row r="789" spans="1:11" x14ac:dyDescent="0.4">
      <c r="A789" s="49">
        <v>786</v>
      </c>
      <c r="B789" s="49">
        <f>A789/$B$1</f>
        <v>32.75</v>
      </c>
      <c r="C789" s="49">
        <f>(('Input and Output'!B$23*'Input and Output'!$B$10)+('Input and Output'!B$24*Calculations!$C$5)+('Input and Output'!B$25*Calculations!$C$6)+('Input and Output'!B$26*(IF('Input and Output'!D$7="Detritus",Calculations!$C$4,G789))-(SUM('Input and Output'!B$27:B$32))*H788))</f>
        <v>1.1364418295443102E-3</v>
      </c>
      <c r="D789" s="49">
        <f>(('Input and Output'!C$23*'Input and Output'!$B$10)+('Input and Output'!C$24*Calculations!$C$5)+('Input and Output'!C$25*Calculations!$C$6)+('Input and Output'!C$26*(IF('Input and Output'!E$7="Detritus",Calculations!$C$4,H789))-(SUM('Input and Output'!C$27:C$32))*I788))</f>
        <v>9.5154964583343826E-3</v>
      </c>
      <c r="E789" s="49">
        <f>(('Input and Output'!D$23*'Input and Output'!$B$10)+('Input and Output'!D$24*Calculations!$C$5)+('Input and Output'!D$25*Calculations!$C$6)+('Input and Output'!D$26*(IF('Input and Output'!F$7="Detritus",Calculations!$C$4,I789))-(SUM('Input and Output'!D$27:D$32))*J788))</f>
        <v>4.1584276077628601E-3</v>
      </c>
      <c r="F789" s="49" t="e">
        <f>(('Input and Output'!E$23*'Input and Output'!$B$10)+('Input and Output'!E$24*Calculations!$C$5)+('Input and Output'!E$25*Calculations!$C$6)+('Input and Output'!E$26*(IF('Input and Output'!G$7="Detritus",Calculations!$C$4,J789))-(SUM('Input and Output'!E$27:E$32))*K788))</f>
        <v>#N/A</v>
      </c>
      <c r="H789" s="49">
        <f>IF(H$2="",NA(),C789*$B789+H788)</f>
        <v>324479.63552023692</v>
      </c>
      <c r="I789" s="49">
        <f>IF(I$2="",NA(),D789*$B789+I788)</f>
        <v>2973152.8750296389</v>
      </c>
      <c r="J789" s="49">
        <f>IF(J$2="",NA(),E789*$B789+J788)</f>
        <v>1381882.8391239559</v>
      </c>
      <c r="K789" s="49" t="e">
        <f>IF(K$2="",NA(),F789*$B789+K788)</f>
        <v>#N/A</v>
      </c>
    </row>
    <row r="790" spans="1:11" x14ac:dyDescent="0.4">
      <c r="A790" s="49">
        <v>787</v>
      </c>
      <c r="B790" s="49">
        <f>A790/$B$1</f>
        <v>32.791666666666664</v>
      </c>
      <c r="C790" s="49">
        <f>(('Input and Output'!B$23*'Input and Output'!$B$10)+('Input and Output'!B$24*Calculations!$C$5)+('Input and Output'!B$25*Calculations!$C$6)+('Input and Output'!B$26*(IF('Input and Output'!D$7="Detritus",Calculations!$C$4,G790))-(SUM('Input and Output'!B$27:B$32))*H789))</f>
        <v>1.1005589777823843E-3</v>
      </c>
      <c r="D790" s="49">
        <f>(('Input and Output'!C$23*'Input and Output'!$B$10)+('Input and Output'!C$24*Calculations!$C$5)+('Input and Output'!C$25*Calculations!$C$6)+('Input and Output'!C$26*(IF('Input and Output'!E$7="Detritus",Calculations!$C$4,H790))-(SUM('Input and Output'!C$27:C$32))*I789))</f>
        <v>9.2146429333297419E-3</v>
      </c>
      <c r="E790" s="49">
        <f>(('Input and Output'!D$23*'Input and Output'!$B$10)+('Input and Output'!D$24*Calculations!$C$5)+('Input and Output'!D$25*Calculations!$C$6)+('Input and Output'!D$26*(IF('Input and Output'!F$7="Detritus",Calculations!$C$4,I790))-(SUM('Input and Output'!D$27:D$32))*J789))</f>
        <v>4.0267758631671313E-3</v>
      </c>
      <c r="F790" s="49" t="e">
        <f>(('Input and Output'!E$23*'Input and Output'!$B$10)+('Input and Output'!E$24*Calculations!$C$5)+('Input and Output'!E$25*Calculations!$C$6)+('Input and Output'!E$26*(IF('Input and Output'!G$7="Detritus",Calculations!$C$4,J790))-(SUM('Input and Output'!E$27:E$32))*K789))</f>
        <v>#N/A</v>
      </c>
      <c r="H790" s="49">
        <f>IF(H$2="",NA(),C790*$B790+H789)</f>
        <v>324479.67160940007</v>
      </c>
      <c r="I790" s="49">
        <f>IF(I$2="",NA(),D790*$B790+I789)</f>
        <v>2973153.1771931383</v>
      </c>
      <c r="J790" s="49">
        <f>IF(J$2="",NA(),E790*$B790+J789)</f>
        <v>1381882.9711686478</v>
      </c>
      <c r="K790" s="49" t="e">
        <f>IF(K$2="",NA(),F790*$B790+K789)</f>
        <v>#N/A</v>
      </c>
    </row>
    <row r="791" spans="1:11" x14ac:dyDescent="0.4">
      <c r="A791" s="49">
        <v>788</v>
      </c>
      <c r="B791" s="49">
        <f>A791/$B$1</f>
        <v>32.833333333333336</v>
      </c>
      <c r="C791" s="49">
        <f>(('Input and Output'!B$23*'Input and Output'!$B$10)+('Input and Output'!B$24*Calculations!$C$5)+('Input and Output'!B$25*Calculations!$C$6)+('Input and Output'!B$26*(IF('Input and Output'!D$7="Detritus",Calculations!$C$4,G791))-(SUM('Input and Output'!B$27:B$32))*H790))</f>
        <v>1.0657649066274644E-3</v>
      </c>
      <c r="D791" s="49">
        <f>(('Input and Output'!C$23*'Input and Output'!$B$10)+('Input and Output'!C$24*Calculations!$C$5)+('Input and Output'!C$25*Calculations!$C$6)+('Input and Output'!C$26*(IF('Input and Output'!E$7="Detritus",Calculations!$C$4,H791))-(SUM('Input and Output'!C$27:C$32))*I790))</f>
        <v>8.9229314535259618E-3</v>
      </c>
      <c r="E791" s="49">
        <f>(('Input and Output'!D$23*'Input and Output'!$B$10)+('Input and Output'!D$24*Calculations!$C$5)+('Input and Output'!D$25*Calculations!$C$6)+('Input and Output'!D$26*(IF('Input and Output'!F$7="Detritus",Calculations!$C$4,I791))-(SUM('Input and Output'!D$27:D$32))*J790))</f>
        <v>3.8991304500086699E-3</v>
      </c>
      <c r="F791" s="49" t="e">
        <f>(('Input and Output'!E$23*'Input and Output'!$B$10)+('Input and Output'!E$24*Calculations!$C$5)+('Input and Output'!E$25*Calculations!$C$6)+('Input and Output'!E$26*(IF('Input and Output'!G$7="Detritus",Calculations!$C$4,J791))-(SUM('Input and Output'!E$27:E$32))*K790))</f>
        <v>#N/A</v>
      </c>
      <c r="H791" s="49">
        <f>IF(H$2="",NA(),C791*$B791+H790)</f>
        <v>324479.70660201448</v>
      </c>
      <c r="I791" s="49">
        <f>IF(I$2="",NA(),D791*$B791+I790)</f>
        <v>2973153.4701627209</v>
      </c>
      <c r="J791" s="49">
        <f>IF(J$2="",NA(),E791*$B791+J790)</f>
        <v>1381883.0991900975</v>
      </c>
      <c r="K791" s="49" t="e">
        <f>IF(K$2="",NA(),F791*$B791+K790)</f>
        <v>#N/A</v>
      </c>
    </row>
    <row r="792" spans="1:11" x14ac:dyDescent="0.4">
      <c r="A792" s="49">
        <v>789</v>
      </c>
      <c r="B792" s="49">
        <f>A792/$B$1</f>
        <v>32.875</v>
      </c>
      <c r="C792" s="49">
        <f>(('Input and Output'!B$23*'Input and Output'!$B$10)+('Input and Output'!B$24*Calculations!$C$5)+('Input and Output'!B$25*Calculations!$C$6)+('Input and Output'!B$26*(IF('Input and Output'!D$7="Detritus",Calculations!$C$4,G792))-(SUM('Input and Output'!B$27:B$32))*H791))</f>
        <v>1.0320280335918142E-3</v>
      </c>
      <c r="D792" s="49">
        <f>(('Input and Output'!C$23*'Input and Output'!$B$10)+('Input and Output'!C$24*Calculations!$C$5)+('Input and Output'!C$25*Calculations!$C$6)+('Input and Output'!C$26*(IF('Input and Output'!E$7="Detritus",Calculations!$C$4,H792))-(SUM('Input and Output'!C$27:C$32))*I791))</f>
        <v>8.6400964046333684E-3</v>
      </c>
      <c r="E792" s="49">
        <f>(('Input and Output'!D$23*'Input and Output'!$B$10)+('Input and Output'!D$24*Calculations!$C$5)+('Input and Output'!D$25*Calculations!$C$6)+('Input and Output'!D$26*(IF('Input and Output'!F$7="Detritus",Calculations!$C$4,I792))-(SUM('Input and Output'!D$27:D$32))*J791))</f>
        <v>3.7753746328235138E-3</v>
      </c>
      <c r="F792" s="49" t="e">
        <f>(('Input and Output'!E$23*'Input and Output'!$B$10)+('Input and Output'!E$24*Calculations!$C$5)+('Input and Output'!E$25*Calculations!$C$6)+('Input and Output'!E$26*(IF('Input and Output'!G$7="Detritus",Calculations!$C$4,J792))-(SUM('Input and Output'!E$27:E$32))*K791))</f>
        <v>#N/A</v>
      </c>
      <c r="H792" s="49">
        <f>IF(H$2="",NA(),C792*$B792+H791)</f>
        <v>324479.7405299361</v>
      </c>
      <c r="I792" s="49">
        <f>IF(I$2="",NA(),D792*$B792+I791)</f>
        <v>2973153.75420589</v>
      </c>
      <c r="J792" s="49">
        <f>IF(J$2="",NA(),E792*$B792+J791)</f>
        <v>1381883.2233055385</v>
      </c>
      <c r="K792" s="49" t="e">
        <f>IF(K$2="",NA(),F792*$B792+K791)</f>
        <v>#N/A</v>
      </c>
    </row>
    <row r="793" spans="1:11" x14ac:dyDescent="0.4">
      <c r="A793" s="49">
        <v>790</v>
      </c>
      <c r="B793" s="49">
        <f>A793/$B$1</f>
        <v>32.916666666666664</v>
      </c>
      <c r="C793" s="49">
        <f>(('Input and Output'!B$23*'Input and Output'!$B$10)+('Input and Output'!B$24*Calculations!$C$5)+('Input and Output'!B$25*Calculations!$C$6)+('Input and Output'!B$26*(IF('Input and Output'!D$7="Detritus",Calculations!$C$4,G793))-(SUM('Input and Output'!B$27:B$32))*H792))</f>
        <v>9.9931764589200611E-4</v>
      </c>
      <c r="D793" s="49">
        <f>(('Input and Output'!C$23*'Input and Output'!$B$10)+('Input and Output'!C$24*Calculations!$C$5)+('Input and Output'!C$25*Calculations!$C$6)+('Input and Output'!C$26*(IF('Input and Output'!E$7="Detritus",Calculations!$C$4,H793))-(SUM('Input and Output'!C$27:C$32))*I792))</f>
        <v>8.3658795010705944E-3</v>
      </c>
      <c r="E793" s="49">
        <f>(('Input and Output'!D$23*'Input and Output'!$B$10)+('Input and Output'!D$24*Calculations!$C$5)+('Input and Output'!D$25*Calculations!$C$6)+('Input and Output'!D$26*(IF('Input and Output'!F$7="Detritus",Calculations!$C$4,I793))-(SUM('Input and Output'!D$27:D$32))*J792))</f>
        <v>3.6553951540554408E-3</v>
      </c>
      <c r="F793" s="49" t="e">
        <f>(('Input and Output'!E$23*'Input and Output'!$B$10)+('Input and Output'!E$24*Calculations!$C$5)+('Input and Output'!E$25*Calculations!$C$6)+('Input and Output'!E$26*(IF('Input and Output'!G$7="Detritus",Calculations!$C$4,J793))-(SUM('Input and Output'!E$27:E$32))*K792))</f>
        <v>#N/A</v>
      </c>
      <c r="H793" s="49">
        <f>IF(H$2="",NA(),C793*$B793+H792)</f>
        <v>324479.77342414192</v>
      </c>
      <c r="I793" s="49">
        <f>IF(I$2="",NA(),D793*$B793+I792)</f>
        <v>2973154.029582757</v>
      </c>
      <c r="J793" s="49">
        <f>IF(J$2="",NA(),E793*$B793+J792)</f>
        <v>1381883.3436289623</v>
      </c>
      <c r="K793" s="49" t="e">
        <f>IF(K$2="",NA(),F793*$B793+K792)</f>
        <v>#N/A</v>
      </c>
    </row>
    <row r="794" spans="1:11" x14ac:dyDescent="0.4">
      <c r="A794" s="49">
        <v>791</v>
      </c>
      <c r="B794" s="49">
        <f>A794/$B$1</f>
        <v>32.958333333333336</v>
      </c>
      <c r="C794" s="49">
        <f>(('Input and Output'!B$23*'Input and Output'!$B$10)+('Input and Output'!B$24*Calculations!$C$5)+('Input and Output'!B$25*Calculations!$C$6)+('Input and Output'!B$26*(IF('Input and Output'!D$7="Detritus",Calculations!$C$4,G794))-(SUM('Input and Output'!B$27:B$32))*H793))</f>
        <v>9.67603878166301E-4</v>
      </c>
      <c r="D794" s="49">
        <f>(('Input and Output'!C$23*'Input and Output'!$B$10)+('Input and Output'!C$24*Calculations!$C$5)+('Input and Output'!C$25*Calculations!$C$6)+('Input and Output'!C$26*(IF('Input and Output'!E$7="Detritus",Calculations!$C$4,H794))-(SUM('Input and Output'!C$27:C$32))*I793))</f>
        <v>8.1000295976991765E-3</v>
      </c>
      <c r="E794" s="49">
        <f>(('Input and Output'!D$23*'Input and Output'!$B$10)+('Input and Output'!D$24*Calculations!$C$5)+('Input and Output'!D$25*Calculations!$C$6)+('Input and Output'!D$26*(IF('Input and Output'!F$7="Detritus",Calculations!$C$4,I794))-(SUM('Input and Output'!D$27:D$32))*J793))</f>
        <v>3.5390817538427655E-3</v>
      </c>
      <c r="F794" s="49" t="e">
        <f>(('Input and Output'!E$23*'Input and Output'!$B$10)+('Input and Output'!E$24*Calculations!$C$5)+('Input and Output'!E$25*Calculations!$C$6)+('Input and Output'!E$26*(IF('Input and Output'!G$7="Detritus",Calculations!$C$4,J794))-(SUM('Input and Output'!E$27:E$32))*K793))</f>
        <v>#N/A</v>
      </c>
      <c r="H794" s="49">
        <f>IF(H$2="",NA(),C794*$B794+H793)</f>
        <v>324479.80531475309</v>
      </c>
      <c r="I794" s="49">
        <f>IF(I$2="",NA(),D794*$B794+I793)</f>
        <v>2973154.2965462324</v>
      </c>
      <c r="J794" s="49">
        <f>IF(J$2="",NA(),E794*$B794+J793)</f>
        <v>1381883.4602711985</v>
      </c>
      <c r="K794" s="49" t="e">
        <f>IF(K$2="",NA(),F794*$B794+K793)</f>
        <v>#N/A</v>
      </c>
    </row>
    <row r="795" spans="1:11" x14ac:dyDescent="0.4">
      <c r="A795" s="49">
        <v>792</v>
      </c>
      <c r="B795" s="49">
        <f>A795/$B$1</f>
        <v>33</v>
      </c>
      <c r="C795" s="49">
        <f>(('Input and Output'!B$23*'Input and Output'!$B$10)+('Input and Output'!B$24*Calculations!$C$5)+('Input and Output'!B$25*Calculations!$C$6)+('Input and Output'!B$26*(IF('Input and Output'!D$7="Detritus",Calculations!$C$4,G795))-(SUM('Input and Output'!B$27:B$32))*H794))</f>
        <v>9.368576901920278E-4</v>
      </c>
      <c r="D795" s="49">
        <f>(('Input and Output'!C$23*'Input and Output'!$B$10)+('Input and Output'!C$24*Calculations!$C$5)+('Input and Output'!C$25*Calculations!$C$6)+('Input and Output'!C$26*(IF('Input and Output'!E$7="Detritus",Calculations!$C$4,H795))-(SUM('Input and Output'!C$27:C$32))*I794))</f>
        <v>7.8423025024676463E-3</v>
      </c>
      <c r="E795" s="49">
        <f>(('Input and Output'!D$23*'Input and Output'!$B$10)+('Input and Output'!D$24*Calculations!$C$5)+('Input and Output'!D$25*Calculations!$C$6)+('Input and Output'!D$26*(IF('Input and Output'!F$7="Detritus",Calculations!$C$4,I795))-(SUM('Input and Output'!D$27:D$32))*J794))</f>
        <v>3.4263272282260004E-3</v>
      </c>
      <c r="F795" s="49" t="e">
        <f>(('Input and Output'!E$23*'Input and Output'!$B$10)+('Input and Output'!E$24*Calculations!$C$5)+('Input and Output'!E$25*Calculations!$C$6)+('Input and Output'!E$26*(IF('Input and Output'!G$7="Detritus",Calculations!$C$4,J795))-(SUM('Input and Output'!E$27:E$32))*K794))</f>
        <v>#N/A</v>
      </c>
      <c r="H795" s="49">
        <f>IF(H$2="",NA(),C795*$B795+H794)</f>
        <v>324479.83623105689</v>
      </c>
      <c r="I795" s="49">
        <f>IF(I$2="",NA(),D795*$B795+I794)</f>
        <v>2973154.5553422151</v>
      </c>
      <c r="J795" s="49">
        <f>IF(J$2="",NA(),E795*$B795+J794)</f>
        <v>1381883.5733399971</v>
      </c>
      <c r="K795" s="49" t="e">
        <f>IF(K$2="",NA(),F795*$B795+K794)</f>
        <v>#N/A</v>
      </c>
    </row>
    <row r="796" spans="1:11" x14ac:dyDescent="0.4">
      <c r="A796" s="49">
        <v>793</v>
      </c>
      <c r="B796" s="49">
        <f>A796/$B$1</f>
        <v>33.041666666666664</v>
      </c>
      <c r="C796" s="49">
        <f>(('Input and Output'!B$23*'Input and Output'!$B$10)+('Input and Output'!B$24*Calculations!$C$5)+('Input and Output'!B$25*Calculations!$C$6)+('Input and Output'!B$26*(IF('Input and Output'!D$7="Detritus",Calculations!$C$4,G796))-(SUM('Input and Output'!B$27:B$32))*H795))</f>
        <v>9.0705084568298844E-4</v>
      </c>
      <c r="D796" s="49">
        <f>(('Input and Output'!C$23*'Input and Output'!$B$10)+('Input and Output'!C$24*Calculations!$C$5)+('Input and Output'!C$25*Calculations!$C$6)+('Input and Output'!C$26*(IF('Input and Output'!E$7="Detritus",Calculations!$C$4,H796))-(SUM('Input and Output'!C$27:C$32))*I795))</f>
        <v>7.5924607890556217E-3</v>
      </c>
      <c r="E796" s="49">
        <f>(('Input and Output'!D$23*'Input and Output'!$B$10)+('Input and Output'!D$24*Calculations!$C$5)+('Input and Output'!D$25*Calculations!$C$6)+('Input and Output'!D$26*(IF('Input and Output'!F$7="Detritus",Calculations!$C$4,I796))-(SUM('Input and Output'!D$27:D$32))*J795))</f>
        <v>3.3170275164593477E-3</v>
      </c>
      <c r="F796" s="49" t="e">
        <f>(('Input and Output'!E$23*'Input and Output'!$B$10)+('Input and Output'!E$24*Calculations!$C$5)+('Input and Output'!E$25*Calculations!$C$6)+('Input and Output'!E$26*(IF('Input and Output'!G$7="Detritus",Calculations!$C$4,J796))-(SUM('Input and Output'!E$27:E$32))*K795))</f>
        <v>#N/A</v>
      </c>
      <c r="H796" s="49">
        <f>IF(H$2="",NA(),C796*$B796+H795)</f>
        <v>324479.86620152858</v>
      </c>
      <c r="I796" s="49">
        <f>IF(I$2="",NA(),D796*$B796+I795)</f>
        <v>2973154.8062097738</v>
      </c>
      <c r="J796" s="49">
        <f>IF(J$2="",NA(),E796*$B796+J795)</f>
        <v>1381883.6829401145</v>
      </c>
      <c r="K796" s="49" t="e">
        <f>IF(K$2="",NA(),F796*$B796+K795)</f>
        <v>#N/A</v>
      </c>
    </row>
    <row r="797" spans="1:11" x14ac:dyDescent="0.4">
      <c r="A797" s="49">
        <v>794</v>
      </c>
      <c r="B797" s="49">
        <f>A797/$B$1</f>
        <v>33.083333333333336</v>
      </c>
      <c r="C797" s="49">
        <f>(('Input and Output'!B$23*'Input and Output'!$B$10)+('Input and Output'!B$24*Calculations!$C$5)+('Input and Output'!B$25*Calculations!$C$6)+('Input and Output'!B$26*(IF('Input and Output'!D$7="Detritus",Calculations!$C$4,G797))-(SUM('Input and Output'!B$27:B$32))*H796))</f>
        <v>8.781558912573928E-4</v>
      </c>
      <c r="D797" s="49">
        <f>(('Input and Output'!C$23*'Input and Output'!$B$10)+('Input and Output'!C$24*Calculations!$C$5)+('Input and Output'!C$25*Calculations!$C$6)+('Input and Output'!C$26*(IF('Input and Output'!E$7="Detritus",Calculations!$C$4,H797))-(SUM('Input and Output'!C$27:C$32))*I796))</f>
        <v>7.3502736322552664E-3</v>
      </c>
      <c r="E797" s="49">
        <f>(('Input and Output'!D$23*'Input and Output'!$B$10)+('Input and Output'!D$24*Calculations!$C$5)+('Input and Output'!D$25*Calculations!$C$6)+('Input and Output'!D$26*(IF('Input and Output'!F$7="Detritus",Calculations!$C$4,I797))-(SUM('Input and Output'!D$27:D$32))*J796))</f>
        <v>3.2110811771417502E-3</v>
      </c>
      <c r="F797" s="49" t="e">
        <f>(('Input and Output'!E$23*'Input and Output'!$B$10)+('Input and Output'!E$24*Calculations!$C$5)+('Input and Output'!E$25*Calculations!$C$6)+('Input and Output'!E$26*(IF('Input and Output'!G$7="Detritus",Calculations!$C$4,J797))-(SUM('Input and Output'!E$27:E$32))*K796))</f>
        <v>#N/A</v>
      </c>
      <c r="H797" s="49">
        <f>IF(H$2="",NA(),C797*$B797+H796)</f>
        <v>324479.89525385265</v>
      </c>
      <c r="I797" s="49">
        <f>IF(I$2="",NA(),D797*$B797+I796)</f>
        <v>2973155.0493813264</v>
      </c>
      <c r="J797" s="49">
        <f>IF(J$2="",NA(),E797*$B797+J796)</f>
        <v>1381883.7891733835</v>
      </c>
      <c r="K797" s="49" t="e">
        <f>IF(K$2="",NA(),F797*$B797+K796)</f>
        <v>#N/A</v>
      </c>
    </row>
    <row r="798" spans="1:11" x14ac:dyDescent="0.4">
      <c r="A798" s="49">
        <v>795</v>
      </c>
      <c r="B798" s="49">
        <f>A798/$B$1</f>
        <v>33.125</v>
      </c>
      <c r="C798" s="49">
        <f>(('Input and Output'!B$23*'Input and Output'!$B$10)+('Input and Output'!B$24*Calculations!$C$5)+('Input and Output'!B$25*Calculations!$C$6)+('Input and Output'!B$26*(IF('Input and Output'!D$7="Detritus",Calculations!$C$4,G798))-(SUM('Input and Output'!B$27:B$32))*H797))</f>
        <v>8.5014613591738453E-4</v>
      </c>
      <c r="D798" s="49">
        <f>(('Input and Output'!C$23*'Input and Output'!$B$10)+('Input and Output'!C$24*Calculations!$C$5)+('Input and Output'!C$25*Calculations!$C$6)+('Input and Output'!C$26*(IF('Input and Output'!E$7="Detritus",Calculations!$C$4,H798))-(SUM('Input and Output'!C$27:C$32))*I797))</f>
        <v>7.1155166233438649E-3</v>
      </c>
      <c r="E798" s="49">
        <f>(('Input and Output'!D$23*'Input and Output'!$B$10)+('Input and Output'!D$24*Calculations!$C$5)+('Input and Output'!D$25*Calculations!$C$6)+('Input and Output'!D$26*(IF('Input and Output'!F$7="Detritus",Calculations!$C$4,I798))-(SUM('Input and Output'!D$27:D$32))*J797))</f>
        <v>3.1083898538781796E-3</v>
      </c>
      <c r="F798" s="49" t="e">
        <f>(('Input and Output'!E$23*'Input and Output'!$B$10)+('Input and Output'!E$24*Calculations!$C$5)+('Input and Output'!E$25*Calculations!$C$6)+('Input and Output'!E$26*(IF('Input and Output'!G$7="Detritus",Calculations!$C$4,J798))-(SUM('Input and Output'!E$27:E$32))*K797))</f>
        <v>#N/A</v>
      </c>
      <c r="H798" s="49">
        <f>IF(H$2="",NA(),C798*$B798+H797)</f>
        <v>324479.92341494339</v>
      </c>
      <c r="I798" s="49">
        <f>IF(I$2="",NA(),D798*$B798+I797)</f>
        <v>2973155.2850828147</v>
      </c>
      <c r="J798" s="49">
        <f>IF(J$2="",NA(),E798*$B798+J797)</f>
        <v>1381883.8921387973</v>
      </c>
      <c r="K798" s="49" t="e">
        <f>IF(K$2="",NA(),F798*$B798+K797)</f>
        <v>#N/A</v>
      </c>
    </row>
    <row r="799" spans="1:11" x14ac:dyDescent="0.4">
      <c r="A799" s="49">
        <v>796</v>
      </c>
      <c r="B799" s="49">
        <f>A799/$B$1</f>
        <v>33.166666666666664</v>
      </c>
      <c r="C799" s="49">
        <f>(('Input and Output'!B$23*'Input and Output'!$B$10)+('Input and Output'!B$24*Calculations!$C$5)+('Input and Output'!B$25*Calculations!$C$6)+('Input and Output'!B$26*(IF('Input and Output'!D$7="Detritus",Calculations!$C$4,G799))-(SUM('Input and Output'!B$27:B$32))*H798))</f>
        <v>8.2299563121068786E-4</v>
      </c>
      <c r="D799" s="49">
        <f>(('Input and Output'!C$23*'Input and Output'!$B$10)+('Input and Output'!C$24*Calculations!$C$5)+('Input and Output'!C$25*Calculations!$C$6)+('Input and Output'!C$26*(IF('Input and Output'!E$7="Detritus",Calculations!$C$4,H799))-(SUM('Input and Output'!C$27:C$32))*I798))</f>
        <v>6.8879716163792182E-3</v>
      </c>
      <c r="E799" s="49">
        <f>(('Input and Output'!D$23*'Input and Output'!$B$10)+('Input and Output'!D$24*Calculations!$C$5)+('Input and Output'!D$25*Calculations!$C$6)+('Input and Output'!D$26*(IF('Input and Output'!F$7="Detritus",Calculations!$C$4,I799))-(SUM('Input and Output'!D$27:D$32))*J798))</f>
        <v>3.008857795066433E-3</v>
      </c>
      <c r="F799" s="49" t="e">
        <f>(('Input and Output'!E$23*'Input and Output'!$B$10)+('Input and Output'!E$24*Calculations!$C$5)+('Input and Output'!E$25*Calculations!$C$6)+('Input and Output'!E$26*(IF('Input and Output'!G$7="Detritus",Calculations!$C$4,J799))-(SUM('Input and Output'!E$27:E$32))*K798))</f>
        <v>#N/A</v>
      </c>
      <c r="H799" s="49">
        <f>IF(H$2="",NA(),C799*$B799+H798)</f>
        <v>324479.95071096515</v>
      </c>
      <c r="I799" s="49">
        <f>IF(I$2="",NA(),D799*$B799+I798)</f>
        <v>2973155.5135338735</v>
      </c>
      <c r="J799" s="49">
        <f>IF(J$2="",NA(),E799*$B799+J798)</f>
        <v>1381883.9919325809</v>
      </c>
      <c r="K799" s="49" t="e">
        <f>IF(K$2="",NA(),F799*$B799+K798)</f>
        <v>#N/A</v>
      </c>
    </row>
    <row r="800" spans="1:11" x14ac:dyDescent="0.4">
      <c r="A800" s="49">
        <v>797</v>
      </c>
      <c r="B800" s="49">
        <f>A800/$B$1</f>
        <v>33.208333333333336</v>
      </c>
      <c r="C800" s="49">
        <f>(('Input and Output'!B$23*'Input and Output'!$B$10)+('Input and Output'!B$24*Calculations!$C$5)+('Input and Output'!B$25*Calculations!$C$6)+('Input and Output'!B$26*(IF('Input and Output'!D$7="Detritus",Calculations!$C$4,G800))-(SUM('Input and Output'!B$27:B$32))*H799))</f>
        <v>7.9667915167647152E-4</v>
      </c>
      <c r="D800" s="49">
        <f>(('Input and Output'!C$23*'Input and Output'!$B$10)+('Input and Output'!C$24*Calculations!$C$5)+('Input and Output'!C$25*Calculations!$C$6)+('Input and Output'!C$26*(IF('Input and Output'!E$7="Detritus",Calculations!$C$4,H800))-(SUM('Input and Output'!C$27:C$32))*I799))</f>
        <v>6.6674265444817138E-3</v>
      </c>
      <c r="E800" s="49">
        <f>(('Input and Output'!D$23*'Input and Output'!$B$10)+('Input and Output'!D$24*Calculations!$C$5)+('Input and Output'!D$25*Calculations!$C$6)+('Input and Output'!D$26*(IF('Input and Output'!F$7="Detritus",Calculations!$C$4,I800))-(SUM('Input and Output'!D$27:D$32))*J799))</f>
        <v>2.9123918975528795E-3</v>
      </c>
      <c r="F800" s="49" t="e">
        <f>(('Input and Output'!E$23*'Input and Output'!$B$10)+('Input and Output'!E$24*Calculations!$C$5)+('Input and Output'!E$25*Calculations!$C$6)+('Input and Output'!E$26*(IF('Input and Output'!G$7="Detritus",Calculations!$C$4,J800))-(SUM('Input and Output'!E$27:E$32))*K799))</f>
        <v>#N/A</v>
      </c>
      <c r="H800" s="49">
        <f>IF(H$2="",NA(),C800*$B800+H799)</f>
        <v>324479.97716735199</v>
      </c>
      <c r="I800" s="49">
        <f>IF(I$2="",NA(),D800*$B800+I799)</f>
        <v>2973155.7349479967</v>
      </c>
      <c r="J800" s="49">
        <f>IF(J$2="",NA(),E800*$B800+J799)</f>
        <v>1381884.088648262</v>
      </c>
      <c r="K800" s="49" t="e">
        <f>IF(K$2="",NA(),F800*$B800+K799)</f>
        <v>#N/A</v>
      </c>
    </row>
    <row r="801" spans="1:11" x14ac:dyDescent="0.4">
      <c r="A801" s="49">
        <v>798</v>
      </c>
      <c r="B801" s="49">
        <f>A801/$B$1</f>
        <v>33.25</v>
      </c>
      <c r="C801" s="49">
        <f>(('Input and Output'!B$23*'Input and Output'!$B$10)+('Input and Output'!B$24*Calculations!$C$5)+('Input and Output'!B$25*Calculations!$C$6)+('Input and Output'!B$26*(IF('Input and Output'!D$7="Detritus",Calculations!$C$4,G801))-(SUM('Input and Output'!B$27:B$32))*H800))</f>
        <v>7.7117217603017707E-4</v>
      </c>
      <c r="D801" s="49">
        <f>(('Input and Output'!C$23*'Input and Output'!$B$10)+('Input and Output'!C$24*Calculations!$C$5)+('Input and Output'!C$25*Calculations!$C$6)+('Input and Output'!C$26*(IF('Input and Output'!E$7="Detritus",Calculations!$C$4,H801))-(SUM('Input and Output'!C$27:C$32))*I800))</f>
        <v>6.4536752779531525E-3</v>
      </c>
      <c r="E801" s="49">
        <f>(('Input and Output'!D$23*'Input and Output'!$B$10)+('Input and Output'!D$24*Calculations!$C$5)+('Input and Output'!D$25*Calculations!$C$6)+('Input and Output'!D$26*(IF('Input and Output'!F$7="Detritus",Calculations!$C$4,I801))-(SUM('Input and Output'!D$27:D$32))*J800))</f>
        <v>2.8189018812554423E-3</v>
      </c>
      <c r="F801" s="49" t="e">
        <f>(('Input and Output'!E$23*'Input and Output'!$B$10)+('Input and Output'!E$24*Calculations!$C$5)+('Input and Output'!E$25*Calculations!$C$6)+('Input and Output'!E$26*(IF('Input and Output'!G$7="Detritus",Calculations!$C$4,J801))-(SUM('Input and Output'!E$27:E$32))*K800))</f>
        <v>#N/A</v>
      </c>
      <c r="H801" s="49">
        <f>IF(H$2="",NA(),C801*$B801+H800)</f>
        <v>324480.00280882686</v>
      </c>
      <c r="I801" s="49">
        <f>IF(I$2="",NA(),D801*$B801+I800)</f>
        <v>2973155.9495326998</v>
      </c>
      <c r="J801" s="49">
        <f>IF(J$2="",NA(),E801*$B801+J800)</f>
        <v>1381884.1823767496</v>
      </c>
      <c r="K801" s="49" t="e">
        <f>IF(K$2="",NA(),F801*$B801+K800)</f>
        <v>#N/A</v>
      </c>
    </row>
    <row r="802" spans="1:11" x14ac:dyDescent="0.4">
      <c r="A802" s="49">
        <v>799</v>
      </c>
      <c r="B802" s="49">
        <f>A802/$B$1</f>
        <v>33.291666666666664</v>
      </c>
      <c r="C802" s="49">
        <f>(('Input and Output'!B$23*'Input and Output'!$B$10)+('Input and Output'!B$24*Calculations!$C$5)+('Input and Output'!B$25*Calculations!$C$6)+('Input and Output'!B$26*(IF('Input and Output'!D$7="Detritus",Calculations!$C$4,G802))-(SUM('Input and Output'!B$27:B$32))*H801))</f>
        <v>7.4645086846203412E-4</v>
      </c>
      <c r="D802" s="49">
        <f>(('Input and Output'!C$23*'Input and Output'!$B$10)+('Input and Output'!C$24*Calculations!$C$5)+('Input and Output'!C$25*Calculations!$C$6)+('Input and Output'!C$26*(IF('Input and Output'!E$7="Detritus",Calculations!$C$4,H802))-(SUM('Input and Output'!C$27:C$32))*I801))</f>
        <v>6.2465174560202286E-3</v>
      </c>
      <c r="E802" s="49">
        <f>(('Input and Output'!D$23*'Input and Output'!$B$10)+('Input and Output'!D$24*Calculations!$C$5)+('Input and Output'!D$25*Calculations!$C$6)+('Input and Output'!D$26*(IF('Input and Output'!F$7="Detritus",Calculations!$C$4,I802))-(SUM('Input and Output'!D$27:D$32))*J801))</f>
        <v>2.7282997070869897E-3</v>
      </c>
      <c r="F802" s="49" t="e">
        <f>(('Input and Output'!E$23*'Input and Output'!$B$10)+('Input and Output'!E$24*Calculations!$C$5)+('Input and Output'!E$25*Calculations!$C$6)+('Input and Output'!E$26*(IF('Input and Output'!G$7="Detritus",Calculations!$C$4,J802))-(SUM('Input and Output'!E$27:E$32))*K801))</f>
        <v>#N/A</v>
      </c>
      <c r="H802" s="49">
        <f>IF(H$2="",NA(),C802*$B802+H801)</f>
        <v>324480.02765942033</v>
      </c>
      <c r="I802" s="49">
        <f>IF(I$2="",NA(),D802*$B802+I801)</f>
        <v>2973156.157489677</v>
      </c>
      <c r="J802" s="49">
        <f>IF(J$2="",NA(),E802*$B802+J801)</f>
        <v>1381884.2732063939</v>
      </c>
      <c r="K802" s="49" t="e">
        <f>IF(K$2="",NA(),F802*$B802+K801)</f>
        <v>#N/A</v>
      </c>
    </row>
    <row r="803" spans="1:11" x14ac:dyDescent="0.4">
      <c r="A803" s="49">
        <v>800</v>
      </c>
      <c r="B803" s="49">
        <f>A803/$B$1</f>
        <v>33.333333333333336</v>
      </c>
      <c r="C803" s="49">
        <f>(('Input and Output'!B$23*'Input and Output'!$B$10)+('Input and Output'!B$24*Calculations!$C$5)+('Input and Output'!B$25*Calculations!$C$6)+('Input and Output'!B$26*(IF('Input and Output'!D$7="Detritus",Calculations!$C$4,G803))-(SUM('Input and Output'!B$27:B$32))*H802))</f>
        <v>7.2249206084507023E-4</v>
      </c>
      <c r="D803" s="49">
        <f>(('Input and Output'!C$23*'Input and Output'!$B$10)+('Input and Output'!C$24*Calculations!$C$5)+('Input and Output'!C$25*Calculations!$C$6)+('Input and Output'!C$26*(IF('Input and Output'!E$7="Detritus",Calculations!$C$4,H803))-(SUM('Input and Output'!C$27:C$32))*I802))</f>
        <v>6.045758341315377E-3</v>
      </c>
      <c r="E803" s="49">
        <f>(('Input and Output'!D$23*'Input and Output'!$B$10)+('Input and Output'!D$24*Calculations!$C$5)+('Input and Output'!D$25*Calculations!$C$6)+('Input and Output'!D$26*(IF('Input and Output'!F$7="Detritus",Calculations!$C$4,I803))-(SUM('Input and Output'!D$27:D$32))*J802))</f>
        <v>2.6404999989608768E-3</v>
      </c>
      <c r="F803" s="49" t="e">
        <f>(('Input and Output'!E$23*'Input and Output'!$B$10)+('Input and Output'!E$24*Calculations!$C$5)+('Input and Output'!E$25*Calculations!$C$6)+('Input and Output'!E$26*(IF('Input and Output'!G$7="Detritus",Calculations!$C$4,J803))-(SUM('Input and Output'!E$27:E$32))*K802))</f>
        <v>#N/A</v>
      </c>
      <c r="H803" s="49">
        <f>IF(H$2="",NA(),C803*$B803+H802)</f>
        <v>324480.05174248904</v>
      </c>
      <c r="I803" s="49">
        <f>IF(I$2="",NA(),D803*$B803+I802)</f>
        <v>2973156.3590149549</v>
      </c>
      <c r="J803" s="49">
        <f>IF(J$2="",NA(),E803*$B803+J802)</f>
        <v>1381884.3612230606</v>
      </c>
      <c r="K803" s="49" t="e">
        <f>IF(K$2="",NA(),F803*$B803+K802)</f>
        <v>#N/A</v>
      </c>
    </row>
    <row r="804" spans="1:11" x14ac:dyDescent="0.4">
      <c r="A804" s="49">
        <v>801</v>
      </c>
      <c r="B804" s="49">
        <f>A804/$B$1</f>
        <v>33.375</v>
      </c>
      <c r="C804" s="49">
        <f>(('Input and Output'!B$23*'Input and Output'!$B$10)+('Input and Output'!B$24*Calculations!$C$5)+('Input and Output'!B$25*Calculations!$C$6)+('Input and Output'!B$26*(IF('Input and Output'!D$7="Detritus",Calculations!$C$4,G804))-(SUM('Input and Output'!B$27:B$32))*H803))</f>
        <v>6.9927323465890368E-4</v>
      </c>
      <c r="D804" s="49">
        <f>(('Input and Output'!C$23*'Input and Output'!$B$10)+('Input and Output'!C$24*Calculations!$C$5)+('Input and Output'!C$25*Calculations!$C$6)+('Input and Output'!C$26*(IF('Input and Output'!E$7="Detritus",Calculations!$C$4,H804))-(SUM('Input and Output'!C$27:C$32))*I803))</f>
        <v>5.8512086652626749E-3</v>
      </c>
      <c r="E804" s="49">
        <f>(('Input and Output'!D$23*'Input and Output'!$B$10)+('Input and Output'!D$24*Calculations!$C$5)+('Input and Output'!D$25*Calculations!$C$6)+('Input and Output'!D$26*(IF('Input and Output'!F$7="Detritus",Calculations!$C$4,I804))-(SUM('Input and Output'!D$27:D$32))*J803))</f>
        <v>2.555419738200726E-3</v>
      </c>
      <c r="F804" s="49" t="e">
        <f>(('Input and Output'!E$23*'Input and Output'!$B$10)+('Input and Output'!E$24*Calculations!$C$5)+('Input and Output'!E$25*Calculations!$C$6)+('Input and Output'!E$26*(IF('Input and Output'!G$7="Detritus",Calculations!$C$4,J804))-(SUM('Input and Output'!E$27:E$32))*K803))</f>
        <v>#N/A</v>
      </c>
      <c r="H804" s="49">
        <f>IF(H$2="",NA(),C804*$B804+H803)</f>
        <v>324480.07508073322</v>
      </c>
      <c r="I804" s="49">
        <f>IF(I$2="",NA(),D804*$B804+I803)</f>
        <v>2973156.554299044</v>
      </c>
      <c r="J804" s="49">
        <f>IF(J$2="",NA(),E804*$B804+J803)</f>
        <v>1381884.4465101943</v>
      </c>
      <c r="K804" s="49" t="e">
        <f>IF(K$2="",NA(),F804*$B804+K803)</f>
        <v>#N/A</v>
      </c>
    </row>
    <row r="805" spans="1:11" x14ac:dyDescent="0.4">
      <c r="A805" s="49">
        <v>802</v>
      </c>
      <c r="B805" s="49">
        <f>A805/$B$1</f>
        <v>33.416666666666664</v>
      </c>
      <c r="C805" s="49">
        <f>(('Input and Output'!B$23*'Input and Output'!$B$10)+('Input and Output'!B$24*Calculations!$C$5)+('Input and Output'!B$25*Calculations!$C$6)+('Input and Output'!B$26*(IF('Input and Output'!D$7="Detritus",Calculations!$C$4,G805))-(SUM('Input and Output'!B$27:B$32))*H804))</f>
        <v>6.7677250433462177E-4</v>
      </c>
      <c r="D805" s="49">
        <f>(('Input and Output'!C$23*'Input and Output'!$B$10)+('Input and Output'!C$24*Calculations!$C$5)+('Input and Output'!C$25*Calculations!$C$6)+('Input and Output'!C$26*(IF('Input and Output'!E$7="Detritus",Calculations!$C$4,H805))-(SUM('Input and Output'!C$27:C$32))*I804))</f>
        <v>5.6626844916536356E-3</v>
      </c>
      <c r="E805" s="49">
        <f>(('Input and Output'!D$23*'Input and Output'!$B$10)+('Input and Output'!D$24*Calculations!$C$5)+('Input and Output'!D$25*Calculations!$C$6)+('Input and Output'!D$26*(IF('Input and Output'!F$7="Detritus",Calculations!$C$4,I805))-(SUM('Input and Output'!D$27:D$32))*J804))</f>
        <v>2.4729782780923415E-3</v>
      </c>
      <c r="F805" s="49" t="e">
        <f>(('Input and Output'!E$23*'Input and Output'!$B$10)+('Input and Output'!E$24*Calculations!$C$5)+('Input and Output'!E$25*Calculations!$C$6)+('Input and Output'!E$26*(IF('Input and Output'!G$7="Detritus",Calculations!$C$4,J805))-(SUM('Input and Output'!E$27:E$32))*K804))</f>
        <v>#N/A</v>
      </c>
      <c r="H805" s="49">
        <f>IF(H$2="",NA(),C805*$B805+H804)</f>
        <v>324480.09769621439</v>
      </c>
      <c r="I805" s="49">
        <f>IF(I$2="",NA(),D805*$B805+I804)</f>
        <v>2973156.7435270841</v>
      </c>
      <c r="J805" s="49">
        <f>IF(J$2="",NA(),E805*$B805+J804)</f>
        <v>1381884.529148885</v>
      </c>
      <c r="K805" s="49" t="e">
        <f>IF(K$2="",NA(),F805*$B805+K804)</f>
        <v>#N/A</v>
      </c>
    </row>
    <row r="806" spans="1:11" x14ac:dyDescent="0.4">
      <c r="A806" s="49">
        <v>803</v>
      </c>
      <c r="B806" s="49">
        <f>A806/$B$1</f>
        <v>33.458333333333336</v>
      </c>
      <c r="C806" s="49">
        <f>(('Input and Output'!B$23*'Input and Output'!$B$10)+('Input and Output'!B$24*Calculations!$C$5)+('Input and Output'!B$25*Calculations!$C$6)+('Input and Output'!B$26*(IF('Input and Output'!D$7="Detritus",Calculations!$C$4,G806))-(SUM('Input and Output'!B$27:B$32))*H805))</f>
        <v>6.549685999743815E-4</v>
      </c>
      <c r="D806" s="49">
        <f>(('Input and Output'!C$23*'Input and Output'!$B$10)+('Input and Output'!C$24*Calculations!$C$5)+('Input and Output'!C$25*Calculations!$C$6)+('Input and Output'!C$26*(IF('Input and Output'!E$7="Detritus",Calculations!$C$4,H806))-(SUM('Input and Output'!C$27:C$32))*I805))</f>
        <v>5.4800070629426045E-3</v>
      </c>
      <c r="E806" s="49">
        <f>(('Input and Output'!D$23*'Input and Output'!$B$10)+('Input and Output'!D$24*Calculations!$C$5)+('Input and Output'!D$25*Calculations!$C$6)+('Input and Output'!D$26*(IF('Input and Output'!F$7="Detritus",Calculations!$C$4,I806))-(SUM('Input and Output'!D$27:D$32))*J805))</f>
        <v>2.3930971110530663E-3</v>
      </c>
      <c r="F806" s="49" t="e">
        <f>(('Input and Output'!E$23*'Input and Output'!$B$10)+('Input and Output'!E$24*Calculations!$C$5)+('Input and Output'!E$25*Calculations!$C$6)+('Input and Output'!E$26*(IF('Input and Output'!G$7="Detritus",Calculations!$C$4,J806))-(SUM('Input and Output'!E$27:E$32))*K805))</f>
        <v>#N/A</v>
      </c>
      <c r="H806" s="49">
        <f>IF(H$2="",NA(),C806*$B806+H805)</f>
        <v>324480.11961037212</v>
      </c>
      <c r="I806" s="49">
        <f>IF(I$2="",NA(),D806*$B806+I805)</f>
        <v>2973156.9268789869</v>
      </c>
      <c r="J806" s="49">
        <f>IF(J$2="",NA(),E806*$B806+J805)</f>
        <v>1381884.6092179259</v>
      </c>
      <c r="K806" s="49" t="e">
        <f>IF(K$2="",NA(),F806*$B806+K805)</f>
        <v>#N/A</v>
      </c>
    </row>
    <row r="807" spans="1:11" x14ac:dyDescent="0.4">
      <c r="A807" s="49">
        <v>804</v>
      </c>
      <c r="B807" s="49">
        <f>A807/$B$1</f>
        <v>33.5</v>
      </c>
      <c r="C807" s="49">
        <f>(('Input and Output'!B$23*'Input and Output'!$B$10)+('Input and Output'!B$24*Calculations!$C$5)+('Input and Output'!B$25*Calculations!$C$6)+('Input and Output'!B$26*(IF('Input and Output'!D$7="Detritus",Calculations!$C$4,G807))-(SUM('Input and Output'!B$27:B$32))*H806))</f>
        <v>6.3384085149209568E-4</v>
      </c>
      <c r="D807" s="49">
        <f>(('Input and Output'!C$23*'Input and Output'!$B$10)+('Input and Output'!C$24*Calculations!$C$5)+('Input and Output'!C$25*Calculations!$C$6)+('Input and Output'!C$26*(IF('Input and Output'!E$7="Detritus",Calculations!$C$4,H807))-(SUM('Input and Output'!C$27:C$32))*I806))</f>
        <v>5.3030026792839635E-3</v>
      </c>
      <c r="E807" s="49">
        <f>(('Input and Output'!D$23*'Input and Output'!$B$10)+('Input and Output'!D$24*Calculations!$C$5)+('Input and Output'!D$25*Calculations!$C$6)+('Input and Output'!D$26*(IF('Input and Output'!F$7="Detritus",Calculations!$C$4,I807))-(SUM('Input and Output'!D$27:D$32))*J806))</f>
        <v>2.315700188773917E-3</v>
      </c>
      <c r="F807" s="49" t="e">
        <f>(('Input and Output'!E$23*'Input and Output'!$B$10)+('Input and Output'!E$24*Calculations!$C$5)+('Input and Output'!E$25*Calculations!$C$6)+('Input and Output'!E$26*(IF('Input and Output'!G$7="Detritus",Calculations!$C$4,J807))-(SUM('Input and Output'!E$27:E$32))*K806))</f>
        <v>#N/A</v>
      </c>
      <c r="H807" s="49">
        <f>IF(H$2="",NA(),C807*$B807+H806)</f>
        <v>324480.14084404067</v>
      </c>
      <c r="I807" s="49">
        <f>IF(I$2="",NA(),D807*$B807+I806)</f>
        <v>2973157.1045295768</v>
      </c>
      <c r="J807" s="49">
        <f>IF(J$2="",NA(),E807*$B807+J806)</f>
        <v>1381884.6867938822</v>
      </c>
      <c r="K807" s="49" t="e">
        <f>IF(K$2="",NA(),F807*$B807+K806)</f>
        <v>#N/A</v>
      </c>
    </row>
    <row r="808" spans="1:11" x14ac:dyDescent="0.4">
      <c r="A808" s="49">
        <v>805</v>
      </c>
      <c r="B808" s="49">
        <f>A808/$B$1</f>
        <v>33.541666666666664</v>
      </c>
      <c r="C808" s="49">
        <f>(('Input and Output'!B$23*'Input and Output'!$B$10)+('Input and Output'!B$24*Calculations!$C$5)+('Input and Output'!B$25*Calculations!$C$6)+('Input and Output'!B$26*(IF('Input and Output'!D$7="Detritus",Calculations!$C$4,G808))-(SUM('Input and Output'!B$27:B$32))*H807))</f>
        <v>6.1336917218568487E-4</v>
      </c>
      <c r="D808" s="49">
        <f>(('Input and Output'!C$23*'Input and Output'!$B$10)+('Input and Output'!C$24*Calculations!$C$5)+('Input and Output'!C$25*Calculations!$C$6)+('Input and Output'!C$26*(IF('Input and Output'!E$7="Detritus",Calculations!$C$4,H808))-(SUM('Input and Output'!C$27:C$32))*I807))</f>
        <v>5.1315025420990423E-3</v>
      </c>
      <c r="E808" s="49">
        <f>(('Input and Output'!D$23*'Input and Output'!$B$10)+('Input and Output'!D$24*Calculations!$C$5)+('Input and Output'!D$25*Calculations!$C$6)+('Input and Output'!D$26*(IF('Input and Output'!F$7="Detritus",Calculations!$C$4,I808))-(SUM('Input and Output'!D$27:D$32))*J807))</f>
        <v>2.2407133837987203E-3</v>
      </c>
      <c r="F808" s="49" t="e">
        <f>(('Input and Output'!E$23*'Input and Output'!$B$10)+('Input and Output'!E$24*Calculations!$C$5)+('Input and Output'!E$25*Calculations!$C$6)+('Input and Output'!E$26*(IF('Input and Output'!G$7="Detritus",Calculations!$C$4,J808))-(SUM('Input and Output'!E$27:E$32))*K807))</f>
        <v>#N/A</v>
      </c>
      <c r="H808" s="49">
        <f>IF(H$2="",NA(),C808*$B808+H807)</f>
        <v>324480.16141746496</v>
      </c>
      <c r="I808" s="49">
        <f>IF(I$2="",NA(),D808*$B808+I807)</f>
        <v>2973157.2766487245</v>
      </c>
      <c r="J808" s="49">
        <f>IF(J$2="",NA(),E808*$B808+J807)</f>
        <v>1381884.7619511436</v>
      </c>
      <c r="K808" s="49" t="e">
        <f>IF(K$2="",NA(),F808*$B808+K807)</f>
        <v>#N/A</v>
      </c>
    </row>
    <row r="809" spans="1:11" x14ac:dyDescent="0.4">
      <c r="A809" s="49">
        <v>806</v>
      </c>
      <c r="B809" s="49">
        <f>A809/$B$1</f>
        <v>33.583333333333336</v>
      </c>
      <c r="C809" s="49">
        <f>(('Input and Output'!B$23*'Input and Output'!$B$10)+('Input and Output'!B$24*Calculations!$C$5)+('Input and Output'!B$25*Calculations!$C$6)+('Input and Output'!B$26*(IF('Input and Output'!D$7="Detritus",Calculations!$C$4,G809))-(SUM('Input and Output'!B$27:B$32))*H808))</f>
        <v>5.9353404367357143E-4</v>
      </c>
      <c r="D809" s="49">
        <f>(('Input and Output'!C$23*'Input and Output'!$B$10)+('Input and Output'!C$24*Calculations!$C$5)+('Input and Output'!C$25*Calculations!$C$6)+('Input and Output'!C$26*(IF('Input and Output'!E$7="Detritus",Calculations!$C$4,H809))-(SUM('Input and Output'!C$27:C$32))*I808))</f>
        <v>4.965342643117765E-3</v>
      </c>
      <c r="E809" s="49">
        <f>(('Input and Output'!D$23*'Input and Output'!$B$10)+('Input and Output'!D$24*Calculations!$C$5)+('Input and Output'!D$25*Calculations!$C$6)+('Input and Output'!D$26*(IF('Input and Output'!F$7="Detritus",Calculations!$C$4,I809))-(SUM('Input and Output'!D$27:D$32))*J808))</f>
        <v>2.1680647660105024E-3</v>
      </c>
      <c r="F809" s="49" t="e">
        <f>(('Input and Output'!E$23*'Input and Output'!$B$10)+('Input and Output'!E$24*Calculations!$C$5)+('Input and Output'!E$25*Calculations!$C$6)+('Input and Output'!E$26*(IF('Input and Output'!G$7="Detritus",Calculations!$C$4,J809))-(SUM('Input and Output'!E$27:E$32))*K808))</f>
        <v>#N/A</v>
      </c>
      <c r="H809" s="49">
        <f>IF(H$2="",NA(),C809*$B809+H808)</f>
        <v>324480.18135031662</v>
      </c>
      <c r="I809" s="49">
        <f>IF(I$2="",NA(),D809*$B809+I808)</f>
        <v>2973157.4434014815</v>
      </c>
      <c r="J809" s="49">
        <f>IF(J$2="",NA(),E809*$B809+J808)</f>
        <v>1381884.8347619853</v>
      </c>
      <c r="K809" s="49" t="e">
        <f>IF(K$2="",NA(),F809*$B809+K808)</f>
        <v>#N/A</v>
      </c>
    </row>
    <row r="810" spans="1:11" x14ac:dyDescent="0.4">
      <c r="A810" s="49">
        <v>807</v>
      </c>
      <c r="B810" s="49">
        <f>A810/$B$1</f>
        <v>33.625</v>
      </c>
      <c r="C810" s="49">
        <f>(('Input and Output'!B$23*'Input and Output'!$B$10)+('Input and Output'!B$24*Calculations!$C$5)+('Input and Output'!B$25*Calculations!$C$6)+('Input and Output'!B$26*(IF('Input and Output'!D$7="Detritus",Calculations!$C$4,G810))-(SUM('Input and Output'!B$27:B$32))*H809))</f>
        <v>5.7431650026273928E-4</v>
      </c>
      <c r="D810" s="49">
        <f>(('Input and Output'!C$23*'Input and Output'!$B$10)+('Input and Output'!C$24*Calculations!$C$5)+('Input and Output'!C$25*Calculations!$C$6)+('Input and Output'!C$26*(IF('Input and Output'!E$7="Detritus",Calculations!$C$4,H810))-(SUM('Input and Output'!C$27:C$32))*I809))</f>
        <v>4.8043636252259603E-3</v>
      </c>
      <c r="E810" s="49">
        <f>(('Input and Output'!D$23*'Input and Output'!$B$10)+('Input and Output'!D$24*Calculations!$C$5)+('Input and Output'!D$25*Calculations!$C$6)+('Input and Output'!D$26*(IF('Input and Output'!F$7="Detritus",Calculations!$C$4,I810))-(SUM('Input and Output'!D$27:D$32))*J809))</f>
        <v>2.0976846026314888E-3</v>
      </c>
      <c r="F810" s="49" t="e">
        <f>(('Input and Output'!E$23*'Input and Output'!$B$10)+('Input and Output'!E$24*Calculations!$C$5)+('Input and Output'!E$25*Calculations!$C$6)+('Input and Output'!E$26*(IF('Input and Output'!G$7="Detritus",Calculations!$C$4,J810))-(SUM('Input and Output'!E$27:E$32))*K809))</f>
        <v>#N/A</v>
      </c>
      <c r="H810" s="49">
        <f>IF(H$2="",NA(),C810*$B810+H809)</f>
        <v>324480.20066170895</v>
      </c>
      <c r="I810" s="49">
        <f>IF(I$2="",NA(),D810*$B810+I809)</f>
        <v>2973157.6049482082</v>
      </c>
      <c r="J810" s="49">
        <f>IF(J$2="",NA(),E810*$B810+J809)</f>
        <v>1381884.90529663</v>
      </c>
      <c r="K810" s="49" t="e">
        <f>IF(K$2="",NA(),F810*$B810+K809)</f>
        <v>#N/A</v>
      </c>
    </row>
    <row r="811" spans="1:11" x14ac:dyDescent="0.4">
      <c r="A811" s="49">
        <v>808</v>
      </c>
      <c r="B811" s="49">
        <f>A811/$B$1</f>
        <v>33.666666666666664</v>
      </c>
      <c r="C811" s="49">
        <f>(('Input and Output'!B$23*'Input and Output'!$B$10)+('Input and Output'!B$24*Calculations!$C$5)+('Input and Output'!B$25*Calculations!$C$6)+('Input and Output'!B$26*(IF('Input and Output'!D$7="Detritus",Calculations!$C$4,G811))-(SUM('Input and Output'!B$27:B$32))*H810))</f>
        <v>5.5569811456734897E-4</v>
      </c>
      <c r="D811" s="49">
        <f>(('Input and Output'!C$23*'Input and Output'!$B$10)+('Input and Output'!C$24*Calculations!$C$5)+('Input and Output'!C$25*Calculations!$C$6)+('Input and Output'!C$26*(IF('Input and Output'!E$7="Detritus",Calculations!$C$4,H811))-(SUM('Input and Output'!C$27:C$32))*I810))</f>
        <v>4.6484106615025667E-3</v>
      </c>
      <c r="E811" s="49">
        <f>(('Input and Output'!D$23*'Input and Output'!$B$10)+('Input and Output'!D$24*Calculations!$C$5)+('Input and Output'!D$25*Calculations!$C$6)+('Input and Output'!D$26*(IF('Input and Output'!F$7="Detritus",Calculations!$C$4,I811))-(SUM('Input and Output'!D$27:D$32))*J810))</f>
        <v>2.0295047615945805E-3</v>
      </c>
      <c r="F811" s="49" t="e">
        <f>(('Input and Output'!E$23*'Input and Output'!$B$10)+('Input and Output'!E$24*Calculations!$C$5)+('Input and Output'!E$25*Calculations!$C$6)+('Input and Output'!E$26*(IF('Input and Output'!G$7="Detritus",Calculations!$C$4,J811))-(SUM('Input and Output'!E$27:E$32))*K810))</f>
        <v>#N/A</v>
      </c>
      <c r="H811" s="49">
        <f>IF(H$2="",NA(),C811*$B811+H810)</f>
        <v>324480.21937021211</v>
      </c>
      <c r="I811" s="49">
        <f>IF(I$2="",NA(),D811*$B811+I810)</f>
        <v>2973157.7614447004</v>
      </c>
      <c r="J811" s="49">
        <f>IF(J$2="",NA(),E811*$B811+J810)</f>
        <v>1381884.9736232902</v>
      </c>
      <c r="K811" s="49" t="e">
        <f>IF(K$2="",NA(),F811*$B811+K810)</f>
        <v>#N/A</v>
      </c>
    </row>
    <row r="812" spans="1:11" x14ac:dyDescent="0.4">
      <c r="A812" s="49">
        <v>809</v>
      </c>
      <c r="B812" s="49">
        <f>A812/$B$1</f>
        <v>33.708333333333336</v>
      </c>
      <c r="C812" s="49">
        <f>(('Input and Output'!B$23*'Input and Output'!$B$10)+('Input and Output'!B$24*Calculations!$C$5)+('Input and Output'!B$25*Calculations!$C$6)+('Input and Output'!B$26*(IF('Input and Output'!D$7="Detritus",Calculations!$C$4,G812))-(SUM('Input and Output'!B$27:B$32))*H811))</f>
        <v>5.3766098284313557E-4</v>
      </c>
      <c r="D812" s="49">
        <f>(('Input and Output'!C$23*'Input and Output'!$B$10)+('Input and Output'!C$24*Calculations!$C$5)+('Input and Output'!C$25*Calculations!$C$6)+('Input and Output'!C$26*(IF('Input and Output'!E$7="Detritus",Calculations!$C$4,H812))-(SUM('Input and Output'!C$27:C$32))*I811))</f>
        <v>4.4973333324378473E-3</v>
      </c>
      <c r="E812" s="49">
        <f>(('Input and Output'!D$23*'Input and Output'!$B$10)+('Input and Output'!D$24*Calculations!$C$5)+('Input and Output'!D$25*Calculations!$C$6)+('Input and Output'!D$26*(IF('Input and Output'!F$7="Detritus",Calculations!$C$4,I812))-(SUM('Input and Output'!D$27:D$32))*J811))</f>
        <v>1.9634595264506061E-3</v>
      </c>
      <c r="F812" s="49" t="e">
        <f>(('Input and Output'!E$23*'Input and Output'!$B$10)+('Input and Output'!E$24*Calculations!$C$5)+('Input and Output'!E$25*Calculations!$C$6)+('Input and Output'!E$26*(IF('Input and Output'!G$7="Detritus",Calculations!$C$4,J812))-(SUM('Input and Output'!E$27:E$32))*K811))</f>
        <v>#N/A</v>
      </c>
      <c r="H812" s="49">
        <f>IF(H$2="",NA(),C812*$B812+H811)</f>
        <v>324480.23749386775</v>
      </c>
      <c r="I812" s="49">
        <f>IF(I$2="",NA(),D812*$B812+I811)</f>
        <v>2973157.9130423116</v>
      </c>
      <c r="J812" s="49">
        <f>IF(J$2="",NA(),E812*$B812+J811)</f>
        <v>1381885.0398082384</v>
      </c>
      <c r="K812" s="49" t="e">
        <f>IF(K$2="",NA(),F812*$B812+K811)</f>
        <v>#N/A</v>
      </c>
    </row>
    <row r="813" spans="1:11" x14ac:dyDescent="0.4">
      <c r="A813" s="49">
        <v>810</v>
      </c>
      <c r="B813" s="49">
        <f>A813/$B$1</f>
        <v>33.75</v>
      </c>
      <c r="C813" s="49">
        <f>(('Input and Output'!B$23*'Input and Output'!$B$10)+('Input and Output'!B$24*Calculations!$C$5)+('Input and Output'!B$25*Calculations!$C$6)+('Input and Output'!B$26*(IF('Input and Output'!D$7="Detritus",Calculations!$C$4,G813))-(SUM('Input and Output'!B$27:B$32))*H812))</f>
        <v>5.2018771083339743E-4</v>
      </c>
      <c r="D813" s="49">
        <f>(('Input and Output'!C$23*'Input and Output'!$B$10)+('Input and Output'!C$24*Calculations!$C$5)+('Input and Output'!C$25*Calculations!$C$6)+('Input and Output'!C$26*(IF('Input and Output'!E$7="Detritus",Calculations!$C$4,H813))-(SUM('Input and Output'!C$27:C$32))*I812))</f>
        <v>4.3509855076990789E-3</v>
      </c>
      <c r="E813" s="49">
        <f>(('Input and Output'!D$23*'Input and Output'!$B$10)+('Input and Output'!D$24*Calculations!$C$5)+('Input and Output'!D$25*Calculations!$C$6)+('Input and Output'!D$26*(IF('Input and Output'!F$7="Detritus",Calculations!$C$4,I813))-(SUM('Input and Output'!D$27:D$32))*J812))</f>
        <v>1.8994846504938323E-3</v>
      </c>
      <c r="F813" s="49" t="e">
        <f>(('Input and Output'!E$23*'Input and Output'!$B$10)+('Input and Output'!E$24*Calculations!$C$5)+('Input and Output'!E$25*Calculations!$C$6)+('Input and Output'!E$26*(IF('Input and Output'!G$7="Detritus",Calculations!$C$4,J813))-(SUM('Input and Output'!E$27:E$32))*K812))</f>
        <v>#N/A</v>
      </c>
      <c r="H813" s="49">
        <f>IF(H$2="",NA(),C813*$B813+H812)</f>
        <v>324480.25505020301</v>
      </c>
      <c r="I813" s="49">
        <f>IF(I$2="",NA(),D813*$B813+I812)</f>
        <v>2973158.0598880723</v>
      </c>
      <c r="J813" s="49">
        <f>IF(J$2="",NA(),E813*$B813+J812)</f>
        <v>1381885.1039158453</v>
      </c>
      <c r="K813" s="49" t="e">
        <f>IF(K$2="",NA(),F813*$B813+K812)</f>
        <v>#N/A</v>
      </c>
    </row>
    <row r="814" spans="1:11" x14ac:dyDescent="0.4">
      <c r="A814" s="49">
        <v>811</v>
      </c>
      <c r="B814" s="49">
        <f>A814/$B$1</f>
        <v>33.791666666666664</v>
      </c>
      <c r="C814" s="49">
        <f>(('Input and Output'!B$23*'Input and Output'!$B$10)+('Input and Output'!B$24*Calculations!$C$5)+('Input and Output'!B$25*Calculations!$C$6)+('Input and Output'!B$26*(IF('Input and Output'!D$7="Detritus",Calculations!$C$4,G814))-(SUM('Input and Output'!B$27:B$32))*H813))</f>
        <v>5.032614004107927E-4</v>
      </c>
      <c r="D814" s="49">
        <f>(('Input and Output'!C$23*'Input and Output'!$B$10)+('Input and Output'!C$24*Calculations!$C$5)+('Input and Output'!C$25*Calculations!$C$6)+('Input and Output'!C$26*(IF('Input and Output'!E$7="Detritus",Calculations!$C$4,H814))-(SUM('Input and Output'!C$27:C$32))*I813))</f>
        <v>4.2092252306247246E-3</v>
      </c>
      <c r="E814" s="49">
        <f>(('Input and Output'!D$23*'Input and Output'!$B$10)+('Input and Output'!D$24*Calculations!$C$5)+('Input and Output'!D$25*Calculations!$C$6)+('Input and Output'!D$26*(IF('Input and Output'!F$7="Detritus",Calculations!$C$4,I814))-(SUM('Input and Output'!D$27:D$32))*J813))</f>
        <v>1.8375179970462341E-3</v>
      </c>
      <c r="F814" s="49" t="e">
        <f>(('Input and Output'!E$23*'Input and Output'!$B$10)+('Input and Output'!E$24*Calculations!$C$5)+('Input and Output'!E$25*Calculations!$C$6)+('Input and Output'!E$26*(IF('Input and Output'!G$7="Detritus",Calculations!$C$4,J814))-(SUM('Input and Output'!E$27:E$32))*K813))</f>
        <v>#N/A</v>
      </c>
      <c r="H814" s="49">
        <f>IF(H$2="",NA(),C814*$B814+H813)</f>
        <v>324480.27205624449</v>
      </c>
      <c r="I814" s="49">
        <f>IF(I$2="",NA(),D814*$B814+I813)</f>
        <v>2973158.2021248084</v>
      </c>
      <c r="J814" s="49">
        <f>IF(J$2="",NA(),E814*$B814+J813)</f>
        <v>1381885.166008641</v>
      </c>
      <c r="K814" s="49" t="e">
        <f>IF(K$2="",NA(),F814*$B814+K813)</f>
        <v>#N/A</v>
      </c>
    </row>
    <row r="815" spans="1:11" x14ac:dyDescent="0.4">
      <c r="A815" s="49">
        <v>812</v>
      </c>
      <c r="B815" s="49">
        <f>A815/$B$1</f>
        <v>33.833333333333336</v>
      </c>
      <c r="C815" s="49">
        <f>(('Input and Output'!B$23*'Input and Output'!$B$10)+('Input and Output'!B$24*Calculations!$C$5)+('Input and Output'!B$25*Calculations!$C$6)+('Input and Output'!B$26*(IF('Input and Output'!D$7="Detritus",Calculations!$C$4,G815))-(SUM('Input and Output'!B$27:B$32))*H814))</f>
        <v>4.8686563599176225E-4</v>
      </c>
      <c r="D815" s="49">
        <f>(('Input and Output'!C$23*'Input and Output'!$B$10)+('Input and Output'!C$24*Calculations!$C$5)+('Input and Output'!C$25*Calculations!$C$6)+('Input and Output'!C$26*(IF('Input and Output'!E$7="Detritus",Calculations!$C$4,H815))-(SUM('Input and Output'!C$27:C$32))*I814))</f>
        <v>4.0719146036281018E-3</v>
      </c>
      <c r="E815" s="49">
        <f>(('Input and Output'!D$23*'Input and Output'!$B$10)+('Input and Output'!D$24*Calculations!$C$5)+('Input and Output'!D$25*Calculations!$C$6)+('Input and Output'!D$26*(IF('Input and Output'!F$7="Detritus",Calculations!$C$4,I815))-(SUM('Input and Output'!D$27:D$32))*J814))</f>
        <v>1.7774990301404614E-3</v>
      </c>
      <c r="F815" s="49" t="e">
        <f>(('Input and Output'!E$23*'Input and Output'!$B$10)+('Input and Output'!E$24*Calculations!$C$5)+('Input and Output'!E$25*Calculations!$C$6)+('Input and Output'!E$26*(IF('Input and Output'!G$7="Detritus",Calculations!$C$4,J815))-(SUM('Input and Output'!E$27:E$32))*K814))</f>
        <v>#N/A</v>
      </c>
      <c r="H815" s="49">
        <f>IF(H$2="",NA(),C815*$B815+H814)</f>
        <v>324480.28852853185</v>
      </c>
      <c r="I815" s="49">
        <f>IF(I$2="",NA(),D815*$B815+I814)</f>
        <v>2973158.3398912526</v>
      </c>
      <c r="J815" s="49">
        <f>IF(J$2="",NA(),E815*$B815+J814)</f>
        <v>1381885.2261473583</v>
      </c>
      <c r="K815" s="49" t="e">
        <f>IF(K$2="",NA(),F815*$B815+K814)</f>
        <v>#N/A</v>
      </c>
    </row>
    <row r="816" spans="1:11" x14ac:dyDescent="0.4">
      <c r="A816" s="49">
        <v>813</v>
      </c>
      <c r="B816" s="49">
        <f>A816/$B$1</f>
        <v>33.875</v>
      </c>
      <c r="C816" s="49">
        <f>(('Input and Output'!B$23*'Input and Output'!$B$10)+('Input and Output'!B$24*Calculations!$C$5)+('Input and Output'!B$25*Calculations!$C$6)+('Input and Output'!B$26*(IF('Input and Output'!D$7="Detritus",Calculations!$C$4,G816))-(SUM('Input and Output'!B$27:B$32))*H815))</f>
        <v>4.709844714625433E-4</v>
      </c>
      <c r="D816" s="49">
        <f>(('Input and Output'!C$23*'Input and Output'!$B$10)+('Input and Output'!C$24*Calculations!$C$5)+('Input and Output'!C$25*Calculations!$C$6)+('Input and Output'!C$26*(IF('Input and Output'!E$7="Detritus",Calculations!$C$4,H816))-(SUM('Input and Output'!C$27:C$32))*I815))</f>
        <v>3.9389196845149854E-3</v>
      </c>
      <c r="E816" s="49">
        <f>(('Input and Output'!D$23*'Input and Output'!$B$10)+('Input and Output'!D$24*Calculations!$C$5)+('Input and Output'!D$25*Calculations!$C$6)+('Input and Output'!D$26*(IF('Input and Output'!F$7="Detritus",Calculations!$C$4,I816))-(SUM('Input and Output'!D$27:D$32))*J815))</f>
        <v>1.7193691492138896E-3</v>
      </c>
      <c r="F816" s="49" t="e">
        <f>(('Input and Output'!E$23*'Input and Output'!$B$10)+('Input and Output'!E$24*Calculations!$C$5)+('Input and Output'!E$25*Calculations!$C$6)+('Input and Output'!E$26*(IF('Input and Output'!G$7="Detritus",Calculations!$C$4,J816))-(SUM('Input and Output'!E$27:E$32))*K815))</f>
        <v>#N/A</v>
      </c>
      <c r="H816" s="49">
        <f>IF(H$2="",NA(),C816*$B816+H815)</f>
        <v>324480.30448313081</v>
      </c>
      <c r="I816" s="49">
        <f>IF(I$2="",NA(),D816*$B816+I815)</f>
        <v>2973158.4733221568</v>
      </c>
      <c r="J816" s="49">
        <f>IF(J$2="",NA(),E816*$B816+J815)</f>
        <v>1381885.2843909883</v>
      </c>
      <c r="K816" s="49" t="e">
        <f>IF(K$2="",NA(),F816*$B816+K815)</f>
        <v>#N/A</v>
      </c>
    </row>
    <row r="817" spans="1:11" x14ac:dyDescent="0.4">
      <c r="A817" s="49">
        <v>814</v>
      </c>
      <c r="B817" s="49">
        <f>A817/$B$1</f>
        <v>33.916666666666664</v>
      </c>
      <c r="C817" s="49">
        <f>(('Input and Output'!B$23*'Input and Output'!$B$10)+('Input and Output'!B$24*Calculations!$C$5)+('Input and Output'!B$25*Calculations!$C$6)+('Input and Output'!B$26*(IF('Input and Output'!D$7="Detritus",Calculations!$C$4,G817))-(SUM('Input and Output'!B$27:B$32))*H816))</f>
        <v>4.5560241761677389E-4</v>
      </c>
      <c r="D817" s="49">
        <f>(('Input and Output'!C$23*'Input and Output'!$B$10)+('Input and Output'!C$24*Calculations!$C$5)+('Input and Output'!C$25*Calculations!$C$6)+('Input and Output'!C$26*(IF('Input and Output'!E$7="Detritus",Calculations!$C$4,H817))-(SUM('Input and Output'!C$27:C$32))*I816))</f>
        <v>3.8101103727967711E-3</v>
      </c>
      <c r="E817" s="49">
        <f>(('Input and Output'!D$23*'Input and Output'!$B$10)+('Input and Output'!D$24*Calculations!$C$5)+('Input and Output'!D$25*Calculations!$C$6)+('Input and Output'!D$26*(IF('Input and Output'!F$7="Detritus",Calculations!$C$4,I817))-(SUM('Input and Output'!D$27:D$32))*J816))</f>
        <v>1.6630711797915865E-3</v>
      </c>
      <c r="F817" s="49" t="e">
        <f>(('Input and Output'!E$23*'Input and Output'!$B$10)+('Input and Output'!E$24*Calculations!$C$5)+('Input and Output'!E$25*Calculations!$C$6)+('Input and Output'!E$26*(IF('Input and Output'!G$7="Detritus",Calculations!$C$4,J817))-(SUM('Input and Output'!E$27:E$32))*K816))</f>
        <v>#N/A</v>
      </c>
      <c r="H817" s="49">
        <f>IF(H$2="",NA(),C817*$B817+H816)</f>
        <v>324480.31993564614</v>
      </c>
      <c r="I817" s="49">
        <f>IF(I$2="",NA(),D817*$B817+I816)</f>
        <v>2973158.6025484004</v>
      </c>
      <c r="J817" s="49">
        <f>IF(J$2="",NA(),E817*$B817+J816)</f>
        <v>1381885.3407968192</v>
      </c>
      <c r="K817" s="49" t="e">
        <f>IF(K$2="",NA(),F817*$B817+K816)</f>
        <v>#N/A</v>
      </c>
    </row>
    <row r="818" spans="1:11" x14ac:dyDescent="0.4">
      <c r="A818" s="49">
        <v>815</v>
      </c>
      <c r="B818" s="49">
        <f>A818/$B$1</f>
        <v>33.958333333333336</v>
      </c>
      <c r="C818" s="49">
        <f>(('Input and Output'!B$23*'Input and Output'!$B$10)+('Input and Output'!B$24*Calculations!$C$5)+('Input and Output'!B$25*Calculations!$C$6)+('Input and Output'!B$26*(IF('Input and Output'!D$7="Detritus",Calculations!$C$4,G818))-(SUM('Input and Output'!B$27:B$32))*H817))</f>
        <v>4.4070442964994072E-4</v>
      </c>
      <c r="D818" s="49">
        <f>(('Input and Output'!C$23*'Input and Output'!$B$10)+('Input and Output'!C$24*Calculations!$C$5)+('Input and Output'!C$25*Calculations!$C$6)+('Input and Output'!C$26*(IF('Input and Output'!E$7="Detritus",Calculations!$C$4,H818))-(SUM('Input and Output'!C$27:C$32))*I817))</f>
        <v>3.6853603050985839E-3</v>
      </c>
      <c r="E818" s="49">
        <f>(('Input and Output'!D$23*'Input and Output'!$B$10)+('Input and Output'!D$24*Calculations!$C$5)+('Input and Output'!D$25*Calculations!$C$6)+('Input and Output'!D$26*(IF('Input and Output'!F$7="Detritus",Calculations!$C$4,I818))-(SUM('Input and Output'!D$27:D$32))*J817))</f>
        <v>1.6085498391475994E-3</v>
      </c>
      <c r="F818" s="49" t="e">
        <f>(('Input and Output'!E$23*'Input and Output'!$B$10)+('Input and Output'!E$24*Calculations!$C$5)+('Input and Output'!E$25*Calculations!$C$6)+('Input and Output'!E$26*(IF('Input and Output'!G$7="Detritus",Calculations!$C$4,J818))-(SUM('Input and Output'!E$27:E$32))*K817))</f>
        <v>#N/A</v>
      </c>
      <c r="H818" s="49">
        <f>IF(H$2="",NA(),C818*$B818+H817)</f>
        <v>324480.33490123408</v>
      </c>
      <c r="I818" s="49">
        <f>IF(I$2="",NA(),D818*$B818+I817)</f>
        <v>2973158.727697094</v>
      </c>
      <c r="J818" s="49">
        <f>IF(J$2="",NA(),E818*$B818+J817)</f>
        <v>1381885.3954204908</v>
      </c>
      <c r="K818" s="49" t="e">
        <f>IF(K$2="",NA(),F818*$B818+K817)</f>
        <v>#N/A</v>
      </c>
    </row>
    <row r="819" spans="1:11" x14ac:dyDescent="0.4">
      <c r="A819" s="49">
        <v>816</v>
      </c>
      <c r="B819" s="49">
        <f>A819/$B$1</f>
        <v>34</v>
      </c>
      <c r="C819" s="49">
        <f>(('Input and Output'!B$23*'Input and Output'!$B$10)+('Input and Output'!B$24*Calculations!$C$5)+('Input and Output'!B$25*Calculations!$C$6)+('Input and Output'!B$26*(IF('Input and Output'!D$7="Detritus",Calculations!$C$4,G819))-(SUM('Input and Output'!B$27:B$32))*H818))</f>
        <v>4.2627589527910459E-4</v>
      </c>
      <c r="D819" s="49">
        <f>(('Input and Output'!C$23*'Input and Output'!$B$10)+('Input and Output'!C$24*Calculations!$C$5)+('Input and Output'!C$25*Calculations!$C$6)+('Input and Output'!C$26*(IF('Input and Output'!E$7="Detritus",Calculations!$C$4,H819))-(SUM('Input and Output'!C$27:C$32))*I818))</f>
        <v>3.5645467614813242E-3</v>
      </c>
      <c r="E819" s="49">
        <f>(('Input and Output'!D$23*'Input and Output'!$B$10)+('Input and Output'!D$24*Calculations!$C$5)+('Input and Output'!D$25*Calculations!$C$6)+('Input and Output'!D$26*(IF('Input and Output'!F$7="Detritus",Calculations!$C$4,I819))-(SUM('Input and Output'!D$27:D$32))*J818))</f>
        <v>1.5557513142994139E-3</v>
      </c>
      <c r="F819" s="49" t="e">
        <f>(('Input and Output'!E$23*'Input and Output'!$B$10)+('Input and Output'!E$24*Calculations!$C$5)+('Input and Output'!E$25*Calculations!$C$6)+('Input and Output'!E$26*(IF('Input and Output'!G$7="Detritus",Calculations!$C$4,J819))-(SUM('Input and Output'!E$27:E$32))*K818))</f>
        <v>#N/A</v>
      </c>
      <c r="H819" s="49">
        <f>IF(H$2="",NA(),C819*$B819+H818)</f>
        <v>324480.34939461452</v>
      </c>
      <c r="I819" s="49">
        <f>IF(I$2="",NA(),D819*$B819+I818)</f>
        <v>2973158.8488916839</v>
      </c>
      <c r="J819" s="49">
        <f>IF(J$2="",NA(),E819*$B819+J818)</f>
        <v>1381885.4483160356</v>
      </c>
      <c r="K819" s="49" t="e">
        <f>IF(K$2="",NA(),F819*$B819+K818)</f>
        <v>#N/A</v>
      </c>
    </row>
    <row r="820" spans="1:11" x14ac:dyDescent="0.4">
      <c r="A820" s="49">
        <v>817</v>
      </c>
      <c r="B820" s="49">
        <f>A820/$B$1</f>
        <v>34.041666666666664</v>
      </c>
      <c r="C820" s="49">
        <f>(('Input and Output'!B$23*'Input and Output'!$B$10)+('Input and Output'!B$24*Calculations!$C$5)+('Input and Output'!B$25*Calculations!$C$6)+('Input and Output'!B$26*(IF('Input and Output'!D$7="Detritus",Calculations!$C$4,G820))-(SUM('Input and Output'!B$27:B$32))*H819))</f>
        <v>4.1230262280578245E-4</v>
      </c>
      <c r="D820" s="49">
        <f>(('Input and Output'!C$23*'Input and Output'!$B$10)+('Input and Output'!C$24*Calculations!$C$5)+('Input and Output'!C$25*Calculations!$C$6)+('Input and Output'!C$26*(IF('Input and Output'!E$7="Detritus",Calculations!$C$4,H820))-(SUM('Input and Output'!C$27:C$32))*I819))</f>
        <v>3.447550554483314E-3</v>
      </c>
      <c r="E820" s="49">
        <f>(('Input and Output'!D$23*'Input and Output'!$B$10)+('Input and Output'!D$24*Calculations!$C$5)+('Input and Output'!D$25*Calculations!$C$6)+('Input and Output'!D$26*(IF('Input and Output'!F$7="Detritus",Calculations!$C$4,I820))-(SUM('Input and Output'!D$27:D$32))*J819))</f>
        <v>1.5046233056636993E-3</v>
      </c>
      <c r="F820" s="49" t="e">
        <f>(('Input and Output'!E$23*'Input and Output'!$B$10)+('Input and Output'!E$24*Calculations!$C$5)+('Input and Output'!E$25*Calculations!$C$6)+('Input and Output'!E$26*(IF('Input and Output'!G$7="Detritus",Calculations!$C$4,J820))-(SUM('Input and Output'!E$27:E$32))*K819))</f>
        <v>#N/A</v>
      </c>
      <c r="H820" s="49">
        <f>IF(H$2="",NA(),C820*$B820+H819)</f>
        <v>324480.36343008297</v>
      </c>
      <c r="I820" s="49">
        <f>IF(I$2="",NA(),D820*$B820+I819)</f>
        <v>2973158.9662520508</v>
      </c>
      <c r="J820" s="49">
        <f>IF(J$2="",NA(),E820*$B820+J819)</f>
        <v>1381885.4995359206</v>
      </c>
      <c r="K820" s="49" t="e">
        <f>IF(K$2="",NA(),F820*$B820+K819)</f>
        <v>#N/A</v>
      </c>
    </row>
    <row r="821" spans="1:11" x14ac:dyDescent="0.4">
      <c r="A821" s="49">
        <v>818</v>
      </c>
      <c r="B821" s="49">
        <f>A821/$B$1</f>
        <v>34.083333333333336</v>
      </c>
      <c r="C821" s="49">
        <f>(('Input and Output'!B$23*'Input and Output'!$B$10)+('Input and Output'!B$24*Calculations!$C$5)+('Input and Output'!B$25*Calculations!$C$6)+('Input and Output'!B$26*(IF('Input and Output'!D$7="Detritus",Calculations!$C$4,G821))-(SUM('Input and Output'!B$27:B$32))*H820))</f>
        <v>3.9877082969042021E-4</v>
      </c>
      <c r="D821" s="49">
        <f>(('Input and Output'!C$23*'Input and Output'!$B$10)+('Input and Output'!C$24*Calculations!$C$5)+('Input and Output'!C$25*Calculations!$C$6)+('Input and Output'!C$26*(IF('Input and Output'!E$7="Detritus",Calculations!$C$4,H821))-(SUM('Input and Output'!C$27:C$32))*I820))</f>
        <v>3.3342559463562793E-3</v>
      </c>
      <c r="E821" s="49">
        <f>(('Input and Output'!D$23*'Input and Output'!$B$10)+('Input and Output'!D$24*Calculations!$C$5)+('Input and Output'!D$25*Calculations!$C$6)+('Input and Output'!D$26*(IF('Input and Output'!F$7="Detritus",Calculations!$C$4,I821))-(SUM('Input and Output'!D$27:D$32))*J820))</f>
        <v>1.4551151580235455E-3</v>
      </c>
      <c r="F821" s="49" t="e">
        <f>(('Input and Output'!E$23*'Input and Output'!$B$10)+('Input and Output'!E$24*Calculations!$C$5)+('Input and Output'!E$25*Calculations!$C$6)+('Input and Output'!E$26*(IF('Input and Output'!G$7="Detritus",Calculations!$C$4,J821))-(SUM('Input and Output'!E$27:E$32))*K820))</f>
        <v>#N/A</v>
      </c>
      <c r="H821" s="49">
        <f>IF(H$2="",NA(),C821*$B821+H820)</f>
        <v>324480.37702152209</v>
      </c>
      <c r="I821" s="49">
        <f>IF(I$2="",NA(),D821*$B821+I820)</f>
        <v>2973159.0798946079</v>
      </c>
      <c r="J821" s="49">
        <f>IF(J$2="",NA(),E821*$B821+J820)</f>
        <v>1381885.5491310956</v>
      </c>
      <c r="K821" s="49" t="e">
        <f>IF(K$2="",NA(),F821*$B821+K820)</f>
        <v>#N/A</v>
      </c>
    </row>
    <row r="822" spans="1:11" x14ac:dyDescent="0.4">
      <c r="A822" s="49">
        <v>819</v>
      </c>
      <c r="B822" s="49">
        <f>A822/$B$1</f>
        <v>34.125</v>
      </c>
      <c r="C822" s="49">
        <f>(('Input and Output'!B$23*'Input and Output'!$B$10)+('Input and Output'!B$24*Calculations!$C$5)+('Input and Output'!B$25*Calculations!$C$6)+('Input and Output'!B$26*(IF('Input and Output'!D$7="Detritus",Calculations!$C$4,G822))-(SUM('Input and Output'!B$27:B$32))*H821))</f>
        <v>3.8566713158161292E-4</v>
      </c>
      <c r="D822" s="49">
        <f>(('Input and Output'!C$23*'Input and Output'!$B$10)+('Input and Output'!C$24*Calculations!$C$5)+('Input and Output'!C$25*Calculations!$C$6)+('Input and Output'!C$26*(IF('Input and Output'!E$7="Detritus",Calculations!$C$4,H822))-(SUM('Input and Output'!C$27:C$32))*I821))</f>
        <v>3.2245505399259855E-3</v>
      </c>
      <c r="E822" s="49">
        <f>(('Input and Output'!D$23*'Input and Output'!$B$10)+('Input and Output'!D$24*Calculations!$C$5)+('Input and Output'!D$25*Calculations!$C$6)+('Input and Output'!D$26*(IF('Input and Output'!F$7="Detritus",Calculations!$C$4,I822))-(SUM('Input and Output'!D$27:D$32))*J821))</f>
        <v>1.4071775985939894E-3</v>
      </c>
      <c r="F822" s="49" t="e">
        <f>(('Input and Output'!E$23*'Input and Output'!$B$10)+('Input and Output'!E$24*Calculations!$C$5)+('Input and Output'!E$25*Calculations!$C$6)+('Input and Output'!E$26*(IF('Input and Output'!G$7="Detritus",Calculations!$C$4,J822))-(SUM('Input and Output'!E$27:E$32))*K821))</f>
        <v>#N/A</v>
      </c>
      <c r="H822" s="49">
        <f>IF(H$2="",NA(),C822*$B822+H821)</f>
        <v>324480.39018241293</v>
      </c>
      <c r="I822" s="49">
        <f>IF(I$2="",NA(),D822*$B822+I821)</f>
        <v>2973159.1899323952</v>
      </c>
      <c r="J822" s="49">
        <f>IF(J$2="",NA(),E822*$B822+J821)</f>
        <v>1381885.5971510313</v>
      </c>
      <c r="K822" s="49" t="e">
        <f>IF(K$2="",NA(),F822*$B822+K821)</f>
        <v>#N/A</v>
      </c>
    </row>
    <row r="823" spans="1:11" x14ac:dyDescent="0.4">
      <c r="A823" s="49">
        <v>820</v>
      </c>
      <c r="B823" s="49">
        <f>A823/$B$1</f>
        <v>34.166666666666664</v>
      </c>
      <c r="C823" s="49">
        <f>(('Input and Output'!B$23*'Input and Output'!$B$10)+('Input and Output'!B$24*Calculations!$C$5)+('Input and Output'!B$25*Calculations!$C$6)+('Input and Output'!B$26*(IF('Input and Output'!D$7="Detritus",Calculations!$C$4,G823))-(SUM('Input and Output'!B$27:B$32))*H822))</f>
        <v>3.7297853111795121E-4</v>
      </c>
      <c r="D823" s="49">
        <f>(('Input and Output'!C$23*'Input and Output'!$B$10)+('Input and Output'!C$24*Calculations!$C$5)+('Input and Output'!C$25*Calculations!$C$6)+('Input and Output'!C$26*(IF('Input and Output'!E$7="Detritus",Calculations!$C$4,H823))-(SUM('Input and Output'!C$27:C$32))*I822))</f>
        <v>3.1183251994661987E-3</v>
      </c>
      <c r="E823" s="49">
        <f>(('Input and Output'!D$23*'Input and Output'!$B$10)+('Input and Output'!D$24*Calculations!$C$5)+('Input and Output'!D$25*Calculations!$C$6)+('Input and Output'!D$26*(IF('Input and Output'!F$7="Detritus",Calculations!$C$4,I823))-(SUM('Input and Output'!D$27:D$32))*J822))</f>
        <v>1.3607627370220143E-3</v>
      </c>
      <c r="F823" s="49" t="e">
        <f>(('Input and Output'!E$23*'Input and Output'!$B$10)+('Input and Output'!E$24*Calculations!$C$5)+('Input and Output'!E$25*Calculations!$C$6)+('Input and Output'!E$26*(IF('Input and Output'!G$7="Detritus",Calculations!$C$4,J823))-(SUM('Input and Output'!E$27:E$32))*K822))</f>
        <v>#N/A</v>
      </c>
      <c r="H823" s="49">
        <f>IF(H$2="",NA(),C823*$B823+H822)</f>
        <v>324480.40292584605</v>
      </c>
      <c r="I823" s="49">
        <f>IF(I$2="",NA(),D823*$B823+I822)</f>
        <v>2973159.296475173</v>
      </c>
      <c r="J823" s="49">
        <f>IF(J$2="",NA(),E823*$B823+J822)</f>
        <v>1381885.643643758</v>
      </c>
      <c r="K823" s="49" t="e">
        <f>IF(K$2="",NA(),F823*$B823+K822)</f>
        <v>#N/A</v>
      </c>
    </row>
    <row r="824" spans="1:11" x14ac:dyDescent="0.4">
      <c r="A824" s="49">
        <v>821</v>
      </c>
      <c r="B824" s="49">
        <f>A824/$B$1</f>
        <v>34.208333333333336</v>
      </c>
      <c r="C824" s="49">
        <f>(('Input and Output'!B$23*'Input and Output'!$B$10)+('Input and Output'!B$24*Calculations!$C$5)+('Input and Output'!B$25*Calculations!$C$6)+('Input and Output'!B$26*(IF('Input and Output'!D$7="Detritus",Calculations!$C$4,G824))-(SUM('Input and Output'!B$27:B$32))*H823))</f>
        <v>3.6069240752567566E-4</v>
      </c>
      <c r="D824" s="49">
        <f>(('Input and Output'!C$23*'Input and Output'!$B$10)+('Input and Output'!C$24*Calculations!$C$5)+('Input and Output'!C$25*Calculations!$C$6)+('Input and Output'!C$26*(IF('Input and Output'!E$7="Detritus",Calculations!$C$4,H824))-(SUM('Input and Output'!C$27:C$32))*I823))</f>
        <v>3.0154739588397206E-3</v>
      </c>
      <c r="E824" s="49">
        <f>(('Input and Output'!D$23*'Input and Output'!$B$10)+('Input and Output'!D$24*Calculations!$C$5)+('Input and Output'!D$25*Calculations!$C$6)+('Input and Output'!D$26*(IF('Input and Output'!F$7="Detritus",Calculations!$C$4,I824))-(SUM('Input and Output'!D$27:D$32))*J823))</f>
        <v>1.3158242836652789E-3</v>
      </c>
      <c r="F824" s="49" t="e">
        <f>(('Input and Output'!E$23*'Input and Output'!$B$10)+('Input and Output'!E$24*Calculations!$C$5)+('Input and Output'!E$25*Calculations!$C$6)+('Input and Output'!E$26*(IF('Input and Output'!G$7="Detritus",Calculations!$C$4,J824))-(SUM('Input and Output'!E$27:E$32))*K823))</f>
        <v>#N/A</v>
      </c>
      <c r="H824" s="49">
        <f>IF(H$2="",NA(),C824*$B824+H823)</f>
        <v>324480.41526453214</v>
      </c>
      <c r="I824" s="49">
        <f>IF(I$2="",NA(),D824*$B824+I823)</f>
        <v>2973159.3996295114</v>
      </c>
      <c r="J824" s="49">
        <f>IF(J$2="",NA(),E824*$B824+J823)</f>
        <v>1381885.6886559138</v>
      </c>
      <c r="K824" s="49" t="e">
        <f>IF(K$2="",NA(),F824*$B824+K823)</f>
        <v>#N/A</v>
      </c>
    </row>
    <row r="825" spans="1:11" x14ac:dyDescent="0.4">
      <c r="A825" s="49">
        <v>822</v>
      </c>
      <c r="B825" s="49">
        <f>A825/$B$1</f>
        <v>34.25</v>
      </c>
      <c r="C825" s="49">
        <f>(('Input and Output'!B$23*'Input and Output'!$B$10)+('Input and Output'!B$24*Calculations!$C$5)+('Input and Output'!B$25*Calculations!$C$6)+('Input and Output'!B$26*(IF('Input and Output'!D$7="Detritus",Calculations!$C$4,G825))-(SUM('Input and Output'!B$27:B$32))*H824))</f>
        <v>3.487965062731746E-4</v>
      </c>
      <c r="D825" s="49">
        <f>(('Input and Output'!C$23*'Input and Output'!$B$10)+('Input and Output'!C$24*Calculations!$C$5)+('Input and Output'!C$25*Calculations!$C$6)+('Input and Output'!C$26*(IF('Input and Output'!E$7="Detritus",Calculations!$C$4,H825))-(SUM('Input and Output'!C$27:C$32))*I824))</f>
        <v>2.9158939232729608E-3</v>
      </c>
      <c r="E825" s="49">
        <f>(('Input and Output'!D$23*'Input and Output'!$B$10)+('Input and Output'!D$24*Calculations!$C$5)+('Input and Output'!D$25*Calculations!$C$6)+('Input and Output'!D$26*(IF('Input and Output'!F$7="Detritus",Calculations!$C$4,I825))-(SUM('Input and Output'!D$27:D$32))*J824))</f>
        <v>1.2723168947559316E-3</v>
      </c>
      <c r="F825" s="49" t="e">
        <f>(('Input and Output'!E$23*'Input and Output'!$B$10)+('Input and Output'!E$24*Calculations!$C$5)+('Input and Output'!E$25*Calculations!$C$6)+('Input and Output'!E$26*(IF('Input and Output'!G$7="Detritus",Calculations!$C$4,J825))-(SUM('Input and Output'!E$27:E$32))*K824))</f>
        <v>#N/A</v>
      </c>
      <c r="H825" s="49">
        <f>IF(H$2="",NA(),C825*$B825+H824)</f>
        <v>324480.42721081246</v>
      </c>
      <c r="I825" s="49">
        <f>IF(I$2="",NA(),D825*$B825+I824)</f>
        <v>2973159.4994988781</v>
      </c>
      <c r="J825" s="49">
        <f>IF(J$2="",NA(),E825*$B825+J824)</f>
        <v>1381885.7322327674</v>
      </c>
      <c r="K825" s="49" t="e">
        <f>IF(K$2="",NA(),F825*$B825+K824)</f>
        <v>#N/A</v>
      </c>
    </row>
    <row r="826" spans="1:11" x14ac:dyDescent="0.4">
      <c r="A826" s="49">
        <v>823</v>
      </c>
      <c r="B826" s="49">
        <f>A826/$B$1</f>
        <v>34.291666666666664</v>
      </c>
      <c r="C826" s="49">
        <f>(('Input and Output'!B$23*'Input and Output'!$B$10)+('Input and Output'!B$24*Calculations!$C$5)+('Input and Output'!B$25*Calculations!$C$6)+('Input and Output'!B$26*(IF('Input and Output'!D$7="Detritus",Calculations!$C$4,G826))-(SUM('Input and Output'!B$27:B$32))*H825))</f>
        <v>3.3727892895285549E-4</v>
      </c>
      <c r="D826" s="49">
        <f>(('Input and Output'!C$23*'Input and Output'!$B$10)+('Input and Output'!C$24*Calculations!$C$5)+('Input and Output'!C$25*Calculations!$C$6)+('Input and Output'!C$26*(IF('Input and Output'!E$7="Detritus",Calculations!$C$4,H826))-(SUM('Input and Output'!C$27:C$32))*I825))</f>
        <v>2.8194852029628237E-3</v>
      </c>
      <c r="E826" s="49">
        <f>(('Input and Output'!D$23*'Input and Output'!$B$10)+('Input and Output'!D$24*Calculations!$C$5)+('Input and Output'!D$25*Calculations!$C$6)+('Input and Output'!D$26*(IF('Input and Output'!F$7="Detritus",Calculations!$C$4,I826))-(SUM('Input and Output'!D$27:D$32))*J825))</f>
        <v>1.2301971619308461E-3</v>
      </c>
      <c r="F826" s="49" t="e">
        <f>(('Input and Output'!E$23*'Input and Output'!$B$10)+('Input and Output'!E$24*Calculations!$C$5)+('Input and Output'!E$25*Calculations!$C$6)+('Input and Output'!E$26*(IF('Input and Output'!G$7="Detritus",Calculations!$C$4,J826))-(SUM('Input and Output'!E$27:E$32))*K825))</f>
        <v>#N/A</v>
      </c>
      <c r="H826" s="49">
        <f>IF(H$2="",NA(),C826*$B826+H825)</f>
        <v>324480.43877666903</v>
      </c>
      <c r="I826" s="49">
        <f>IF(I$2="",NA(),D826*$B826+I825)</f>
        <v>2973159.5961837247</v>
      </c>
      <c r="J826" s="49">
        <f>IF(J$2="",NA(),E826*$B826+J825)</f>
        <v>1381885.7744182784</v>
      </c>
      <c r="K826" s="49" t="e">
        <f>IF(K$2="",NA(),F826*$B826+K825)</f>
        <v>#N/A</v>
      </c>
    </row>
    <row r="827" spans="1:11" x14ac:dyDescent="0.4">
      <c r="A827" s="49">
        <v>824</v>
      </c>
      <c r="B827" s="49">
        <f>A827/$B$1</f>
        <v>34.333333333333336</v>
      </c>
      <c r="C827" s="49">
        <f>(('Input and Output'!B$23*'Input and Output'!$B$10)+('Input and Output'!B$24*Calculations!$C$5)+('Input and Output'!B$25*Calculations!$C$6)+('Input and Output'!B$26*(IF('Input and Output'!D$7="Detritus",Calculations!$C$4,G827))-(SUM('Input and Output'!B$27:B$32))*H826))</f>
        <v>3.2612812350407694E-4</v>
      </c>
      <c r="D827" s="49">
        <f>(('Input and Output'!C$23*'Input and Output'!$B$10)+('Input and Output'!C$24*Calculations!$C$5)+('Input and Output'!C$25*Calculations!$C$6)+('Input and Output'!C$26*(IF('Input and Output'!E$7="Detritus",Calculations!$C$4,H827))-(SUM('Input and Output'!C$27:C$32))*I826))</f>
        <v>2.7261508148512803E-3</v>
      </c>
      <c r="E827" s="49">
        <f>(('Input and Output'!D$23*'Input and Output'!$B$10)+('Input and Output'!D$24*Calculations!$C$5)+('Input and Output'!D$25*Calculations!$C$6)+('Input and Output'!D$26*(IF('Input and Output'!F$7="Detritus",Calculations!$C$4,I827))-(SUM('Input and Output'!D$27:D$32))*J826))</f>
        <v>1.1894222152477596E-3</v>
      </c>
      <c r="F827" s="49" t="e">
        <f>(('Input and Output'!E$23*'Input and Output'!$B$10)+('Input and Output'!E$24*Calculations!$C$5)+('Input and Output'!E$25*Calculations!$C$6)+('Input and Output'!E$26*(IF('Input and Output'!G$7="Detritus",Calculations!$C$4,J827))-(SUM('Input and Output'!E$27:E$32))*K826))</f>
        <v>#N/A</v>
      </c>
      <c r="H827" s="49">
        <f>IF(H$2="",NA(),C827*$B827+H826)</f>
        <v>324480.44997373462</v>
      </c>
      <c r="I827" s="49">
        <f>IF(I$2="",NA(),D827*$B827+I826)</f>
        <v>2973159.6897815694</v>
      </c>
      <c r="J827" s="49">
        <f>IF(J$2="",NA(),E827*$B827+J826)</f>
        <v>1381885.8152551078</v>
      </c>
      <c r="K827" s="49" t="e">
        <f>IF(K$2="",NA(),F827*$B827+K826)</f>
        <v>#N/A</v>
      </c>
    </row>
    <row r="828" spans="1:11" x14ac:dyDescent="0.4">
      <c r="A828" s="49">
        <v>825</v>
      </c>
      <c r="B828" s="49">
        <f>A828/$B$1</f>
        <v>34.375</v>
      </c>
      <c r="C828" s="49">
        <f>(('Input and Output'!B$23*'Input and Output'!$B$10)+('Input and Output'!B$24*Calculations!$C$5)+('Input and Output'!B$25*Calculations!$C$6)+('Input and Output'!B$26*(IF('Input and Output'!D$7="Detritus",Calculations!$C$4,G828))-(SUM('Input and Output'!B$27:B$32))*H827))</f>
        <v>3.1533287466345428E-4</v>
      </c>
      <c r="D828" s="49">
        <f>(('Input and Output'!C$23*'Input and Output'!$B$10)+('Input and Output'!C$24*Calculations!$C$5)+('Input and Output'!C$25*Calculations!$C$6)+('Input and Output'!C$26*(IF('Input and Output'!E$7="Detritus",Calculations!$C$4,H828))-(SUM('Input and Output'!C$27:C$32))*I827))</f>
        <v>2.6357966062278138E-3</v>
      </c>
      <c r="E828" s="49">
        <f>(('Input and Output'!D$23*'Input and Output'!$B$10)+('Input and Output'!D$24*Calculations!$C$5)+('Input and Output'!D$25*Calculations!$C$6)+('Input and Output'!D$26*(IF('Input and Output'!F$7="Detritus",Calculations!$C$4,I828))-(SUM('Input and Output'!D$27:D$32))*J827))</f>
        <v>1.1499511201691348E-3</v>
      </c>
      <c r="F828" s="49" t="e">
        <f>(('Input and Output'!E$23*'Input and Output'!$B$10)+('Input and Output'!E$24*Calculations!$C$5)+('Input and Output'!E$25*Calculations!$C$6)+('Input and Output'!E$26*(IF('Input and Output'!G$7="Detritus",Calculations!$C$4,J828))-(SUM('Input and Output'!E$27:E$32))*K827))</f>
        <v>#N/A</v>
      </c>
      <c r="H828" s="49">
        <f>IF(H$2="",NA(),C828*$B828+H827)</f>
        <v>324480.4608133022</v>
      </c>
      <c r="I828" s="49">
        <f>IF(I$2="",NA(),D828*$B828+I827)</f>
        <v>2973159.7803870779</v>
      </c>
      <c r="J828" s="49">
        <f>IF(J$2="",NA(),E828*$B828+J827)</f>
        <v>1381885.8547846775</v>
      </c>
      <c r="K828" s="49" t="e">
        <f>IF(K$2="",NA(),F828*$B828+K827)</f>
        <v>#N/A</v>
      </c>
    </row>
    <row r="829" spans="1:11" x14ac:dyDescent="0.4">
      <c r="A829" s="49">
        <v>826</v>
      </c>
      <c r="B829" s="49">
        <f>A829/$B$1</f>
        <v>34.416666666666664</v>
      </c>
      <c r="C829" s="49">
        <f>(('Input and Output'!B$23*'Input and Output'!$B$10)+('Input and Output'!B$24*Calculations!$C$5)+('Input and Output'!B$25*Calculations!$C$6)+('Input and Output'!B$26*(IF('Input and Output'!D$7="Detritus",Calculations!$C$4,G829))-(SUM('Input and Output'!B$27:B$32))*H828))</f>
        <v>3.0488229469938233E-4</v>
      </c>
      <c r="D829" s="49">
        <f>(('Input and Output'!C$23*'Input and Output'!$B$10)+('Input and Output'!C$24*Calculations!$C$5)+('Input and Output'!C$25*Calculations!$C$6)+('Input and Output'!C$26*(IF('Input and Output'!E$7="Detritus",Calculations!$C$4,H829))-(SUM('Input and Output'!C$27:C$32))*I828))</f>
        <v>2.5483311837888323E-3</v>
      </c>
      <c r="E829" s="49">
        <f>(('Input and Output'!D$23*'Input and Output'!$B$10)+('Input and Output'!D$24*Calculations!$C$5)+('Input and Output'!D$25*Calculations!$C$6)+('Input and Output'!D$26*(IF('Input and Output'!F$7="Detritus",Calculations!$C$4,I829))-(SUM('Input and Output'!D$27:D$32))*J828))</f>
        <v>1.1117435678897891E-3</v>
      </c>
      <c r="F829" s="49" t="e">
        <f>(('Input and Output'!E$23*'Input and Output'!$B$10)+('Input and Output'!E$24*Calculations!$C$5)+('Input and Output'!E$25*Calculations!$C$6)+('Input and Output'!E$26*(IF('Input and Output'!G$7="Detritus",Calculations!$C$4,J829))-(SUM('Input and Output'!E$27:E$32))*K828))</f>
        <v>#N/A</v>
      </c>
      <c r="H829" s="49">
        <f>IF(H$2="",NA(),C829*$B829+H828)</f>
        <v>324480.47130633448</v>
      </c>
      <c r="I829" s="49">
        <f>IF(I$2="",NA(),D829*$B829+I828)</f>
        <v>2973159.868092143</v>
      </c>
      <c r="J829" s="49">
        <f>IF(J$2="",NA(),E829*$B829+J828)</f>
        <v>1381885.8930471854</v>
      </c>
      <c r="K829" s="49" t="e">
        <f>IF(K$2="",NA(),F829*$B829+K828)</f>
        <v>#N/A</v>
      </c>
    </row>
    <row r="830" spans="1:11" x14ac:dyDescent="0.4">
      <c r="A830" s="49">
        <v>827</v>
      </c>
      <c r="B830" s="49">
        <f>A830/$B$1</f>
        <v>34.458333333333336</v>
      </c>
      <c r="C830" s="49">
        <f>(('Input and Output'!B$23*'Input and Output'!$B$10)+('Input and Output'!B$24*Calculations!$C$5)+('Input and Output'!B$25*Calculations!$C$6)+('Input and Output'!B$26*(IF('Input and Output'!D$7="Detritus",Calculations!$C$4,G830))-(SUM('Input and Output'!B$27:B$32))*H829))</f>
        <v>2.9476581426024495E-4</v>
      </c>
      <c r="D830" s="49">
        <f>(('Input and Output'!C$23*'Input and Output'!$B$10)+('Input and Output'!C$24*Calculations!$C$5)+('Input and Output'!C$25*Calculations!$C$6)+('Input and Output'!C$26*(IF('Input and Output'!E$7="Detritus",Calculations!$C$4,H830))-(SUM('Input and Output'!C$27:C$32))*I829))</f>
        <v>2.4636658299641567E-3</v>
      </c>
      <c r="E830" s="49">
        <f>(('Input and Output'!D$23*'Input and Output'!$B$10)+('Input and Output'!D$24*Calculations!$C$5)+('Input and Output'!D$25*Calculations!$C$6)+('Input and Output'!D$26*(IF('Input and Output'!F$7="Detritus",Calculations!$C$4,I830))-(SUM('Input and Output'!D$27:D$32))*J829))</f>
        <v>1.0747609376267064E-3</v>
      </c>
      <c r="F830" s="49" t="e">
        <f>(('Input and Output'!E$23*'Input and Output'!$B$10)+('Input and Output'!E$24*Calculations!$C$5)+('Input and Output'!E$25*Calculations!$C$6)+('Input and Output'!E$26*(IF('Input and Output'!G$7="Detritus",Calculations!$C$4,J830))-(SUM('Input and Output'!E$27:E$32))*K829))</f>
        <v>#N/A</v>
      </c>
      <c r="H830" s="49">
        <f>IF(H$2="",NA(),C830*$B830+H829)</f>
        <v>324480.48146347317</v>
      </c>
      <c r="I830" s="49">
        <f>IF(I$2="",NA(),D830*$B830+I829)</f>
        <v>2973159.9529859615</v>
      </c>
      <c r="J830" s="49">
        <f>IF(J$2="",NA(),E830*$B830+J829)</f>
        <v>1381885.930081656</v>
      </c>
      <c r="K830" s="49" t="e">
        <f>IF(K$2="",NA(),F830*$B830+K829)</f>
        <v>#N/A</v>
      </c>
    </row>
    <row r="831" spans="1:11" x14ac:dyDescent="0.4">
      <c r="A831" s="49">
        <v>828</v>
      </c>
      <c r="B831" s="49">
        <f>A831/$B$1</f>
        <v>34.5</v>
      </c>
      <c r="C831" s="49">
        <f>(('Input and Output'!B$23*'Input and Output'!$B$10)+('Input and Output'!B$24*Calculations!$C$5)+('Input and Output'!B$25*Calculations!$C$6)+('Input and Output'!B$26*(IF('Input and Output'!D$7="Detritus",Calculations!$C$4,G831))-(SUM('Input and Output'!B$27:B$32))*H830))</f>
        <v>2.8497317362052854E-4</v>
      </c>
      <c r="D831" s="49">
        <f>(('Input and Output'!C$23*'Input and Output'!$B$10)+('Input and Output'!C$24*Calculations!$C$5)+('Input and Output'!C$25*Calculations!$C$6)+('Input and Output'!C$26*(IF('Input and Output'!E$7="Detritus",Calculations!$C$4,H831))-(SUM('Input and Output'!C$27:C$32))*I830))</f>
        <v>2.3817144292479497E-3</v>
      </c>
      <c r="E831" s="49">
        <f>(('Input and Output'!D$23*'Input and Output'!$B$10)+('Input and Output'!D$24*Calculations!$C$5)+('Input and Output'!D$25*Calculations!$C$6)+('Input and Output'!D$26*(IF('Input and Output'!F$7="Detritus",Calculations!$C$4,I831))-(SUM('Input and Output'!D$27:D$32))*J830))</f>
        <v>1.0389652779849712E-3</v>
      </c>
      <c r="F831" s="49" t="e">
        <f>(('Input and Output'!E$23*'Input and Output'!$B$10)+('Input and Output'!E$24*Calculations!$C$5)+('Input and Output'!E$25*Calculations!$C$6)+('Input and Output'!E$26*(IF('Input and Output'!G$7="Detritus",Calculations!$C$4,J831))-(SUM('Input and Output'!E$27:E$32))*K830))</f>
        <v>#N/A</v>
      </c>
      <c r="H831" s="49">
        <f>IF(H$2="",NA(),C831*$B831+H830)</f>
        <v>324480.49129504769</v>
      </c>
      <c r="I831" s="49">
        <f>IF(I$2="",NA(),D831*$B831+I830)</f>
        <v>2973160.0351551091</v>
      </c>
      <c r="J831" s="49">
        <f>IF(J$2="",NA(),E831*$B831+J830)</f>
        <v>1381885.965925958</v>
      </c>
      <c r="K831" s="49" t="e">
        <f>IF(K$2="",NA(),F831*$B831+K830)</f>
        <v>#N/A</v>
      </c>
    </row>
    <row r="832" spans="1:11" x14ac:dyDescent="0.4">
      <c r="A832" s="49">
        <v>829</v>
      </c>
      <c r="B832" s="49">
        <f>A832/$B$1</f>
        <v>34.541666666666664</v>
      </c>
      <c r="C832" s="49">
        <f>(('Input and Output'!B$23*'Input and Output'!$B$10)+('Input and Output'!B$24*Calculations!$C$5)+('Input and Output'!B$25*Calculations!$C$6)+('Input and Output'!B$26*(IF('Input and Output'!D$7="Detritus",Calculations!$C$4,G832))-(SUM('Input and Output'!B$27:B$32))*H831))</f>
        <v>2.7549441398377894E-4</v>
      </c>
      <c r="D832" s="49">
        <f>(('Input and Output'!C$23*'Input and Output'!$B$10)+('Input and Output'!C$24*Calculations!$C$5)+('Input and Output'!C$25*Calculations!$C$6)+('Input and Output'!C$26*(IF('Input and Output'!E$7="Detritus",Calculations!$C$4,H832))-(SUM('Input and Output'!C$27:C$32))*I831))</f>
        <v>2.3023933954391396E-3</v>
      </c>
      <c r="E832" s="49">
        <f>(('Input and Output'!D$23*'Input and Output'!$B$10)+('Input and Output'!D$24*Calculations!$C$5)+('Input and Output'!D$25*Calculations!$C$6)+('Input and Output'!D$26*(IF('Input and Output'!F$7="Detritus",Calculations!$C$4,I832))-(SUM('Input and Output'!D$27:D$32))*J831))</f>
        <v>1.0043202237284277E-3</v>
      </c>
      <c r="F832" s="49" t="e">
        <f>(('Input and Output'!E$23*'Input and Output'!$B$10)+('Input and Output'!E$24*Calculations!$C$5)+('Input and Output'!E$25*Calculations!$C$6)+('Input and Output'!E$26*(IF('Input and Output'!G$7="Detritus",Calculations!$C$4,J832))-(SUM('Input and Output'!E$27:E$32))*K831))</f>
        <v>#N/A</v>
      </c>
      <c r="H832" s="49">
        <f>IF(H$2="",NA(),C832*$B832+H831)</f>
        <v>324480.50081108388</v>
      </c>
      <c r="I832" s="49">
        <f>IF(I$2="",NA(),D832*$B832+I831)</f>
        <v>2973160.1146836141</v>
      </c>
      <c r="J832" s="49">
        <f>IF(J$2="",NA(),E832*$B832+J831)</f>
        <v>1381886.0006168524</v>
      </c>
      <c r="K832" s="49" t="e">
        <f>IF(K$2="",NA(),F832*$B832+K831)</f>
        <v>#N/A</v>
      </c>
    </row>
    <row r="833" spans="1:11" x14ac:dyDescent="0.4">
      <c r="A833" s="49">
        <v>830</v>
      </c>
      <c r="B833" s="49">
        <f>A833/$B$1</f>
        <v>34.583333333333336</v>
      </c>
      <c r="C833" s="49">
        <f>(('Input and Output'!B$23*'Input and Output'!$B$10)+('Input and Output'!B$24*Calculations!$C$5)+('Input and Output'!B$25*Calculations!$C$6)+('Input and Output'!B$26*(IF('Input and Output'!D$7="Detritus",Calculations!$C$4,G833))-(SUM('Input and Output'!B$27:B$32))*H832))</f>
        <v>2.6631986929714913E-4</v>
      </c>
      <c r="D833" s="49">
        <f>(('Input and Output'!C$23*'Input and Output'!$B$10)+('Input and Output'!C$24*Calculations!$C$5)+('Input and Output'!C$25*Calculations!$C$6)+('Input and Output'!C$26*(IF('Input and Output'!E$7="Detritus",Calculations!$C$4,H833))-(SUM('Input and Output'!C$27:C$32))*I832))</f>
        <v>2.225621607976791E-3</v>
      </c>
      <c r="E833" s="49">
        <f>(('Input and Output'!D$23*'Input and Output'!$B$10)+('Input and Output'!D$24*Calculations!$C$5)+('Input and Output'!D$25*Calculations!$C$6)+('Input and Output'!D$26*(IF('Input and Output'!F$7="Detritus",Calculations!$C$4,I833))-(SUM('Input and Output'!D$27:D$32))*J832))</f>
        <v>9.7078993348986842E-4</v>
      </c>
      <c r="F833" s="49" t="e">
        <f>(('Input and Output'!E$23*'Input and Output'!$B$10)+('Input and Output'!E$24*Calculations!$C$5)+('Input and Output'!E$25*Calculations!$C$6)+('Input and Output'!E$26*(IF('Input and Output'!G$7="Detritus",Calculations!$C$4,J833))-(SUM('Input and Output'!E$27:E$32))*K832))</f>
        <v>#N/A</v>
      </c>
      <c r="H833" s="49">
        <f>IF(H$2="",NA(),C833*$B833+H832)</f>
        <v>324480.51002131269</v>
      </c>
      <c r="I833" s="49">
        <f>IF(I$2="",NA(),D833*$B833+I832)</f>
        <v>2973160.1916530281</v>
      </c>
      <c r="J833" s="49">
        <f>IF(J$2="",NA(),E833*$B833+J832)</f>
        <v>1381886.0341900042</v>
      </c>
      <c r="K833" s="49" t="e">
        <f>IF(K$2="",NA(),F833*$B833+K832)</f>
        <v>#N/A</v>
      </c>
    </row>
    <row r="834" spans="1:11" x14ac:dyDescent="0.4">
      <c r="A834" s="49">
        <v>831</v>
      </c>
      <c r="B834" s="49">
        <f>A834/$B$1</f>
        <v>34.625</v>
      </c>
      <c r="C834" s="49">
        <f>(('Input and Output'!B$23*'Input and Output'!$B$10)+('Input and Output'!B$24*Calculations!$C$5)+('Input and Output'!B$25*Calculations!$C$6)+('Input and Output'!B$26*(IF('Input and Output'!D$7="Detritus",Calculations!$C$4,G834))-(SUM('Input and Output'!B$27:B$32))*H833))</f>
        <v>2.5744015778172979E-4</v>
      </c>
      <c r="D834" s="49">
        <f>(('Input and Output'!C$23*'Input and Output'!$B$10)+('Input and Output'!C$24*Calculations!$C$5)+('Input and Output'!C$25*Calculations!$C$6)+('Input and Output'!C$26*(IF('Input and Output'!E$7="Detritus",Calculations!$C$4,H834))-(SUM('Input and Output'!C$27:C$32))*I833))</f>
        <v>2.1513203264476033E-3</v>
      </c>
      <c r="E834" s="49">
        <f>(('Input and Output'!D$23*'Input and Output'!$B$10)+('Input and Output'!D$24*Calculations!$C$5)+('Input and Output'!D$25*Calculations!$C$6)+('Input and Output'!D$26*(IF('Input and Output'!F$7="Detritus",Calculations!$C$4,I834))-(SUM('Input and Output'!D$27:D$32))*J833))</f>
        <v>9.3834029757999815E-4</v>
      </c>
      <c r="F834" s="49" t="e">
        <f>(('Input and Output'!E$23*'Input and Output'!$B$10)+('Input and Output'!E$24*Calculations!$C$5)+('Input and Output'!E$25*Calculations!$C$6)+('Input and Output'!E$26*(IF('Input and Output'!G$7="Detritus",Calculations!$C$4,J834))-(SUM('Input and Output'!E$27:E$32))*K833))</f>
        <v>#N/A</v>
      </c>
      <c r="H834" s="49">
        <f>IF(H$2="",NA(),C834*$B834+H833)</f>
        <v>324480.51893517817</v>
      </c>
      <c r="I834" s="49">
        <f>IF(I$2="",NA(),D834*$B834+I833)</f>
        <v>2973160.2661424945</v>
      </c>
      <c r="J834" s="49">
        <f>IF(J$2="",NA(),E834*$B834+J833)</f>
        <v>1381886.066680037</v>
      </c>
      <c r="K834" s="49" t="e">
        <f>IF(K$2="",NA(),F834*$B834+K833)</f>
        <v>#N/A</v>
      </c>
    </row>
    <row r="835" spans="1:11" x14ac:dyDescent="0.4">
      <c r="A835" s="49">
        <v>832</v>
      </c>
      <c r="B835" s="49">
        <f>A835/$B$1</f>
        <v>34.666666666666664</v>
      </c>
      <c r="C835" s="49">
        <f>(('Input and Output'!B$23*'Input and Output'!$B$10)+('Input and Output'!B$24*Calculations!$C$5)+('Input and Output'!B$25*Calculations!$C$6)+('Input and Output'!B$26*(IF('Input and Output'!D$7="Detritus",Calculations!$C$4,G835))-(SUM('Input and Output'!B$27:B$32))*H834))</f>
        <v>2.4884617437237466E-4</v>
      </c>
      <c r="D835" s="49">
        <f>(('Input and Output'!C$23*'Input and Output'!$B$10)+('Input and Output'!C$24*Calculations!$C$5)+('Input and Output'!C$25*Calculations!$C$6)+('Input and Output'!C$26*(IF('Input and Output'!E$7="Detritus",Calculations!$C$4,H835))-(SUM('Input and Output'!C$27:C$32))*I834))</f>
        <v>2.0794131478396594E-3</v>
      </c>
      <c r="E835" s="49">
        <f>(('Input and Output'!D$23*'Input and Output'!$B$10)+('Input and Output'!D$24*Calculations!$C$5)+('Input and Output'!D$25*Calculations!$C$6)+('Input and Output'!D$26*(IF('Input and Output'!F$7="Detritus",Calculations!$C$4,I835))-(SUM('Input and Output'!D$27:D$32))*J834))</f>
        <v>9.0693741003633477E-4</v>
      </c>
      <c r="F835" s="49" t="e">
        <f>(('Input and Output'!E$23*'Input and Output'!$B$10)+('Input and Output'!E$24*Calculations!$C$5)+('Input and Output'!E$25*Calculations!$C$6)+('Input and Output'!E$26*(IF('Input and Output'!G$7="Detritus",Calculations!$C$4,J835))-(SUM('Input and Output'!E$27:E$32))*K834))</f>
        <v>#N/A</v>
      </c>
      <c r="H835" s="49">
        <f>IF(H$2="",NA(),C835*$B835+H834)</f>
        <v>324480.52756184555</v>
      </c>
      <c r="I835" s="49">
        <f>IF(I$2="",NA(),D835*$B835+I834)</f>
        <v>2973160.3382288171</v>
      </c>
      <c r="J835" s="49">
        <f>IF(J$2="",NA(),E835*$B835+J834)</f>
        <v>1381886.0981205339</v>
      </c>
      <c r="K835" s="49" t="e">
        <f>IF(K$2="",NA(),F835*$B835+K834)</f>
        <v>#N/A</v>
      </c>
    </row>
    <row r="836" spans="1:11" x14ac:dyDescent="0.4">
      <c r="A836" s="49">
        <v>833</v>
      </c>
      <c r="B836" s="49">
        <f>A836/$B$1</f>
        <v>34.708333333333336</v>
      </c>
      <c r="C836" s="49">
        <f>(('Input and Output'!B$23*'Input and Output'!$B$10)+('Input and Output'!B$24*Calculations!$C$5)+('Input and Output'!B$25*Calculations!$C$6)+('Input and Output'!B$26*(IF('Input and Output'!D$7="Detritus",Calculations!$C$4,G836))-(SUM('Input and Output'!B$27:B$32))*H835))</f>
        <v>2.405290827027784E-4</v>
      </c>
      <c r="D836" s="49">
        <f>(('Input and Output'!C$23*'Input and Output'!$B$10)+('Input and Output'!C$24*Calculations!$C$5)+('Input and Output'!C$25*Calculations!$C$6)+('Input and Output'!C$26*(IF('Input and Output'!E$7="Detritus",Calculations!$C$4,H836))-(SUM('Input and Output'!C$27:C$32))*I835))</f>
        <v>2.0098259219594183E-3</v>
      </c>
      <c r="E836" s="49">
        <f>(('Input and Output'!D$23*'Input and Output'!$B$10)+('Input and Output'!D$24*Calculations!$C$5)+('Input and Output'!D$25*Calculations!$C$6)+('Input and Output'!D$26*(IF('Input and Output'!F$7="Detritus",Calculations!$C$4,I836))-(SUM('Input and Output'!D$27:D$32))*J835))</f>
        <v>8.7654924209346063E-4</v>
      </c>
      <c r="F836" s="49" t="e">
        <f>(('Input and Output'!E$23*'Input and Output'!$B$10)+('Input and Output'!E$24*Calculations!$C$5)+('Input and Output'!E$25*Calculations!$C$6)+('Input and Output'!E$26*(IF('Input and Output'!G$7="Detritus",Calculations!$C$4,J836))-(SUM('Input and Output'!E$27:E$32))*K835))</f>
        <v>#N/A</v>
      </c>
      <c r="H836" s="49">
        <f>IF(H$2="",NA(),C836*$B836+H835)</f>
        <v>324480.53591020912</v>
      </c>
      <c r="I836" s="49">
        <f>IF(I$2="",NA(),D836*$B836+I835)</f>
        <v>2973160.407986525</v>
      </c>
      <c r="J836" s="49">
        <f>IF(J$2="",NA(),E836*$B836+J835)</f>
        <v>1381886.1285440971</v>
      </c>
      <c r="K836" s="49" t="e">
        <f>IF(K$2="",NA(),F836*$B836+K835)</f>
        <v>#N/A</v>
      </c>
    </row>
    <row r="837" spans="1:11" x14ac:dyDescent="0.4">
      <c r="A837" s="49">
        <v>834</v>
      </c>
      <c r="B837" s="49">
        <f>A837/$B$1</f>
        <v>34.75</v>
      </c>
      <c r="C837" s="49">
        <f>(('Input and Output'!B$23*'Input and Output'!$B$10)+('Input and Output'!B$24*Calculations!$C$5)+('Input and Output'!B$25*Calculations!$C$6)+('Input and Output'!B$26*(IF('Input and Output'!D$7="Detritus",Calculations!$C$4,G837))-(SUM('Input and Output'!B$27:B$32))*H836))</f>
        <v>2.3248030765898875E-4</v>
      </c>
      <c r="D837" s="49">
        <f>(('Input and Output'!C$23*'Input and Output'!$B$10)+('Input and Output'!C$24*Calculations!$C$5)+('Input and Output'!C$25*Calculations!$C$6)+('Input and Output'!C$26*(IF('Input and Output'!E$7="Detritus",Calculations!$C$4,H837))-(SUM('Input and Output'!C$27:C$32))*I836))</f>
        <v>1.9424866932240548E-3</v>
      </c>
      <c r="E837" s="49">
        <f>(('Input and Output'!D$23*'Input and Output'!$B$10)+('Input and Output'!D$24*Calculations!$C$5)+('Input and Output'!D$25*Calculations!$C$6)+('Input and Output'!D$26*(IF('Input and Output'!F$7="Detritus",Calculations!$C$4,I837))-(SUM('Input and Output'!D$27:D$32))*J836))</f>
        <v>8.4714392505702563E-4</v>
      </c>
      <c r="F837" s="49" t="e">
        <f>(('Input and Output'!E$23*'Input and Output'!$B$10)+('Input and Output'!E$24*Calculations!$C$5)+('Input and Output'!E$25*Calculations!$C$6)+('Input and Output'!E$26*(IF('Input and Output'!G$7="Detritus",Calculations!$C$4,J837))-(SUM('Input and Output'!E$27:E$32))*K836))</f>
        <v>#N/A</v>
      </c>
      <c r="H837" s="49">
        <f>IF(H$2="",NA(),C837*$B837+H836)</f>
        <v>324480.54398889979</v>
      </c>
      <c r="I837" s="49">
        <f>IF(I$2="",NA(),D837*$B837+I836)</f>
        <v>2973160.4754879377</v>
      </c>
      <c r="J837" s="49">
        <f>IF(J$2="",NA(),E837*$B837+J836)</f>
        <v>1381886.1579823485</v>
      </c>
      <c r="K837" s="49" t="e">
        <f>IF(K$2="",NA(),F837*$B837+K836)</f>
        <v>#N/A</v>
      </c>
    </row>
    <row r="838" spans="1:11" x14ac:dyDescent="0.4">
      <c r="A838" s="49">
        <v>835</v>
      </c>
      <c r="B838" s="49">
        <f>A838/$B$1</f>
        <v>34.791666666666664</v>
      </c>
      <c r="C838" s="49">
        <f>(('Input and Output'!B$23*'Input and Output'!$B$10)+('Input and Output'!B$24*Calculations!$C$5)+('Input and Output'!B$25*Calculations!$C$6)+('Input and Output'!B$26*(IF('Input and Output'!D$7="Detritus",Calculations!$C$4,G838))-(SUM('Input and Output'!B$27:B$32))*H837))</f>
        <v>2.2469152804660553E-4</v>
      </c>
      <c r="D838" s="49">
        <f>(('Input and Output'!C$23*'Input and Output'!$B$10)+('Input and Output'!C$24*Calculations!$C$5)+('Input and Output'!C$25*Calculations!$C$6)+('Input and Output'!C$26*(IF('Input and Output'!E$7="Detritus",Calculations!$C$4,H838))-(SUM('Input and Output'!C$27:C$32))*I837))</f>
        <v>1.877325644272787E-3</v>
      </c>
      <c r="E838" s="49">
        <f>(('Input and Output'!D$23*'Input and Output'!$B$10)+('Input and Output'!D$24*Calculations!$C$5)+('Input and Output'!D$25*Calculations!$C$6)+('Input and Output'!D$26*(IF('Input and Output'!F$7="Detritus",Calculations!$C$4,I838))-(SUM('Input and Output'!D$27:D$32))*J837))</f>
        <v>8.186911181837786E-4</v>
      </c>
      <c r="F838" s="49" t="e">
        <f>(('Input and Output'!E$23*'Input and Output'!$B$10)+('Input and Output'!E$24*Calculations!$C$5)+('Input and Output'!E$25*Calculations!$C$6)+('Input and Output'!E$26*(IF('Input and Output'!G$7="Detritus",Calculations!$C$4,J838))-(SUM('Input and Output'!E$27:E$32))*K837))</f>
        <v>#N/A</v>
      </c>
      <c r="H838" s="49">
        <f>IF(H$2="",NA(),C838*$B838+H837)</f>
        <v>324480.55180629255</v>
      </c>
      <c r="I838" s="49">
        <f>IF(I$2="",NA(),D838*$B838+I837)</f>
        <v>2973160.5408032257</v>
      </c>
      <c r="J838" s="49">
        <f>IF(J$2="",NA(),E838*$B838+J837)</f>
        <v>1381886.186465977</v>
      </c>
      <c r="K838" s="49" t="e">
        <f>IF(K$2="",NA(),F838*$B838+K837)</f>
        <v>#N/A</v>
      </c>
    </row>
    <row r="839" spans="1:11" x14ac:dyDescent="0.4">
      <c r="A839" s="49">
        <v>836</v>
      </c>
      <c r="B839" s="49">
        <f>A839/$B$1</f>
        <v>34.833333333333336</v>
      </c>
      <c r="C839" s="49">
        <f>(('Input and Output'!B$23*'Input and Output'!$B$10)+('Input and Output'!B$24*Calculations!$C$5)+('Input and Output'!B$25*Calculations!$C$6)+('Input and Output'!B$26*(IF('Input and Output'!D$7="Detritus",Calculations!$C$4,G839))-(SUM('Input and Output'!B$27:B$32))*H838))</f>
        <v>2.1715466942850981E-4</v>
      </c>
      <c r="D839" s="49">
        <f>(('Input and Output'!C$23*'Input and Output'!$B$10)+('Input and Output'!C$24*Calculations!$C$5)+('Input and Output'!C$25*Calculations!$C$6)+('Input and Output'!C$26*(IF('Input and Output'!E$7="Detritus",Calculations!$C$4,H839))-(SUM('Input and Output'!C$27:C$32))*I838))</f>
        <v>1.8142750268452801E-3</v>
      </c>
      <c r="E839" s="49">
        <f>(('Input and Output'!D$23*'Input and Output'!$B$10)+('Input and Output'!D$24*Calculations!$C$5)+('Input and Output'!D$25*Calculations!$C$6)+('Input and Output'!D$26*(IF('Input and Output'!F$7="Detritus",Calculations!$C$4,I839))-(SUM('Input and Output'!D$27:D$32))*J838))</f>
        <v>7.9116101915133186E-4</v>
      </c>
      <c r="F839" s="49" t="e">
        <f>(('Input and Output'!E$23*'Input and Output'!$B$10)+('Input and Output'!E$24*Calculations!$C$5)+('Input and Output'!E$25*Calculations!$C$6)+('Input and Output'!E$26*(IF('Input and Output'!G$7="Detritus",Calculations!$C$4,J839))-(SUM('Input and Output'!E$27:E$32))*K838))</f>
        <v>#N/A</v>
      </c>
      <c r="H839" s="49">
        <f>IF(H$2="",NA(),C839*$B839+H838)</f>
        <v>324480.55937051354</v>
      </c>
      <c r="I839" s="49">
        <f>IF(I$2="",NA(),D839*$B839+I838)</f>
        <v>2973160.6040004725</v>
      </c>
      <c r="J839" s="49">
        <f>IF(J$2="",NA(),E839*$B839+J838)</f>
        <v>1381886.2140247524</v>
      </c>
      <c r="K839" s="49" t="e">
        <f>IF(K$2="",NA(),F839*$B839+K838)</f>
        <v>#N/A</v>
      </c>
    </row>
    <row r="840" spans="1:11" x14ac:dyDescent="0.4">
      <c r="A840" s="49">
        <v>837</v>
      </c>
      <c r="B840" s="49">
        <f>A840/$B$1</f>
        <v>34.875</v>
      </c>
      <c r="C840" s="49">
        <f>(('Input and Output'!B$23*'Input and Output'!$B$10)+('Input and Output'!B$24*Calculations!$C$5)+('Input and Output'!B$25*Calculations!$C$6)+('Input and Output'!B$26*(IF('Input and Output'!D$7="Detritus",Calculations!$C$4,G840))-(SUM('Input and Output'!B$27:B$32))*H839))</f>
        <v>2.0986189730365368E-4</v>
      </c>
      <c r="D840" s="49">
        <f>(('Input and Output'!C$23*'Input and Output'!$B$10)+('Input and Output'!C$24*Calculations!$C$5)+('Input and Output'!C$25*Calculations!$C$6)+('Input and Output'!C$26*(IF('Input and Output'!E$7="Detritus",Calculations!$C$4,H840))-(SUM('Input and Output'!C$27:C$32))*I839))</f>
        <v>1.7532691153974156E-3</v>
      </c>
      <c r="E840" s="49">
        <f>(('Input and Output'!D$23*'Input and Output'!$B$10)+('Input and Output'!D$24*Calculations!$C$5)+('Input and Output'!D$25*Calculations!$C$6)+('Input and Output'!D$26*(IF('Input and Output'!F$7="Detritus",Calculations!$C$4,I840))-(SUM('Input and Output'!D$27:D$32))*J839))</f>
        <v>7.6452496068668552E-4</v>
      </c>
      <c r="F840" s="49" t="e">
        <f>(('Input and Output'!E$23*'Input and Output'!$B$10)+('Input and Output'!E$24*Calculations!$C$5)+('Input and Output'!E$25*Calculations!$C$6)+('Input and Output'!E$26*(IF('Input and Output'!G$7="Detritus",Calculations!$C$4,J840))-(SUM('Input and Output'!E$27:E$32))*K839))</f>
        <v>#N/A</v>
      </c>
      <c r="H840" s="49">
        <f>IF(H$2="",NA(),C840*$B840+H839)</f>
        <v>324480.56668944721</v>
      </c>
      <c r="I840" s="49">
        <f>IF(I$2="",NA(),D840*$B840+I839)</f>
        <v>2973160.6651457329</v>
      </c>
      <c r="J840" s="49">
        <f>IF(J$2="",NA(),E840*$B840+J839)</f>
        <v>1381886.2406875603</v>
      </c>
      <c r="K840" s="49" t="e">
        <f>IF(K$2="",NA(),F840*$B840+K839)</f>
        <v>#N/A</v>
      </c>
    </row>
    <row r="841" spans="1:11" x14ac:dyDescent="0.4">
      <c r="A841" s="49">
        <v>838</v>
      </c>
      <c r="B841" s="49">
        <f>A841/$B$1</f>
        <v>34.916666666666664</v>
      </c>
      <c r="C841" s="49">
        <f>(('Input and Output'!B$23*'Input and Output'!$B$10)+('Input and Output'!B$24*Calculations!$C$5)+('Input and Output'!B$25*Calculations!$C$6)+('Input and Output'!B$26*(IF('Input and Output'!D$7="Detritus",Calculations!$C$4,G841))-(SUM('Input and Output'!B$27:B$32))*H840))</f>
        <v>2.0280561011531972E-4</v>
      </c>
      <c r="D841" s="49">
        <f>(('Input and Output'!C$23*'Input and Output'!$B$10)+('Input and Output'!C$24*Calculations!$C$5)+('Input and Output'!C$25*Calculations!$C$6)+('Input and Output'!C$26*(IF('Input and Output'!E$7="Detritus",Calculations!$C$4,H841))-(SUM('Input and Output'!C$27:C$32))*I840))</f>
        <v>1.6942441334322211E-3</v>
      </c>
      <c r="E841" s="49">
        <f>(('Input and Output'!D$23*'Input and Output'!$B$10)+('Input and Output'!D$24*Calculations!$C$5)+('Input and Output'!D$25*Calculations!$C$6)+('Input and Output'!D$26*(IF('Input and Output'!F$7="Detritus",Calculations!$C$4,I841))-(SUM('Input and Output'!D$27:D$32))*J840))</f>
        <v>7.3875485759344883E-4</v>
      </c>
      <c r="F841" s="49" t="e">
        <f>(('Input and Output'!E$23*'Input and Output'!$B$10)+('Input and Output'!E$24*Calculations!$C$5)+('Input and Output'!E$25*Calculations!$C$6)+('Input and Output'!E$26*(IF('Input and Output'!G$7="Detritus",Calculations!$C$4,J841))-(SUM('Input and Output'!E$27:E$32))*K840))</f>
        <v>#N/A</v>
      </c>
      <c r="H841" s="49">
        <f>IF(H$2="",NA(),C841*$B841+H840)</f>
        <v>324480.5737707431</v>
      </c>
      <c r="I841" s="49">
        <f>IF(I$2="",NA(),D841*$B841+I840)</f>
        <v>2973160.7243030905</v>
      </c>
      <c r="J841" s="49">
        <f>IF(J$2="",NA(),E841*$B841+J840)</f>
        <v>1381886.2664824175</v>
      </c>
      <c r="K841" s="49" t="e">
        <f>IF(K$2="",NA(),F841*$B841+K840)</f>
        <v>#N/A</v>
      </c>
    </row>
    <row r="842" spans="1:11" x14ac:dyDescent="0.4">
      <c r="A842" s="49">
        <v>839</v>
      </c>
      <c r="B842" s="49">
        <f>A842/$B$1</f>
        <v>34.958333333333336</v>
      </c>
      <c r="C842" s="49">
        <f>(('Input and Output'!B$23*'Input and Output'!$B$10)+('Input and Output'!B$24*Calculations!$C$5)+('Input and Output'!B$25*Calculations!$C$6)+('Input and Output'!B$26*(IF('Input and Output'!D$7="Detritus",Calculations!$C$4,G842))-(SUM('Input and Output'!B$27:B$32))*H841))</f>
        <v>1.959784328846581E-4</v>
      </c>
      <c r="D842" s="49">
        <f>(('Input and Output'!C$23*'Input and Output'!$B$10)+('Input and Output'!C$24*Calculations!$C$5)+('Input and Output'!C$25*Calculations!$C$6)+('Input and Output'!C$26*(IF('Input and Output'!E$7="Detritus",Calculations!$C$4,H842))-(SUM('Input and Output'!C$27:C$32))*I841))</f>
        <v>1.6371382189390715E-3</v>
      </c>
      <c r="E842" s="49">
        <f>(('Input and Output'!D$23*'Input and Output'!$B$10)+('Input and Output'!D$24*Calculations!$C$5)+('Input and Output'!D$25*Calculations!$C$6)+('Input and Output'!D$26*(IF('Input and Output'!F$7="Detritus",Calculations!$C$4,I842))-(SUM('Input and Output'!D$27:D$32))*J841))</f>
        <v>7.1382381793227978E-4</v>
      </c>
      <c r="F842" s="49" t="e">
        <f>(('Input and Output'!E$23*'Input and Output'!$B$10)+('Input and Output'!E$24*Calculations!$C$5)+('Input and Output'!E$25*Calculations!$C$6)+('Input and Output'!E$26*(IF('Input and Output'!G$7="Detritus",Calculations!$C$4,J842))-(SUM('Input and Output'!E$27:E$32))*K841))</f>
        <v>#N/A</v>
      </c>
      <c r="H842" s="49">
        <f>IF(H$2="",NA(),C842*$B842+H841)</f>
        <v>324480.5806218225</v>
      </c>
      <c r="I842" s="49">
        <f>IF(I$2="",NA(),D842*$B842+I841)</f>
        <v>2973160.7815347142</v>
      </c>
      <c r="J842" s="49">
        <f>IF(J$2="",NA(),E842*$B842+J841)</f>
        <v>1381886.2914365085</v>
      </c>
      <c r="K842" s="49" t="e">
        <f>IF(K$2="",NA(),F842*$B842+K841)</f>
        <v>#N/A</v>
      </c>
    </row>
    <row r="843" spans="1:11" x14ac:dyDescent="0.4">
      <c r="A843" s="49">
        <v>840</v>
      </c>
      <c r="B843" s="49">
        <f>A843/$B$1</f>
        <v>35</v>
      </c>
      <c r="C843" s="49">
        <f>(('Input and Output'!B$23*'Input and Output'!$B$10)+('Input and Output'!B$24*Calculations!$C$5)+('Input and Output'!B$25*Calculations!$C$6)+('Input and Output'!B$26*(IF('Input and Output'!D$7="Detritus",Calculations!$C$4,G843))-(SUM('Input and Output'!B$27:B$32))*H842))</f>
        <v>1.8937321061684997E-4</v>
      </c>
      <c r="D843" s="49">
        <f>(('Input and Output'!C$23*'Input and Output'!$B$10)+('Input and Output'!C$24*Calculations!$C$5)+('Input and Output'!C$25*Calculations!$C$6)+('Input and Output'!C$26*(IF('Input and Output'!E$7="Detritus",Calculations!$C$4,H843))-(SUM('Input and Output'!C$27:C$32))*I842))</f>
        <v>1.5818913461771444E-3</v>
      </c>
      <c r="E843" s="49">
        <f>(('Input and Output'!D$23*'Input and Output'!$B$10)+('Input and Output'!D$24*Calculations!$C$5)+('Input and Output'!D$25*Calculations!$C$6)+('Input and Output'!D$26*(IF('Input and Output'!F$7="Detritus",Calculations!$C$4,I843))-(SUM('Input and Output'!D$27:D$32))*J842))</f>
        <v>6.8970540087320842E-4</v>
      </c>
      <c r="F843" s="49" t="e">
        <f>(('Input and Output'!E$23*'Input and Output'!$B$10)+('Input and Output'!E$24*Calculations!$C$5)+('Input and Output'!E$25*Calculations!$C$6)+('Input and Output'!E$26*(IF('Input and Output'!G$7="Detritus",Calculations!$C$4,J843))-(SUM('Input and Output'!E$27:E$32))*K842))</f>
        <v>#N/A</v>
      </c>
      <c r="H843" s="49">
        <f>IF(H$2="",NA(),C843*$B843+H842)</f>
        <v>324480.58724988485</v>
      </c>
      <c r="I843" s="49">
        <f>IF(I$2="",NA(),D843*$B843+I842)</f>
        <v>2973160.8369009113</v>
      </c>
      <c r="J843" s="49">
        <f>IF(J$2="",NA(),E843*$B843+J842)</f>
        <v>1381886.3155761976</v>
      </c>
      <c r="K843" s="49" t="e">
        <f>IF(K$2="",NA(),F843*$B843+K842)</f>
        <v>#N/A</v>
      </c>
    </row>
    <row r="844" spans="1:11" x14ac:dyDescent="0.4">
      <c r="A844" s="49">
        <v>841</v>
      </c>
      <c r="B844" s="49">
        <f>A844/$B$1</f>
        <v>35.041666666666664</v>
      </c>
      <c r="C844" s="49">
        <f>(('Input and Output'!B$23*'Input and Output'!$B$10)+('Input and Output'!B$24*Calculations!$C$5)+('Input and Output'!B$25*Calculations!$C$6)+('Input and Output'!B$26*(IF('Input and Output'!D$7="Detritus",Calculations!$C$4,G844))-(SUM('Input and Output'!B$27:B$32))*H843))</f>
        <v>1.8298300227570508E-4</v>
      </c>
      <c r="D844" s="49">
        <f>(('Input and Output'!C$23*'Input and Output'!$B$10)+('Input and Output'!C$24*Calculations!$C$5)+('Input and Output'!C$25*Calculations!$C$6)+('Input and Output'!C$26*(IF('Input and Output'!E$7="Detritus",Calculations!$C$4,H844))-(SUM('Input and Output'!C$27:C$32))*I843))</f>
        <v>1.5284452983905794E-3</v>
      </c>
      <c r="E844" s="49">
        <f>(('Input and Output'!D$23*'Input and Output'!$B$10)+('Input and Output'!D$24*Calculations!$C$5)+('Input and Output'!D$25*Calculations!$C$6)+('Input and Output'!D$26*(IF('Input and Output'!F$7="Detritus",Calculations!$C$4,I844))-(SUM('Input and Output'!D$27:D$32))*J843))</f>
        <v>6.6637425697990693E-4</v>
      </c>
      <c r="F844" s="49" t="e">
        <f>(('Input and Output'!E$23*'Input and Output'!$B$10)+('Input and Output'!E$24*Calculations!$C$5)+('Input and Output'!E$25*Calculations!$C$6)+('Input and Output'!E$26*(IF('Input and Output'!G$7="Detritus",Calculations!$C$4,J844))-(SUM('Input and Output'!E$27:E$32))*K843))</f>
        <v>#N/A</v>
      </c>
      <c r="H844" s="49">
        <f>IF(H$2="",NA(),C844*$B844+H843)</f>
        <v>324480.59366191423</v>
      </c>
      <c r="I844" s="49">
        <f>IF(I$2="",NA(),D844*$B844+I843)</f>
        <v>2973160.890460182</v>
      </c>
      <c r="J844" s="49">
        <f>IF(J$2="",NA(),E844*$B844+J843)</f>
        <v>1381886.3389270622</v>
      </c>
      <c r="K844" s="49" t="e">
        <f>IF(K$2="",NA(),F844*$B844+K843)</f>
        <v>#N/A</v>
      </c>
    </row>
    <row r="845" spans="1:11" x14ac:dyDescent="0.4">
      <c r="A845" s="49">
        <v>842</v>
      </c>
      <c r="B845" s="49">
        <f>A845/$B$1</f>
        <v>35.083333333333336</v>
      </c>
      <c r="C845" s="49">
        <f>(('Input and Output'!B$23*'Input and Output'!$B$10)+('Input and Output'!B$24*Calculations!$C$5)+('Input and Output'!B$25*Calculations!$C$6)+('Input and Output'!B$26*(IF('Input and Output'!D$7="Detritus",Calculations!$C$4,G845))-(SUM('Input and Output'!B$27:B$32))*H844))</f>
        <v>1.76801074303512E-4</v>
      </c>
      <c r="D845" s="49">
        <f>(('Input and Output'!C$23*'Input and Output'!$B$10)+('Input and Output'!C$24*Calculations!$C$5)+('Input and Output'!C$25*Calculations!$C$6)+('Input and Output'!C$26*(IF('Input and Output'!E$7="Detritus",Calculations!$C$4,H845))-(SUM('Input and Output'!C$27:C$32))*I844))</f>
        <v>1.4767435950489016E-3</v>
      </c>
      <c r="E845" s="49">
        <f>(('Input and Output'!D$23*'Input and Output'!$B$10)+('Input and Output'!D$24*Calculations!$C$5)+('Input and Output'!D$25*Calculations!$C$6)+('Input and Output'!D$26*(IF('Input and Output'!F$7="Detritus",Calculations!$C$4,I845))-(SUM('Input and Output'!D$27:D$32))*J844))</f>
        <v>6.4380547337350436E-4</v>
      </c>
      <c r="F845" s="49" t="e">
        <f>(('Input and Output'!E$23*'Input and Output'!$B$10)+('Input and Output'!E$24*Calculations!$C$5)+('Input and Output'!E$25*Calculations!$C$6)+('Input and Output'!E$26*(IF('Input and Output'!G$7="Detritus",Calculations!$C$4,J845))-(SUM('Input and Output'!E$27:E$32))*K844))</f>
        <v>#N/A</v>
      </c>
      <c r="H845" s="49">
        <f>IF(H$2="",NA(),C845*$B845+H844)</f>
        <v>324480.59986468527</v>
      </c>
      <c r="I845" s="49">
        <f>IF(I$2="",NA(),D845*$B845+I844)</f>
        <v>2973160.9422692698</v>
      </c>
      <c r="J845" s="49">
        <f>IF(J$2="",NA(),E845*$B845+J844)</f>
        <v>1381886.3615139043</v>
      </c>
      <c r="K845" s="49" t="e">
        <f>IF(K$2="",NA(),F845*$B845+K844)</f>
        <v>#N/A</v>
      </c>
    </row>
    <row r="846" spans="1:11" x14ac:dyDescent="0.4">
      <c r="A846" s="49">
        <v>843</v>
      </c>
      <c r="B846" s="49">
        <f>A846/$B$1</f>
        <v>35.125</v>
      </c>
      <c r="C846" s="49">
        <f>(('Input and Output'!B$23*'Input and Output'!$B$10)+('Input and Output'!B$24*Calculations!$C$5)+('Input and Output'!B$25*Calculations!$C$6)+('Input and Output'!B$26*(IF('Input and Output'!D$7="Detritus",Calculations!$C$4,G846))-(SUM('Input and Output'!B$27:B$32))*H845))</f>
        <v>1.7082089527775679E-4</v>
      </c>
      <c r="D846" s="49">
        <f>(('Input and Output'!C$23*'Input and Output'!$B$10)+('Input and Output'!C$24*Calculations!$C$5)+('Input and Output'!C$25*Calculations!$C$6)+('Input and Output'!C$26*(IF('Input and Output'!E$7="Detritus",Calculations!$C$4,H846))-(SUM('Input and Output'!C$27:C$32))*I845))</f>
        <v>1.4267314536482445E-3</v>
      </c>
      <c r="E846" s="49">
        <f>(('Input and Output'!D$23*'Input and Output'!$B$10)+('Input and Output'!D$24*Calculations!$C$5)+('Input and Output'!D$25*Calculations!$C$6)+('Input and Output'!D$26*(IF('Input and Output'!F$7="Detritus",Calculations!$C$4,I846))-(SUM('Input and Output'!D$27:D$32))*J845))</f>
        <v>6.2197535953600891E-4</v>
      </c>
      <c r="F846" s="49" t="e">
        <f>(('Input and Output'!E$23*'Input and Output'!$B$10)+('Input and Output'!E$24*Calculations!$C$5)+('Input and Output'!E$25*Calculations!$C$6)+('Input and Output'!E$26*(IF('Input and Output'!G$7="Detritus",Calculations!$C$4,J846))-(SUM('Input and Output'!E$27:E$32))*K845))</f>
        <v>#N/A</v>
      </c>
      <c r="H846" s="49">
        <f>IF(H$2="",NA(),C846*$B846+H845)</f>
        <v>324480.6058647692</v>
      </c>
      <c r="I846" s="49">
        <f>IF(I$2="",NA(),D846*$B846+I845)</f>
        <v>2973160.9923832123</v>
      </c>
      <c r="J846" s="49">
        <f>IF(J$2="",NA(),E846*$B846+J845)</f>
        <v>1381886.3833607887</v>
      </c>
      <c r="K846" s="49" t="e">
        <f>IF(K$2="",NA(),F846*$B846+K845)</f>
        <v>#N/A</v>
      </c>
    </row>
    <row r="847" spans="1:11" x14ac:dyDescent="0.4">
      <c r="A847" s="49">
        <v>844</v>
      </c>
      <c r="B847" s="49">
        <f>A847/$B$1</f>
        <v>35.166666666666664</v>
      </c>
      <c r="C847" s="49">
        <f>(('Input and Output'!B$23*'Input and Output'!$B$10)+('Input and Output'!B$24*Calculations!$C$5)+('Input and Output'!B$25*Calculations!$C$6)+('Input and Output'!B$26*(IF('Input and Output'!D$7="Detritus",Calculations!$C$4,G847))-(SUM('Input and Output'!B$27:B$32))*H846))</f>
        <v>1.6503612971519033E-4</v>
      </c>
      <c r="D847" s="49">
        <f>(('Input and Output'!C$23*'Input and Output'!$B$10)+('Input and Output'!C$24*Calculations!$C$5)+('Input and Output'!C$25*Calculations!$C$6)+('Input and Output'!C$26*(IF('Input and Output'!E$7="Detritus",Calculations!$C$4,H847))-(SUM('Input and Output'!C$27:C$32))*I846))</f>
        <v>1.3783557433271199E-3</v>
      </c>
      <c r="E847" s="49">
        <f>(('Input and Output'!D$23*'Input and Output'!$B$10)+('Input and Output'!D$24*Calculations!$C$5)+('Input and Output'!D$25*Calculations!$C$6)+('Input and Output'!D$26*(IF('Input and Output'!F$7="Detritus",Calculations!$C$4,I847))-(SUM('Input and Output'!D$27:D$32))*J846))</f>
        <v>6.0086029770900495E-4</v>
      </c>
      <c r="F847" s="49" t="e">
        <f>(('Input and Output'!E$23*'Input and Output'!$B$10)+('Input and Output'!E$24*Calculations!$C$5)+('Input and Output'!E$25*Calculations!$C$6)+('Input and Output'!E$26*(IF('Input and Output'!G$7="Detritus",Calculations!$C$4,J847))-(SUM('Input and Output'!E$27:E$32))*K846))</f>
        <v>#N/A</v>
      </c>
      <c r="H847" s="49">
        <f>IF(H$2="",NA(),C847*$B847+H846)</f>
        <v>324480.61166853976</v>
      </c>
      <c r="I847" s="49">
        <f>IF(I$2="",NA(),D847*$B847+I846)</f>
        <v>2973161.0408553891</v>
      </c>
      <c r="J847" s="49">
        <f>IF(J$2="",NA(),E847*$B847+J846)</f>
        <v>1381886.4044910425</v>
      </c>
      <c r="K847" s="49" t="e">
        <f>IF(K$2="",NA(),F847*$B847+K846)</f>
        <v>#N/A</v>
      </c>
    </row>
    <row r="848" spans="1:11" x14ac:dyDescent="0.4">
      <c r="A848" s="49">
        <v>845</v>
      </c>
      <c r="B848" s="49">
        <f>A848/$B$1</f>
        <v>35.208333333333336</v>
      </c>
      <c r="C848" s="49">
        <f>(('Input and Output'!B$23*'Input and Output'!$B$10)+('Input and Output'!B$24*Calculations!$C$5)+('Input and Output'!B$25*Calculations!$C$6)+('Input and Output'!B$26*(IF('Input and Output'!D$7="Detritus",Calculations!$C$4,G848))-(SUM('Input and Output'!B$27:B$32))*H847))</f>
        <v>1.594406326717035E-4</v>
      </c>
      <c r="D848" s="49">
        <f>(('Input and Output'!C$23*'Input and Output'!$B$10)+('Input and Output'!C$24*Calculations!$C$5)+('Input and Output'!C$25*Calculations!$C$6)+('Input and Output'!C$26*(IF('Input and Output'!E$7="Detritus",Calculations!$C$4,H848))-(SUM('Input and Output'!C$27:C$32))*I847))</f>
        <v>1.3315649284777464E-3</v>
      </c>
      <c r="E848" s="49">
        <f>(('Input and Output'!D$23*'Input and Output'!$B$10)+('Input and Output'!D$24*Calculations!$C$5)+('Input and Output'!D$25*Calculations!$C$6)+('Input and Output'!D$26*(IF('Input and Output'!F$7="Detritus",Calculations!$C$4,I848))-(SUM('Input and Output'!D$27:D$32))*J847))</f>
        <v>5.8043809622176923E-4</v>
      </c>
      <c r="F848" s="49" t="e">
        <f>(('Input and Output'!E$23*'Input and Output'!$B$10)+('Input and Output'!E$24*Calculations!$C$5)+('Input and Output'!E$25*Calculations!$C$6)+('Input and Output'!E$26*(IF('Input and Output'!G$7="Detritus",Calculations!$C$4,J848))-(SUM('Input and Output'!E$27:E$32))*K847))</f>
        <v>#N/A</v>
      </c>
      <c r="H848" s="49">
        <f>IF(H$2="",NA(),C848*$B848+H847)</f>
        <v>324480.61728217872</v>
      </c>
      <c r="I848" s="49">
        <f>IF(I$2="",NA(),D848*$B848+I847)</f>
        <v>2973161.087737571</v>
      </c>
      <c r="J848" s="49">
        <f>IF(J$2="",NA(),E848*$B848+J847)</f>
        <v>1381886.4249273005</v>
      </c>
      <c r="K848" s="49" t="e">
        <f>IF(K$2="",NA(),F848*$B848+K847)</f>
        <v>#N/A</v>
      </c>
    </row>
    <row r="849" spans="1:11" x14ac:dyDescent="0.4">
      <c r="A849" s="49">
        <v>846</v>
      </c>
      <c r="B849" s="49">
        <f>A849/$B$1</f>
        <v>35.25</v>
      </c>
      <c r="C849" s="49">
        <f>(('Input and Output'!B$23*'Input and Output'!$B$10)+('Input and Output'!B$24*Calculations!$C$5)+('Input and Output'!B$25*Calculations!$C$6)+('Input and Output'!B$26*(IF('Input and Output'!D$7="Detritus",Calculations!$C$4,G849))-(SUM('Input and Output'!B$27:B$32))*H848))</f>
        <v>1.5402844417167216E-4</v>
      </c>
      <c r="D849" s="49">
        <f>(('Input and Output'!C$23*'Input and Output'!$B$10)+('Input and Output'!C$24*Calculations!$C$5)+('Input and Output'!C$25*Calculations!$C$6)+('Input and Output'!C$26*(IF('Input and Output'!E$7="Detritus",Calculations!$C$4,H849))-(SUM('Input and Output'!C$27:C$32))*I848))</f>
        <v>1.2863090296377777E-3</v>
      </c>
      <c r="E849" s="49">
        <f>(('Input and Output'!D$23*'Input and Output'!$B$10)+('Input and Output'!D$24*Calculations!$C$5)+('Input and Output'!D$25*Calculations!$C$6)+('Input and Output'!D$26*(IF('Input and Output'!F$7="Detritus",Calculations!$C$4,I849))-(SUM('Input and Output'!D$27:D$32))*J848))</f>
        <v>5.6068653429974802E-4</v>
      </c>
      <c r="F849" s="49" t="e">
        <f>(('Input and Output'!E$23*'Input and Output'!$B$10)+('Input and Output'!E$24*Calculations!$C$5)+('Input and Output'!E$25*Calculations!$C$6)+('Input and Output'!E$26*(IF('Input and Output'!G$7="Detritus",Calculations!$C$4,J849))-(SUM('Input and Output'!E$27:E$32))*K848))</f>
        <v>#N/A</v>
      </c>
      <c r="H849" s="49">
        <f>IF(H$2="",NA(),C849*$B849+H848)</f>
        <v>324480.62271168135</v>
      </c>
      <c r="I849" s="49">
        <f>IF(I$2="",NA(),D849*$B849+I848)</f>
        <v>2973161.1330799642</v>
      </c>
      <c r="J849" s="49">
        <f>IF(J$2="",NA(),E849*$B849+J848)</f>
        <v>1381886.4446915009</v>
      </c>
      <c r="K849" s="49" t="e">
        <f>IF(K$2="",NA(),F849*$B849+K848)</f>
        <v>#N/A</v>
      </c>
    </row>
    <row r="850" spans="1:11" x14ac:dyDescent="0.4">
      <c r="A850" s="49">
        <v>847</v>
      </c>
      <c r="B850" s="49">
        <f>A850/$B$1</f>
        <v>35.291666666666664</v>
      </c>
      <c r="C850" s="49">
        <f>(('Input and Output'!B$23*'Input and Output'!$B$10)+('Input and Output'!B$24*Calculations!$C$5)+('Input and Output'!B$25*Calculations!$C$6)+('Input and Output'!B$26*(IF('Input and Output'!D$7="Detritus",Calculations!$C$4,G850))-(SUM('Input and Output'!B$27:B$32))*H849))</f>
        <v>1.4879378414889288E-4</v>
      </c>
      <c r="D850" s="49">
        <f>(('Input and Output'!C$23*'Input and Output'!$B$10)+('Input and Output'!C$24*Calculations!$C$5)+('Input and Output'!C$25*Calculations!$C$6)+('Input and Output'!C$26*(IF('Input and Output'!E$7="Detritus",Calculations!$C$4,H850))-(SUM('Input and Output'!C$27:C$32))*I849))</f>
        <v>1.2425395771060721E-3</v>
      </c>
      <c r="E850" s="49">
        <f>(('Input and Output'!D$23*'Input and Output'!$B$10)+('Input and Output'!D$24*Calculations!$C$5)+('Input and Output'!D$25*Calculations!$C$6)+('Input and Output'!D$26*(IF('Input and Output'!F$7="Detritus",Calculations!$C$4,I850))-(SUM('Input and Output'!D$27:D$32))*J849))</f>
        <v>5.4158474449650384E-4</v>
      </c>
      <c r="F850" s="49" t="e">
        <f>(('Input and Output'!E$23*'Input and Output'!$B$10)+('Input and Output'!E$24*Calculations!$C$5)+('Input and Output'!E$25*Calculations!$C$6)+('Input and Output'!E$26*(IF('Input and Output'!G$7="Detritus",Calculations!$C$4,J850))-(SUM('Input and Output'!E$27:E$32))*K849))</f>
        <v>#N/A</v>
      </c>
      <c r="H850" s="49">
        <f>IF(H$2="",NA(),C850*$B850+H849)</f>
        <v>324480.62796286197</v>
      </c>
      <c r="I850" s="49">
        <f>IF(I$2="",NA(),D850*$B850+I849)</f>
        <v>2973161.1769312569</v>
      </c>
      <c r="J850" s="49">
        <f>IF(J$2="",NA(),E850*$B850+J849)</f>
        <v>1381886.4638049291</v>
      </c>
      <c r="K850" s="49" t="e">
        <f>IF(K$2="",NA(),F850*$B850+K849)</f>
        <v>#N/A</v>
      </c>
    </row>
    <row r="851" spans="1:11" x14ac:dyDescent="0.4">
      <c r="A851" s="49">
        <v>848</v>
      </c>
      <c r="B851" s="49">
        <f>A851/$B$1</f>
        <v>35.333333333333336</v>
      </c>
      <c r="C851" s="49">
        <f>(('Input and Output'!B$23*'Input and Output'!$B$10)+('Input and Output'!B$24*Calculations!$C$5)+('Input and Output'!B$25*Calculations!$C$6)+('Input and Output'!B$26*(IF('Input and Output'!D$7="Detritus",Calculations!$C$4,G851))-(SUM('Input and Output'!B$27:B$32))*H850))</f>
        <v>1.4373104681908444E-4</v>
      </c>
      <c r="D851" s="49">
        <f>(('Input and Output'!C$23*'Input and Output'!$B$10)+('Input and Output'!C$24*Calculations!$C$5)+('Input and Output'!C$25*Calculations!$C$6)+('Input and Output'!C$26*(IF('Input and Output'!E$7="Detritus",Calculations!$C$4,H851))-(SUM('Input and Output'!C$27:C$32))*I850))</f>
        <v>1.2002095663774526E-3</v>
      </c>
      <c r="E851" s="49">
        <f>(('Input and Output'!D$23*'Input and Output'!$B$10)+('Input and Output'!D$24*Calculations!$C$5)+('Input and Output'!D$25*Calculations!$C$6)+('Input and Output'!D$26*(IF('Input and Output'!F$7="Detritus",Calculations!$C$4,I851))-(SUM('Input and Output'!D$27:D$32))*J850))</f>
        <v>5.2311180115793832E-4</v>
      </c>
      <c r="F851" s="49" t="e">
        <f>(('Input and Output'!E$23*'Input and Output'!$B$10)+('Input and Output'!E$24*Calculations!$C$5)+('Input and Output'!E$25*Calculations!$C$6)+('Input and Output'!E$26*(IF('Input and Output'!G$7="Detritus",Calculations!$C$4,J851))-(SUM('Input and Output'!E$27:E$32))*K850))</f>
        <v>#N/A</v>
      </c>
      <c r="H851" s="49">
        <f>IF(H$2="",NA(),C851*$B851+H850)</f>
        <v>324480.63304135896</v>
      </c>
      <c r="I851" s="49">
        <f>IF(I$2="",NA(),D851*$B851+I850)</f>
        <v>2973161.2193386615</v>
      </c>
      <c r="J851" s="49">
        <f>IF(J$2="",NA(),E851*$B851+J850)</f>
        <v>1381886.4822882127</v>
      </c>
      <c r="K851" s="49" t="e">
        <f>IF(K$2="",NA(),F851*$B851+K850)</f>
        <v>#N/A</v>
      </c>
    </row>
    <row r="852" spans="1:11" x14ac:dyDescent="0.4">
      <c r="A852" s="49">
        <v>849</v>
      </c>
      <c r="B852" s="49">
        <f>A852/$B$1</f>
        <v>35.375</v>
      </c>
      <c r="C852" s="49">
        <f>(('Input and Output'!B$23*'Input and Output'!$B$10)+('Input and Output'!B$24*Calculations!$C$5)+('Input and Output'!B$25*Calculations!$C$6)+('Input and Output'!B$26*(IF('Input and Output'!D$7="Detritus",Calculations!$C$4,G852))-(SUM('Input and Output'!B$27:B$32))*H851))</f>
        <v>1.3883479624610118E-4</v>
      </c>
      <c r="D852" s="49">
        <f>(('Input and Output'!C$23*'Input and Output'!$B$10)+('Input and Output'!C$24*Calculations!$C$5)+('Input and Output'!C$25*Calculations!$C$6)+('Input and Output'!C$26*(IF('Input and Output'!E$7="Detritus",Calculations!$C$4,H852))-(SUM('Input and Output'!C$27:C$32))*I851))</f>
        <v>1.1592734163059504E-3</v>
      </c>
      <c r="E852" s="49">
        <f>(('Input and Output'!D$23*'Input and Output'!$B$10)+('Input and Output'!D$24*Calculations!$C$5)+('Input and Output'!D$25*Calculations!$C$6)+('Input and Output'!D$26*(IF('Input and Output'!F$7="Detritus",Calculations!$C$4,I852))-(SUM('Input and Output'!D$27:D$32))*J851))</f>
        <v>5.0524810285423882E-4</v>
      </c>
      <c r="F852" s="49" t="e">
        <f>(('Input and Output'!E$23*'Input and Output'!$B$10)+('Input and Output'!E$24*Calculations!$C$5)+('Input and Output'!E$25*Calculations!$C$6)+('Input and Output'!E$26*(IF('Input and Output'!G$7="Detritus",Calculations!$C$4,J852))-(SUM('Input and Output'!E$27:E$32))*K851))</f>
        <v>#N/A</v>
      </c>
      <c r="H852" s="49">
        <f>IF(H$2="",NA(),C852*$B852+H851)</f>
        <v>324480.6379526399</v>
      </c>
      <c r="I852" s="49">
        <f>IF(I$2="",NA(),D852*$B852+I851)</f>
        <v>2973161.2603479587</v>
      </c>
      <c r="J852" s="49">
        <f>IF(J$2="",NA(),E852*$B852+J851)</f>
        <v>1381886.5001613644</v>
      </c>
      <c r="K852" s="49" t="e">
        <f>IF(K$2="",NA(),F852*$B852+K851)</f>
        <v>#N/A</v>
      </c>
    </row>
    <row r="853" spans="1:11" x14ac:dyDescent="0.4">
      <c r="A853" s="49">
        <v>850</v>
      </c>
      <c r="B853" s="49">
        <f>A853/$B$1</f>
        <v>35.416666666666664</v>
      </c>
      <c r="C853" s="49">
        <f>(('Input and Output'!B$23*'Input and Output'!$B$10)+('Input and Output'!B$24*Calculations!$C$5)+('Input and Output'!B$25*Calculations!$C$6)+('Input and Output'!B$26*(IF('Input and Output'!D$7="Detritus",Calculations!$C$4,G853))-(SUM('Input and Output'!B$27:B$32))*H852))</f>
        <v>1.3409976105549504E-4</v>
      </c>
      <c r="D853" s="49">
        <f>(('Input and Output'!C$23*'Input and Output'!$B$10)+('Input and Output'!C$24*Calculations!$C$5)+('Input and Output'!C$25*Calculations!$C$6)+('Input and Output'!C$26*(IF('Input and Output'!E$7="Detritus",Calculations!$C$4,H853))-(SUM('Input and Output'!C$27:C$32))*I852))</f>
        <v>1.1196869336345117E-3</v>
      </c>
      <c r="E853" s="49">
        <f>(('Input and Output'!D$23*'Input and Output'!$B$10)+('Input and Output'!D$24*Calculations!$C$5)+('Input and Output'!D$25*Calculations!$C$6)+('Input and Output'!D$26*(IF('Input and Output'!F$7="Detritus",Calculations!$C$4,I853))-(SUM('Input and Output'!D$27:D$32))*J852))</f>
        <v>4.8797396084410138E-4</v>
      </c>
      <c r="F853" s="49" t="e">
        <f>(('Input and Output'!E$23*'Input and Output'!$B$10)+('Input and Output'!E$24*Calculations!$C$5)+('Input and Output'!E$25*Calculations!$C$6)+('Input and Output'!E$26*(IF('Input and Output'!G$7="Detritus",Calculations!$C$4,J853))-(SUM('Input and Output'!E$27:E$32))*K852))</f>
        <v>#N/A</v>
      </c>
      <c r="H853" s="49">
        <f>IF(H$2="",NA(),C853*$B853+H852)</f>
        <v>324480.64270200644</v>
      </c>
      <c r="I853" s="49">
        <f>IF(I$2="",NA(),D853*$B853+I852)</f>
        <v>2973161.3000035374</v>
      </c>
      <c r="J853" s="49">
        <f>IF(J$2="",NA(),E853*$B853+J852)</f>
        <v>1381886.5174437757</v>
      </c>
      <c r="K853" s="49" t="e">
        <f>IF(K$2="",NA(),F853*$B853+K852)</f>
        <v>#N/A</v>
      </c>
    </row>
    <row r="854" spans="1:11" x14ac:dyDescent="0.4">
      <c r="A854" s="49">
        <v>851</v>
      </c>
      <c r="B854" s="49">
        <f>A854/$B$1</f>
        <v>35.458333333333336</v>
      </c>
      <c r="C854" s="49">
        <f>(('Input and Output'!B$23*'Input and Output'!$B$10)+('Input and Output'!B$24*Calculations!$C$5)+('Input and Output'!B$25*Calculations!$C$6)+('Input and Output'!B$26*(IF('Input and Output'!D$7="Detritus",Calculations!$C$4,G854))-(SUM('Input and Output'!B$27:B$32))*H853))</f>
        <v>1.2952082977335522E-4</v>
      </c>
      <c r="D854" s="49">
        <f>(('Input and Output'!C$23*'Input and Output'!$B$10)+('Input and Output'!C$24*Calculations!$C$5)+('Input and Output'!C$25*Calculations!$C$6)+('Input and Output'!C$26*(IF('Input and Output'!E$7="Detritus",Calculations!$C$4,H854))-(SUM('Input and Output'!C$27:C$32))*I853))</f>
        <v>1.0814072629727889E-3</v>
      </c>
      <c r="E854" s="49">
        <f>(('Input and Output'!D$23*'Input and Output'!$B$10)+('Input and Output'!D$24*Calculations!$C$5)+('Input and Output'!D$25*Calculations!$C$6)+('Input and Output'!D$26*(IF('Input and Output'!F$7="Detritus",Calculations!$C$4,I854))-(SUM('Input and Output'!D$27:D$32))*J853))</f>
        <v>4.7127102516242303E-4</v>
      </c>
      <c r="F854" s="49" t="e">
        <f>(('Input and Output'!E$23*'Input and Output'!$B$10)+('Input and Output'!E$24*Calculations!$C$5)+('Input and Output'!E$25*Calculations!$C$6)+('Input and Output'!E$26*(IF('Input and Output'!G$7="Detritus",Calculations!$C$4,J854))-(SUM('Input and Output'!E$27:E$32))*K853))</f>
        <v>#N/A</v>
      </c>
      <c r="H854" s="49">
        <f>IF(H$2="",NA(),C854*$B854+H853)</f>
        <v>324480.64729459921</v>
      </c>
      <c r="I854" s="49">
        <f>IF(I$2="",NA(),D854*$B854+I853)</f>
        <v>2973161.3383484366</v>
      </c>
      <c r="J854" s="49">
        <f>IF(J$2="",NA(),E854*$B854+J853)</f>
        <v>1381886.5341542608</v>
      </c>
      <c r="K854" s="49" t="e">
        <f>IF(K$2="",NA(),F854*$B854+K853)</f>
        <v>#N/A</v>
      </c>
    </row>
    <row r="855" spans="1:11" x14ac:dyDescent="0.4">
      <c r="A855" s="49">
        <v>852</v>
      </c>
      <c r="B855" s="49">
        <f>A855/$B$1</f>
        <v>35.5</v>
      </c>
      <c r="C855" s="49">
        <f>(('Input and Output'!B$23*'Input and Output'!$B$10)+('Input and Output'!B$24*Calculations!$C$5)+('Input and Output'!B$25*Calculations!$C$6)+('Input and Output'!B$26*(IF('Input and Output'!D$7="Detritus",Calculations!$C$4,G855))-(SUM('Input and Output'!B$27:B$32))*H854))</f>
        <v>1.2509304633567808E-4</v>
      </c>
      <c r="D855" s="49">
        <f>(('Input and Output'!C$23*'Input and Output'!$B$10)+('Input and Output'!C$24*Calculations!$C$5)+('Input and Output'!C$25*Calculations!$C$6)+('Input and Output'!C$26*(IF('Input and Output'!E$7="Detritus",Calculations!$C$4,H855))-(SUM('Input and Output'!C$27:C$32))*I854))</f>
        <v>1.0443928549648263E-3</v>
      </c>
      <c r="E855" s="49">
        <f>(('Input and Output'!D$23*'Input and Output'!$B$10)+('Input and Output'!D$24*Calculations!$C$5)+('Input and Output'!D$25*Calculations!$C$6)+('Input and Output'!D$26*(IF('Input and Output'!F$7="Detritus",Calculations!$C$4,I855))-(SUM('Input and Output'!D$27:D$32))*J854))</f>
        <v>4.5512068390962668E-4</v>
      </c>
      <c r="F855" s="49" t="e">
        <f>(('Input and Output'!E$23*'Input and Output'!$B$10)+('Input and Output'!E$24*Calculations!$C$5)+('Input and Output'!E$25*Calculations!$C$6)+('Input and Output'!E$26*(IF('Input and Output'!G$7="Detritus",Calculations!$C$4,J855))-(SUM('Input and Output'!E$27:E$32))*K854))</f>
        <v>#N/A</v>
      </c>
      <c r="H855" s="49">
        <f>IF(H$2="",NA(),C855*$B855+H854)</f>
        <v>324480.65173540235</v>
      </c>
      <c r="I855" s="49">
        <f>IF(I$2="",NA(),D855*$B855+I854)</f>
        <v>2973161.3754243832</v>
      </c>
      <c r="J855" s="49">
        <f>IF(J$2="",NA(),E855*$B855+J854)</f>
        <v>1381886.550311045</v>
      </c>
      <c r="K855" s="49" t="e">
        <f>IF(K$2="",NA(),F855*$B855+K854)</f>
        <v>#N/A</v>
      </c>
    </row>
    <row r="856" spans="1:11" x14ac:dyDescent="0.4">
      <c r="A856" s="49">
        <v>853</v>
      </c>
      <c r="B856" s="49">
        <f>A856/$B$1</f>
        <v>35.541666666666664</v>
      </c>
      <c r="C856" s="49">
        <f>(('Input and Output'!B$23*'Input and Output'!$B$10)+('Input and Output'!B$24*Calculations!$C$5)+('Input and Output'!B$25*Calculations!$C$6)+('Input and Output'!B$26*(IF('Input and Output'!D$7="Detritus",Calculations!$C$4,G856))-(SUM('Input and Output'!B$27:B$32))*H855))</f>
        <v>1.2081160542720681E-4</v>
      </c>
      <c r="D856" s="49">
        <f>(('Input and Output'!C$23*'Input and Output'!$B$10)+('Input and Output'!C$24*Calculations!$C$5)+('Input and Output'!C$25*Calculations!$C$6)+('Input and Output'!C$26*(IF('Input and Output'!E$7="Detritus",Calculations!$C$4,H856))-(SUM('Input and Output'!C$27:C$32))*I855))</f>
        <v>1.0086034253617981E-3</v>
      </c>
      <c r="E856" s="49">
        <f>(('Input and Output'!D$23*'Input and Output'!$B$10)+('Input and Output'!D$24*Calculations!$C$5)+('Input and Output'!D$25*Calculations!$C$6)+('Input and Output'!D$26*(IF('Input and Output'!F$7="Detritus",Calculations!$C$4,I856))-(SUM('Input and Output'!D$27:D$32))*J855))</f>
        <v>4.3950570761808194E-4</v>
      </c>
      <c r="F856" s="49" t="e">
        <f>(('Input and Output'!E$23*'Input and Output'!$B$10)+('Input and Output'!E$24*Calculations!$C$5)+('Input and Output'!E$25*Calculations!$C$6)+('Input and Output'!E$26*(IF('Input and Output'!G$7="Detritus",Calculations!$C$4,J856))-(SUM('Input and Output'!E$27:E$32))*K855))</f>
        <v>#N/A</v>
      </c>
      <c r="H856" s="49">
        <f>IF(H$2="",NA(),C856*$B856+H855)</f>
        <v>324480.65602924814</v>
      </c>
      <c r="I856" s="49">
        <f>IF(I$2="",NA(),D856*$B856+I855)</f>
        <v>2973161.4112718301</v>
      </c>
      <c r="J856" s="49">
        <f>IF(J$2="",NA(),E856*$B856+J855)</f>
        <v>1381886.5659318103</v>
      </c>
      <c r="K856" s="49" t="e">
        <f>IF(K$2="",NA(),F856*$B856+K855)</f>
        <v>#N/A</v>
      </c>
    </row>
    <row r="857" spans="1:11" x14ac:dyDescent="0.4">
      <c r="A857" s="49">
        <v>854</v>
      </c>
      <c r="B857" s="49">
        <f>A857/$B$1</f>
        <v>35.583333333333336</v>
      </c>
      <c r="C857" s="49">
        <f>(('Input and Output'!B$23*'Input and Output'!$B$10)+('Input and Output'!B$24*Calculations!$C$5)+('Input and Output'!B$25*Calculations!$C$6)+('Input and Output'!B$26*(IF('Input and Output'!D$7="Detritus",Calculations!$C$4,G857))-(SUM('Input and Output'!B$27:B$32))*H856))</f>
        <v>1.1667184810448816E-4</v>
      </c>
      <c r="D857" s="49">
        <f>(('Input and Output'!C$23*'Input and Output'!$B$10)+('Input and Output'!C$24*Calculations!$C$5)+('Input and Output'!C$25*Calculations!$C$6)+('Input and Output'!C$26*(IF('Input and Output'!E$7="Detritus",Calculations!$C$4,H857))-(SUM('Input and Output'!C$27:C$32))*I856))</f>
        <v>9.7399992409918923E-4</v>
      </c>
      <c r="E857" s="49">
        <f>(('Input and Output'!D$23*'Input and Output'!$B$10)+('Input and Output'!D$24*Calculations!$C$5)+('Input and Output'!D$25*Calculations!$C$6)+('Input and Output'!D$26*(IF('Input and Output'!F$7="Detritus",Calculations!$C$4,I857))-(SUM('Input and Output'!D$27:D$32))*J856))</f>
        <v>4.2440866309334524E-4</v>
      </c>
      <c r="F857" s="49" t="e">
        <f>(('Input and Output'!E$23*'Input and Output'!$B$10)+('Input and Output'!E$24*Calculations!$C$5)+('Input and Output'!E$25*Calculations!$C$6)+('Input and Output'!E$26*(IF('Input and Output'!G$7="Detritus",Calculations!$C$4,J857))-(SUM('Input and Output'!E$27:E$32))*K856))</f>
        <v>#N/A</v>
      </c>
      <c r="H857" s="49">
        <f>IF(H$2="",NA(),C857*$B857+H856)</f>
        <v>324480.66018082143</v>
      </c>
      <c r="I857" s="49">
        <f>IF(I$2="",NA(),D857*$B857+I856)</f>
        <v>2973161.4459299939</v>
      </c>
      <c r="J857" s="49">
        <f>IF(J$2="",NA(),E857*$B857+J856)</f>
        <v>1381886.5810336852</v>
      </c>
      <c r="K857" s="49" t="e">
        <f>IF(K$2="",NA(),F857*$B857+K856)</f>
        <v>#N/A</v>
      </c>
    </row>
    <row r="858" spans="1:11" x14ac:dyDescent="0.4">
      <c r="A858" s="49">
        <v>855</v>
      </c>
      <c r="B858" s="49">
        <f>A858/$B$1</f>
        <v>35.625</v>
      </c>
      <c r="C858" s="49">
        <f>(('Input and Output'!B$23*'Input and Output'!$B$10)+('Input and Output'!B$24*Calculations!$C$5)+('Input and Output'!B$25*Calculations!$C$6)+('Input and Output'!B$26*(IF('Input and Output'!D$7="Detritus",Calculations!$C$4,G858))-(SUM('Input and Output'!B$27:B$32))*H857))</f>
        <v>1.126692577599897E-4</v>
      </c>
      <c r="D858" s="49">
        <f>(('Input and Output'!C$23*'Input and Output'!$B$10)+('Input and Output'!C$24*Calculations!$C$5)+('Input and Output'!C$25*Calculations!$C$6)+('Input and Output'!C$26*(IF('Input and Output'!E$7="Detritus",Calculations!$C$4,H858))-(SUM('Input and Output'!C$27:C$32))*I857))</f>
        <v>9.405444870935753E-4</v>
      </c>
      <c r="E858" s="49">
        <f>(('Input and Output'!D$23*'Input and Output'!$B$10)+('Input and Output'!D$24*Calculations!$C$5)+('Input and Output'!D$25*Calculations!$C$6)+('Input and Output'!D$26*(IF('Input and Output'!F$7="Detritus",Calculations!$C$4,I858))-(SUM('Input and Output'!D$27:D$32))*J857))</f>
        <v>4.0981331039802171E-4</v>
      </c>
      <c r="F858" s="49" t="e">
        <f>(('Input and Output'!E$23*'Input and Output'!$B$10)+('Input and Output'!E$24*Calculations!$C$5)+('Input and Output'!E$25*Calculations!$C$6)+('Input and Output'!E$26*(IF('Input and Output'!G$7="Detritus",Calculations!$C$4,J858))-(SUM('Input and Output'!E$27:E$32))*K857))</f>
        <v>#N/A</v>
      </c>
      <c r="H858" s="49">
        <f>IF(H$2="",NA(),C858*$B858+H857)</f>
        <v>324480.66419466375</v>
      </c>
      <c r="I858" s="49">
        <f>IF(I$2="",NA(),D858*$B858+I857)</f>
        <v>2973161.4794368912</v>
      </c>
      <c r="J858" s="49">
        <f>IF(J$2="",NA(),E858*$B858+J857)</f>
        <v>1381886.5956332844</v>
      </c>
      <c r="K858" s="49" t="e">
        <f>IF(K$2="",NA(),F858*$B858+K857)</f>
        <v>#N/A</v>
      </c>
    </row>
    <row r="859" spans="1:11" x14ac:dyDescent="0.4">
      <c r="A859" s="49">
        <v>856</v>
      </c>
      <c r="B859" s="49">
        <f>A859/$B$1</f>
        <v>35.666666666666664</v>
      </c>
      <c r="C859" s="49">
        <f>(('Input and Output'!B$23*'Input and Output'!$B$10)+('Input and Output'!B$24*Calculations!$C$5)+('Input and Output'!B$25*Calculations!$C$6)+('Input and Output'!B$26*(IF('Input and Output'!D$7="Detritus",Calculations!$C$4,G859))-(SUM('Input and Output'!B$27:B$32))*H858))</f>
        <v>1.0879945580200001E-4</v>
      </c>
      <c r="D859" s="49">
        <f>(('Input and Output'!C$23*'Input and Output'!$B$10)+('Input and Output'!C$24*Calculations!$C$5)+('Input and Output'!C$25*Calculations!$C$6)+('Input and Output'!C$26*(IF('Input and Output'!E$7="Detritus",Calculations!$C$4,H859))-(SUM('Input and Output'!C$27:C$32))*I858))</f>
        <v>9.0820041714323452E-4</v>
      </c>
      <c r="E859" s="49">
        <f>(('Input and Output'!D$23*'Input and Output'!$B$10)+('Input and Output'!D$24*Calculations!$C$5)+('Input and Output'!D$25*Calculations!$C$6)+('Input and Output'!D$26*(IF('Input and Output'!F$7="Detritus",Calculations!$C$4,I859))-(SUM('Input and Output'!D$27:D$32))*J858))</f>
        <v>3.9570324952364899E-4</v>
      </c>
      <c r="F859" s="49" t="e">
        <f>(('Input and Output'!E$23*'Input and Output'!$B$10)+('Input and Output'!E$24*Calculations!$C$5)+('Input and Output'!E$25*Calculations!$C$6)+('Input and Output'!E$26*(IF('Input and Output'!G$7="Detritus",Calculations!$C$4,J859))-(SUM('Input and Output'!E$27:E$32))*K858))</f>
        <v>#N/A</v>
      </c>
      <c r="H859" s="49">
        <f>IF(H$2="",NA(),C859*$B859+H858)</f>
        <v>324480.6680751777</v>
      </c>
      <c r="I859" s="49">
        <f>IF(I$2="",NA(),D859*$B859+I858)</f>
        <v>2973161.5118293725</v>
      </c>
      <c r="J859" s="49">
        <f>IF(J$2="",NA(),E859*$B859+J858)</f>
        <v>1381886.6097467004</v>
      </c>
      <c r="K859" s="49" t="e">
        <f>IF(K$2="",NA(),F859*$B859+K858)</f>
        <v>#N/A</v>
      </c>
    </row>
    <row r="860" spans="1:11" x14ac:dyDescent="0.4">
      <c r="A860" s="49">
        <v>857</v>
      </c>
      <c r="B860" s="49">
        <f>A860/$B$1</f>
        <v>35.708333333333336</v>
      </c>
      <c r="C860" s="49">
        <f>(('Input and Output'!B$23*'Input and Output'!$B$10)+('Input and Output'!B$24*Calculations!$C$5)+('Input and Output'!B$25*Calculations!$C$6)+('Input and Output'!B$26*(IF('Input and Output'!D$7="Detritus",Calculations!$C$4,G860))-(SUM('Input and Output'!B$27:B$32))*H859))</f>
        <v>1.0505819756190249E-4</v>
      </c>
      <c r="D860" s="49">
        <f>(('Input and Output'!C$23*'Input and Output'!$B$10)+('Input and Output'!C$24*Calculations!$C$5)+('Input and Output'!C$25*Calculations!$C$6)+('Input and Output'!C$26*(IF('Input and Output'!E$7="Detritus",Calculations!$C$4,H860))-(SUM('Input and Output'!C$27:C$32))*I859))</f>
        <v>8.7693213663442293E-4</v>
      </c>
      <c r="E860" s="49">
        <f>(('Input and Output'!D$23*'Input and Output'!$B$10)+('Input and Output'!D$24*Calculations!$C$5)+('Input and Output'!D$25*Calculations!$C$6)+('Input and Output'!D$26*(IF('Input and Output'!F$7="Detritus",Calculations!$C$4,I860))-(SUM('Input and Output'!D$27:D$32))*J859))</f>
        <v>3.8206334647838958E-4</v>
      </c>
      <c r="F860" s="49" t="e">
        <f>(('Input and Output'!E$23*'Input and Output'!$B$10)+('Input and Output'!E$24*Calculations!$C$5)+('Input and Output'!E$25*Calculations!$C$6)+('Input and Output'!E$26*(IF('Input and Output'!G$7="Detritus",Calculations!$C$4,J860))-(SUM('Input and Output'!E$27:E$32))*K859))</f>
        <v>#N/A</v>
      </c>
      <c r="H860" s="49">
        <f>IF(H$2="",NA(),C860*$B860+H859)</f>
        <v>324480.67182663083</v>
      </c>
      <c r="I860" s="49">
        <f>IF(I$2="",NA(),D860*$B860+I859)</f>
        <v>2973161.5431431574</v>
      </c>
      <c r="J860" s="49">
        <f>IF(J$2="",NA(),E860*$B860+J859)</f>
        <v>1381886.6233895458</v>
      </c>
      <c r="K860" s="49" t="e">
        <f>IF(K$2="",NA(),F860*$B860+K859)</f>
        <v>#N/A</v>
      </c>
    </row>
    <row r="861" spans="1:11" x14ac:dyDescent="0.4">
      <c r="A861" s="49">
        <v>858</v>
      </c>
      <c r="B861" s="49">
        <f>A861/$B$1</f>
        <v>35.75</v>
      </c>
      <c r="C861" s="49">
        <f>(('Input and Output'!B$23*'Input and Output'!$B$10)+('Input and Output'!B$24*Calculations!$C$5)+('Input and Output'!B$25*Calculations!$C$6)+('Input and Output'!B$26*(IF('Input and Output'!D$7="Detritus",Calculations!$C$4,G861))-(SUM('Input and Output'!B$27:B$32))*H860))</f>
        <v>1.0144136865619657E-4</v>
      </c>
      <c r="D861" s="49">
        <f>(('Input and Output'!C$23*'Input and Output'!$B$10)+('Input and Output'!C$24*Calculations!$C$5)+('Input and Output'!C$25*Calculations!$C$6)+('Input and Output'!C$26*(IF('Input and Output'!E$7="Detritus",Calculations!$C$4,H861))-(SUM('Input and Output'!C$27:C$32))*I860))</f>
        <v>8.4670516480400693E-4</v>
      </c>
      <c r="E861" s="49">
        <f>(('Input and Output'!D$23*'Input and Output'!$B$10)+('Input and Output'!D$24*Calculations!$C$5)+('Input and Output'!D$25*Calculations!$C$6)+('Input and Output'!D$26*(IF('Input and Output'!F$7="Detritus",Calculations!$C$4,I861))-(SUM('Input and Output'!D$27:D$32))*J860))</f>
        <v>3.6887798705720343E-4</v>
      </c>
      <c r="F861" s="49" t="e">
        <f>(('Input and Output'!E$23*'Input and Output'!$B$10)+('Input and Output'!E$24*Calculations!$C$5)+('Input and Output'!E$25*Calculations!$C$6)+('Input and Output'!E$26*(IF('Input and Output'!G$7="Detritus",Calculations!$C$4,J861))-(SUM('Input and Output'!E$27:E$32))*K860))</f>
        <v>#N/A</v>
      </c>
      <c r="H861" s="49">
        <f>IF(H$2="",NA(),C861*$B861+H860)</f>
        <v>324480.67545315978</v>
      </c>
      <c r="I861" s="49">
        <f>IF(I$2="",NA(),D861*$B861+I860)</f>
        <v>2973161.5734128668</v>
      </c>
      <c r="J861" s="49">
        <f>IF(J$2="",NA(),E861*$B861+J860)</f>
        <v>1381886.6365769338</v>
      </c>
      <c r="K861" s="49" t="e">
        <f>IF(K$2="",NA(),F861*$B861+K860)</f>
        <v>#N/A</v>
      </c>
    </row>
    <row r="862" spans="1:11" x14ac:dyDescent="0.4">
      <c r="A862" s="49">
        <v>859</v>
      </c>
      <c r="B862" s="49">
        <f>A862/$B$1</f>
        <v>35.791666666666664</v>
      </c>
      <c r="C862" s="49">
        <f>(('Input and Output'!B$23*'Input and Output'!$B$10)+('Input and Output'!B$24*Calculations!$C$5)+('Input and Output'!B$25*Calculations!$C$6)+('Input and Output'!B$26*(IF('Input and Output'!D$7="Detritus",Calculations!$C$4,G862))-(SUM('Input and Output'!B$27:B$32))*H861))</f>
        <v>9.794498095061499E-5</v>
      </c>
      <c r="D862" s="49">
        <f>(('Input and Output'!C$23*'Input and Output'!$B$10)+('Input and Output'!C$24*Calculations!$C$5)+('Input and Output'!C$25*Calculations!$C$6)+('Input and Output'!C$26*(IF('Input and Output'!E$7="Detritus",Calculations!$C$4,H862))-(SUM('Input and Output'!C$27:C$32))*I861))</f>
        <v>8.1748607590270694E-4</v>
      </c>
      <c r="E862" s="49">
        <f>(('Input and Output'!D$23*'Input and Output'!$B$10)+('Input and Output'!D$24*Calculations!$C$5)+('Input and Output'!D$25*Calculations!$C$6)+('Input and Output'!D$26*(IF('Input and Output'!F$7="Detritus",Calculations!$C$4,I862))-(SUM('Input and Output'!D$27:D$32))*J861))</f>
        <v>3.5613315776572563E-4</v>
      </c>
      <c r="F862" s="49" t="e">
        <f>(('Input and Output'!E$23*'Input and Output'!$B$10)+('Input and Output'!E$24*Calculations!$C$5)+('Input and Output'!E$25*Calculations!$C$6)+('Input and Output'!E$26*(IF('Input and Output'!G$7="Detritus",Calculations!$C$4,J862))-(SUM('Input and Output'!E$27:E$32))*K861))</f>
        <v>#N/A</v>
      </c>
      <c r="H862" s="49">
        <f>IF(H$2="",NA(),C862*$B862+H861)</f>
        <v>324480.6789587739</v>
      </c>
      <c r="I862" s="49">
        <f>IF(I$2="",NA(),D862*$B862+I861)</f>
        <v>2973161.6026720558</v>
      </c>
      <c r="J862" s="49">
        <f>IF(J$2="",NA(),E862*$B862+J861)</f>
        <v>1381886.6493235331</v>
      </c>
      <c r="K862" s="49" t="e">
        <f>IF(K$2="",NA(),F862*$B862+K861)</f>
        <v>#N/A</v>
      </c>
    </row>
    <row r="863" spans="1:11" x14ac:dyDescent="0.4">
      <c r="A863" s="49">
        <v>860</v>
      </c>
      <c r="B863" s="49">
        <f>A863/$B$1</f>
        <v>35.833333333333336</v>
      </c>
      <c r="C863" s="49">
        <f>(('Input and Output'!B$23*'Input and Output'!$B$10)+('Input and Output'!B$24*Calculations!$C$5)+('Input and Output'!B$25*Calculations!$C$6)+('Input and Output'!B$26*(IF('Input and Output'!D$7="Detritus",Calculations!$C$4,G863))-(SUM('Input and Output'!B$27:B$32))*H862))</f>
        <v>9.4565168978988368E-5</v>
      </c>
      <c r="D863" s="49">
        <f>(('Input and Output'!C$23*'Input and Output'!$B$10)+('Input and Output'!C$24*Calculations!$C$5)+('Input and Output'!C$25*Calculations!$C$6)+('Input and Output'!C$26*(IF('Input and Output'!E$7="Detritus",Calculations!$C$4,H863))-(SUM('Input and Output'!C$27:C$32))*I862))</f>
        <v>7.8924247736722464E-4</v>
      </c>
      <c r="E863" s="49">
        <f>(('Input and Output'!D$23*'Input and Output'!$B$10)+('Input and Output'!D$24*Calculations!$C$5)+('Input and Output'!D$25*Calculations!$C$6)+('Input and Output'!D$26*(IF('Input and Output'!F$7="Detritus",Calculations!$C$4,I863))-(SUM('Input and Output'!D$27:D$32))*J862))</f>
        <v>3.438140447542537E-4</v>
      </c>
      <c r="F863" s="49" t="e">
        <f>(('Input and Output'!E$23*'Input and Output'!$B$10)+('Input and Output'!E$24*Calculations!$C$5)+('Input and Output'!E$25*Calculations!$C$6)+('Input and Output'!E$26*(IF('Input and Output'!G$7="Detritus",Calculations!$C$4,J863))-(SUM('Input and Output'!E$27:E$32))*K862))</f>
        <v>#N/A</v>
      </c>
      <c r="H863" s="49">
        <f>IF(H$2="",NA(),C863*$B863+H862)</f>
        <v>324480.68234735914</v>
      </c>
      <c r="I863" s="49">
        <f>IF(I$2="",NA(),D863*$B863+I862)</f>
        <v>2973161.6309532444</v>
      </c>
      <c r="J863" s="49">
        <f>IF(J$2="",NA(),E863*$B863+J862)</f>
        <v>1381886.6616435363</v>
      </c>
      <c r="K863" s="49" t="e">
        <f>IF(K$2="",NA(),F863*$B863+K862)</f>
        <v>#N/A</v>
      </c>
    </row>
    <row r="864" spans="1:11" x14ac:dyDescent="0.4">
      <c r="A864" s="49">
        <v>861</v>
      </c>
      <c r="B864" s="49">
        <f>A864/$B$1</f>
        <v>35.875</v>
      </c>
      <c r="C864" s="49">
        <f>(('Input and Output'!B$23*'Input and Output'!$B$10)+('Input and Output'!B$24*Calculations!$C$5)+('Input and Output'!B$25*Calculations!$C$6)+('Input and Output'!B$26*(IF('Input and Output'!D$7="Detritus",Calculations!$C$4,G864))-(SUM('Input and Output'!B$27:B$32))*H863))</f>
        <v>9.129818613473617E-5</v>
      </c>
      <c r="D864" s="49">
        <f>(('Input and Output'!C$23*'Input and Output'!$B$10)+('Input and Output'!C$24*Calculations!$C$5)+('Input and Output'!C$25*Calculations!$C$6)+('Input and Output'!C$26*(IF('Input and Output'!E$7="Detritus",Calculations!$C$4,H864))-(SUM('Input and Output'!C$27:C$32))*I863))</f>
        <v>7.6194297344045481E-4</v>
      </c>
      <c r="E864" s="49">
        <f>(('Input and Output'!D$23*'Input and Output'!$B$10)+('Input and Output'!D$24*Calculations!$C$5)+('Input and Output'!D$25*Calculations!$C$6)+('Input and Output'!D$26*(IF('Input and Output'!F$7="Detritus",Calculations!$C$4,I864))-(SUM('Input and Output'!D$27:D$32))*J863))</f>
        <v>3.3190758040291257E-4</v>
      </c>
      <c r="F864" s="49" t="e">
        <f>(('Input and Output'!E$23*'Input and Output'!$B$10)+('Input and Output'!E$24*Calculations!$C$5)+('Input and Output'!E$25*Calculations!$C$6)+('Input and Output'!E$26*(IF('Input and Output'!G$7="Detritus",Calculations!$C$4,J864))-(SUM('Input and Output'!E$27:E$32))*K863))</f>
        <v>#N/A</v>
      </c>
      <c r="H864" s="49">
        <f>IF(H$2="",NA(),C864*$B864+H863)</f>
        <v>324480.68562268157</v>
      </c>
      <c r="I864" s="49">
        <f>IF(I$2="",NA(),D864*$B864+I863)</f>
        <v>2973161.6582879485</v>
      </c>
      <c r="J864" s="49">
        <f>IF(J$2="",NA(),E864*$B864+J863)</f>
        <v>1381886.6735507208</v>
      </c>
      <c r="K864" s="49" t="e">
        <f>IF(K$2="",NA(),F864*$B864+K863)</f>
        <v>#N/A</v>
      </c>
    </row>
    <row r="865" spans="1:11" x14ac:dyDescent="0.4">
      <c r="A865" s="49">
        <v>862</v>
      </c>
      <c r="B865" s="49">
        <f>A865/$B$1</f>
        <v>35.916666666666664</v>
      </c>
      <c r="C865" s="49">
        <f>(('Input and Output'!B$23*'Input and Output'!$B$10)+('Input and Output'!B$24*Calculations!$C$5)+('Input and Output'!B$25*Calculations!$C$6)+('Input and Output'!B$26*(IF('Input and Output'!D$7="Detritus",Calculations!$C$4,G865))-(SUM('Input and Output'!B$27:B$32))*H864))</f>
        <v>8.8140401601322083E-5</v>
      </c>
      <c r="D865" s="49">
        <f>(('Input and Output'!C$23*'Input and Output'!$B$10)+('Input and Output'!C$24*Calculations!$C$5)+('Input and Output'!C$25*Calculations!$C$6)+('Input and Output'!C$26*(IF('Input and Output'!E$7="Detritus",Calculations!$C$4,H865))-(SUM('Input and Output'!C$27:C$32))*I864))</f>
        <v>7.3555714334361255E-4</v>
      </c>
      <c r="E865" s="49">
        <f>(('Input and Output'!D$23*'Input and Output'!$B$10)+('Input and Output'!D$24*Calculations!$C$5)+('Input and Output'!D$25*Calculations!$C$6)+('Input and Output'!D$26*(IF('Input and Output'!F$7="Detritus",Calculations!$C$4,I865))-(SUM('Input and Output'!D$27:D$32))*J864))</f>
        <v>3.2039979487308301E-4</v>
      </c>
      <c r="F865" s="49" t="e">
        <f>(('Input and Output'!E$23*'Input and Output'!$B$10)+('Input and Output'!E$24*Calculations!$C$5)+('Input and Output'!E$25*Calculations!$C$6)+('Input and Output'!E$26*(IF('Input and Output'!G$7="Detritus",Calculations!$C$4,J865))-(SUM('Input and Output'!E$27:E$32))*K864))</f>
        <v>#N/A</v>
      </c>
      <c r="H865" s="49">
        <f>IF(H$2="",NA(),C865*$B865+H864)</f>
        <v>324480.68878839101</v>
      </c>
      <c r="I865" s="49">
        <f>IF(I$2="",NA(),D865*$B865+I864)</f>
        <v>2973161.6847067093</v>
      </c>
      <c r="J865" s="49">
        <f>IF(J$2="",NA(),E865*$B865+J864)</f>
        <v>1381886.6850584135</v>
      </c>
      <c r="K865" s="49" t="e">
        <f>IF(K$2="",NA(),F865*$B865+K864)</f>
        <v>#N/A</v>
      </c>
    </row>
    <row r="866" spans="1:11" x14ac:dyDescent="0.4">
      <c r="A866" s="49">
        <v>863</v>
      </c>
      <c r="B866" s="49">
        <f>A866/$B$1</f>
        <v>35.958333333333336</v>
      </c>
      <c r="C866" s="49">
        <f>(('Input and Output'!B$23*'Input and Output'!$B$10)+('Input and Output'!B$24*Calculations!$C$5)+('Input and Output'!B$25*Calculations!$C$6)+('Input and Output'!B$26*(IF('Input and Output'!D$7="Detritus",Calculations!$C$4,G866))-(SUM('Input and Output'!B$27:B$32))*H865))</f>
        <v>8.5088296486901527E-5</v>
      </c>
      <c r="D866" s="49">
        <f>(('Input and Output'!C$23*'Input and Output'!$B$10)+('Input and Output'!C$24*Calculations!$C$5)+('Input and Output'!C$25*Calculations!$C$6)+('Input and Output'!C$26*(IF('Input and Output'!E$7="Detritus",Calculations!$C$4,H866))-(SUM('Input and Output'!C$27:C$32))*I865))</f>
        <v>7.1005549852998229E-4</v>
      </c>
      <c r="E866" s="49">
        <f>(('Input and Output'!D$23*'Input and Output'!$B$10)+('Input and Output'!D$24*Calculations!$C$5)+('Input and Output'!D$25*Calculations!$C$6)+('Input and Output'!D$26*(IF('Input and Output'!F$7="Detritus",Calculations!$C$4,I866))-(SUM('Input and Output'!D$27:D$32))*J865))</f>
        <v>3.092784209002275E-4</v>
      </c>
      <c r="F866" s="49" t="e">
        <f>(('Input and Output'!E$23*'Input and Output'!$B$10)+('Input and Output'!E$24*Calculations!$C$5)+('Input and Output'!E$25*Calculations!$C$6)+('Input and Output'!E$26*(IF('Input and Output'!G$7="Detritus",Calculations!$C$4,J866))-(SUM('Input and Output'!E$27:E$32))*K865))</f>
        <v>#N/A</v>
      </c>
      <c r="H866" s="49">
        <f>IF(H$2="",NA(),C866*$B866+H865)</f>
        <v>324480.69184802432</v>
      </c>
      <c r="I866" s="49">
        <f>IF(I$2="",NA(),D866*$B866+I865)</f>
        <v>2973161.7102391217</v>
      </c>
      <c r="J866" s="49">
        <f>IF(J$2="",NA(),E866*$B866+J865)</f>
        <v>1381886.6961795501</v>
      </c>
      <c r="K866" s="49" t="e">
        <f>IF(K$2="",NA(),F866*$B866+K865)</f>
        <v>#N/A</v>
      </c>
    </row>
    <row r="867" spans="1:11" x14ac:dyDescent="0.4">
      <c r="A867" s="49">
        <v>864</v>
      </c>
      <c r="B867" s="49">
        <f>A867/$B$1</f>
        <v>36</v>
      </c>
      <c r="C867" s="49">
        <f>(('Input and Output'!B$23*'Input and Output'!$B$10)+('Input and Output'!B$24*Calculations!$C$5)+('Input and Output'!B$25*Calculations!$C$6)+('Input and Output'!B$26*(IF('Input and Output'!D$7="Detritus",Calculations!$C$4,G867))-(SUM('Input and Output'!B$27:B$32))*H866))</f>
        <v>8.2138460868463881E-5</v>
      </c>
      <c r="D867" s="49">
        <f>(('Input and Output'!C$23*'Input and Output'!$B$10)+('Input and Output'!C$24*Calculations!$C$5)+('Input and Output'!C$25*Calculations!$C$6)+('Input and Output'!C$26*(IF('Input and Output'!E$7="Detritus",Calculations!$C$4,H867))-(SUM('Input and Output'!C$27:C$32))*I866))</f>
        <v>6.8540946995199192E-4</v>
      </c>
      <c r="E867" s="49">
        <f>(('Input and Output'!D$23*'Input and Output'!$B$10)+('Input and Output'!D$24*Calculations!$C$5)+('Input and Output'!D$25*Calculations!$C$6)+('Input and Output'!D$26*(IF('Input and Output'!F$7="Detritus",Calculations!$C$4,I867))-(SUM('Input and Output'!D$27:D$32))*J866))</f>
        <v>2.985304054163862E-4</v>
      </c>
      <c r="F867" s="49" t="e">
        <f>(('Input and Output'!E$23*'Input and Output'!$B$10)+('Input and Output'!E$24*Calculations!$C$5)+('Input and Output'!E$25*Calculations!$C$6)+('Input and Output'!E$26*(IF('Input and Output'!G$7="Detritus",Calculations!$C$4,J867))-(SUM('Input and Output'!E$27:E$32))*K866))</f>
        <v>#N/A</v>
      </c>
      <c r="H867" s="49">
        <f>IF(H$2="",NA(),C867*$B867+H866)</f>
        <v>324480.69480500888</v>
      </c>
      <c r="I867" s="49">
        <f>IF(I$2="",NA(),D867*$B867+I866)</f>
        <v>2973161.7349138628</v>
      </c>
      <c r="J867" s="49">
        <f>IF(J$2="",NA(),E867*$B867+J866)</f>
        <v>1381886.7069266448</v>
      </c>
      <c r="K867" s="49" t="e">
        <f>IF(K$2="",NA(),F867*$B867+K866)</f>
        <v>#N/A</v>
      </c>
    </row>
    <row r="868" spans="1:11" x14ac:dyDescent="0.4">
      <c r="A868" s="49">
        <v>865</v>
      </c>
      <c r="B868" s="49">
        <f>A868/$B$1</f>
        <v>36.041666666666664</v>
      </c>
      <c r="C868" s="49">
        <f>(('Input and Output'!B$23*'Input and Output'!$B$10)+('Input and Output'!B$24*Calculations!$C$5)+('Input and Output'!B$25*Calculations!$C$6)+('Input and Output'!B$26*(IF('Input and Output'!D$7="Detritus",Calculations!$C$4,G868))-(SUM('Input and Output'!B$27:B$32))*H867))</f>
        <v>7.9287590324383928E-5</v>
      </c>
      <c r="D868" s="49">
        <f>(('Input and Output'!C$23*'Input and Output'!$B$10)+('Input and Output'!C$24*Calculations!$C$5)+('Input and Output'!C$25*Calculations!$C$6)+('Input and Output'!C$26*(IF('Input and Output'!E$7="Detritus",Calculations!$C$4,H868))-(SUM('Input and Output'!C$27:C$32))*I867))</f>
        <v>6.615913780478877E-4</v>
      </c>
      <c r="E868" s="49">
        <f>(('Input and Output'!D$23*'Input and Output'!$B$10)+('Input and Output'!D$24*Calculations!$C$5)+('Input and Output'!D$25*Calculations!$C$6)+('Input and Output'!D$26*(IF('Input and Output'!F$7="Detritus",Calculations!$C$4,I868))-(SUM('Input and Output'!D$27:D$32))*J867))</f>
        <v>2.881441505451221E-4</v>
      </c>
      <c r="F868" s="49" t="e">
        <f>(('Input and Output'!E$23*'Input and Output'!$B$10)+('Input and Output'!E$24*Calculations!$C$5)+('Input and Output'!E$25*Calculations!$C$6)+('Input and Output'!E$26*(IF('Input and Output'!G$7="Detritus",Calculations!$C$4,J868))-(SUM('Input and Output'!E$27:E$32))*K867))</f>
        <v>#N/A</v>
      </c>
      <c r="H868" s="49">
        <f>IF(H$2="",NA(),C868*$B868+H867)</f>
        <v>324480.6976626658</v>
      </c>
      <c r="I868" s="49">
        <f>IF(I$2="",NA(),D868*$B868+I867)</f>
        <v>2973161.7587587186</v>
      </c>
      <c r="J868" s="49">
        <f>IF(J$2="",NA(),E868*$B868+J867)</f>
        <v>1381886.7173118403</v>
      </c>
      <c r="K868" s="49" t="e">
        <f>IF(K$2="",NA(),F868*$B868+K867)</f>
        <v>#N/A</v>
      </c>
    </row>
    <row r="869" spans="1:11" x14ac:dyDescent="0.4">
      <c r="A869" s="49">
        <v>866</v>
      </c>
      <c r="B869" s="49">
        <f>A869/$B$1</f>
        <v>36.083333333333336</v>
      </c>
      <c r="C869" s="49">
        <f>(('Input and Output'!B$23*'Input and Output'!$B$10)+('Input and Output'!B$24*Calculations!$C$5)+('Input and Output'!B$25*Calculations!$C$6)+('Input and Output'!B$26*(IF('Input and Output'!D$7="Detritus",Calculations!$C$4,G869))-(SUM('Input and Output'!B$27:B$32))*H868))</f>
        <v>7.6532483035407495E-5</v>
      </c>
      <c r="D869" s="49">
        <f>(('Input and Output'!C$23*'Input and Output'!$B$10)+('Input and Output'!C$24*Calculations!$C$5)+('Input and Output'!C$25*Calculations!$C$6)+('Input and Output'!C$26*(IF('Input and Output'!E$7="Detritus",Calculations!$C$4,H869))-(SUM('Input and Output'!C$27:C$32))*I868))</f>
        <v>6.3857439272396732E-4</v>
      </c>
      <c r="E869" s="49">
        <f>(('Input and Output'!D$23*'Input and Output'!$B$10)+('Input and Output'!D$24*Calculations!$C$5)+('Input and Output'!D$25*Calculations!$C$6)+('Input and Output'!D$26*(IF('Input and Output'!F$7="Detritus",Calculations!$C$4,I869))-(SUM('Input and Output'!D$27:D$32))*J868))</f>
        <v>2.781074472295586E-4</v>
      </c>
      <c r="F869" s="49" t="e">
        <f>(('Input and Output'!E$23*'Input and Output'!$B$10)+('Input and Output'!E$24*Calculations!$C$5)+('Input and Output'!E$25*Calculations!$C$6)+('Input and Output'!E$26*(IF('Input and Output'!G$7="Detritus",Calculations!$C$4,J869))-(SUM('Input and Output'!E$27:E$32))*K868))</f>
        <v>#N/A</v>
      </c>
      <c r="H869" s="49">
        <f>IF(H$2="",NA(),C869*$B869+H868)</f>
        <v>324480.7004242129</v>
      </c>
      <c r="I869" s="49">
        <f>IF(I$2="",NA(),D869*$B869+I868)</f>
        <v>2973161.7818006114</v>
      </c>
      <c r="J869" s="49">
        <f>IF(J$2="",NA(),E869*$B869+J868)</f>
        <v>1381886.7273468841</v>
      </c>
      <c r="K869" s="49" t="e">
        <f>IF(K$2="",NA(),F869*$B869+K868)</f>
        <v>#N/A</v>
      </c>
    </row>
    <row r="870" spans="1:11" x14ac:dyDescent="0.4">
      <c r="A870" s="49">
        <v>867</v>
      </c>
      <c r="B870" s="49">
        <f>A870/$B$1</f>
        <v>36.125</v>
      </c>
      <c r="C870" s="49">
        <f>(('Input and Output'!B$23*'Input and Output'!$B$10)+('Input and Output'!B$24*Calculations!$C$5)+('Input and Output'!B$25*Calculations!$C$6)+('Input and Output'!B$26*(IF('Input and Output'!D$7="Detritus",Calculations!$C$4,G870))-(SUM('Input and Output'!B$27:B$32))*H869))</f>
        <v>7.3870036487733159E-5</v>
      </c>
      <c r="D870" s="49">
        <f>(('Input and Output'!C$23*'Input and Output'!$B$10)+('Input and Output'!C$24*Calculations!$C$5)+('Input and Output'!C$25*Calculations!$C$6)+('Input and Output'!C$26*(IF('Input and Output'!E$7="Detritus",Calculations!$C$4,H870))-(SUM('Input and Output'!C$27:C$32))*I869))</f>
        <v>6.1633252607862232E-4</v>
      </c>
      <c r="E870" s="49">
        <f>(('Input and Output'!D$23*'Input and Output'!$B$10)+('Input and Output'!D$24*Calculations!$C$5)+('Input and Output'!D$25*Calculations!$C$6)+('Input and Output'!D$26*(IF('Input and Output'!F$7="Detritus",Calculations!$C$4,I870))-(SUM('Input and Output'!D$27:D$32))*J869))</f>
        <v>2.6840938153327443E-4</v>
      </c>
      <c r="F870" s="49" t="e">
        <f>(('Input and Output'!E$23*'Input and Output'!$B$10)+('Input and Output'!E$24*Calculations!$C$5)+('Input and Output'!E$25*Calculations!$C$6)+('Input and Output'!E$26*(IF('Input and Output'!G$7="Detritus",Calculations!$C$4,J870))-(SUM('Input and Output'!E$27:E$32))*K869))</f>
        <v>#N/A</v>
      </c>
      <c r="H870" s="49">
        <f>IF(H$2="",NA(),C870*$B870+H869)</f>
        <v>324480.70309276797</v>
      </c>
      <c r="I870" s="49">
        <f>IF(I$2="",NA(),D870*$B870+I869)</f>
        <v>2973161.8040656238</v>
      </c>
      <c r="J870" s="49">
        <f>IF(J$2="",NA(),E870*$B870+J869)</f>
        <v>1381886.7370431731</v>
      </c>
      <c r="K870" s="49" t="e">
        <f>IF(K$2="",NA(),F870*$B870+K869)</f>
        <v>#N/A</v>
      </c>
    </row>
    <row r="871" spans="1:11" x14ac:dyDescent="0.4">
      <c r="A871" s="49">
        <v>868</v>
      </c>
      <c r="B871" s="49">
        <f>A871/$B$1</f>
        <v>36.166666666666664</v>
      </c>
      <c r="C871" s="49">
        <f>(('Input and Output'!B$23*'Input and Output'!$B$10)+('Input and Output'!B$24*Calculations!$C$5)+('Input and Output'!B$25*Calculations!$C$6)+('Input and Output'!B$26*(IF('Input and Output'!D$7="Detritus",Calculations!$C$4,G871))-(SUM('Input and Output'!B$27:B$32))*H870))</f>
        <v>7.12972449150584E-5</v>
      </c>
      <c r="D871" s="49">
        <f>(('Input and Output'!C$23*'Input and Output'!$B$10)+('Input and Output'!C$24*Calculations!$C$5)+('Input and Output'!C$25*Calculations!$C$6)+('Input and Output'!C$26*(IF('Input and Output'!E$7="Detritus",Calculations!$C$4,H871))-(SUM('Input and Output'!C$27:C$32))*I870))</f>
        <v>5.9484059875103412E-4</v>
      </c>
      <c r="E871" s="49">
        <f>(('Input and Output'!D$23*'Input and Output'!$B$10)+('Input and Output'!D$24*Calculations!$C$5)+('Input and Output'!D$25*Calculations!$C$6)+('Input and Output'!D$26*(IF('Input and Output'!F$7="Detritus",Calculations!$C$4,I871))-(SUM('Input and Output'!D$27:D$32))*J870))</f>
        <v>2.5903854475473054E-4</v>
      </c>
      <c r="F871" s="49" t="e">
        <f>(('Input and Output'!E$23*'Input and Output'!$B$10)+('Input and Output'!E$24*Calculations!$C$5)+('Input and Output'!E$25*Calculations!$C$6)+('Input and Output'!E$26*(IF('Input and Output'!G$7="Detritus",Calculations!$C$4,J871))-(SUM('Input and Output'!E$27:E$32))*K870))</f>
        <v>#N/A</v>
      </c>
      <c r="H871" s="49">
        <f>IF(H$2="",NA(),C871*$B871+H870)</f>
        <v>324480.70567135164</v>
      </c>
      <c r="I871" s="49">
        <f>IF(I$2="",NA(),D871*$B871+I870)</f>
        <v>2973161.8255790253</v>
      </c>
      <c r="J871" s="49">
        <f>IF(J$2="",NA(),E871*$B871+J870)</f>
        <v>1381886.7464117338</v>
      </c>
      <c r="K871" s="49" t="e">
        <f>IF(K$2="",NA(),F871*$B871+K870)</f>
        <v>#N/A</v>
      </c>
    </row>
    <row r="872" spans="1:11" x14ac:dyDescent="0.4">
      <c r="A872" s="49">
        <v>869</v>
      </c>
      <c r="B872" s="49">
        <f>A872/$B$1</f>
        <v>36.208333333333336</v>
      </c>
      <c r="C872" s="49">
        <f>(('Input and Output'!B$23*'Input and Output'!$B$10)+('Input and Output'!B$24*Calculations!$C$5)+('Input and Output'!B$25*Calculations!$C$6)+('Input and Output'!B$26*(IF('Input and Output'!D$7="Detritus",Calculations!$C$4,G872))-(SUM('Input and Output'!B$27:B$32))*H871))</f>
        <v>6.881119605850472E-5</v>
      </c>
      <c r="D872" s="49">
        <f>(('Input and Output'!C$23*'Input and Output'!$B$10)+('Input and Output'!C$24*Calculations!$C$5)+('Input and Output'!C$25*Calculations!$C$6)+('Input and Output'!C$26*(IF('Input and Output'!E$7="Detritus",Calculations!$C$4,H872))-(SUM('Input and Output'!C$27:C$32))*I871))</f>
        <v>5.7407421627431177E-4</v>
      </c>
      <c r="E872" s="49">
        <f>(('Input and Output'!D$23*'Input and Output'!$B$10)+('Input and Output'!D$24*Calculations!$C$5)+('Input and Output'!D$25*Calculations!$C$6)+('Input and Output'!D$26*(IF('Input and Output'!F$7="Detritus",Calculations!$C$4,I872))-(SUM('Input and Output'!D$27:D$32))*J871))</f>
        <v>2.4998460503411479E-4</v>
      </c>
      <c r="F872" s="49" t="e">
        <f>(('Input and Output'!E$23*'Input and Output'!$B$10)+('Input and Output'!E$24*Calculations!$C$5)+('Input and Output'!E$25*Calculations!$C$6)+('Input and Output'!E$26*(IF('Input and Output'!G$7="Detritus",Calculations!$C$4,J872))-(SUM('Input and Output'!E$27:E$32))*K871))</f>
        <v>#N/A</v>
      </c>
      <c r="H872" s="49">
        <f>IF(H$2="",NA(),C872*$B872+H871)</f>
        <v>324480.70816289034</v>
      </c>
      <c r="I872" s="49">
        <f>IF(I$2="",NA(),D872*$B872+I871)</f>
        <v>2973161.8463652958</v>
      </c>
      <c r="J872" s="49">
        <f>IF(J$2="",NA(),E872*$B872+J871)</f>
        <v>1381886.7554632598</v>
      </c>
      <c r="K872" s="49" t="e">
        <f>IF(K$2="",NA(),F872*$B872+K871)</f>
        <v>#N/A</v>
      </c>
    </row>
    <row r="873" spans="1:11" x14ac:dyDescent="0.4">
      <c r="A873" s="49">
        <v>870</v>
      </c>
      <c r="B873" s="49">
        <f>A873/$B$1</f>
        <v>36.25</v>
      </c>
      <c r="C873" s="49">
        <f>(('Input and Output'!B$23*'Input and Output'!$B$10)+('Input and Output'!B$24*Calculations!$C$5)+('Input and Output'!B$25*Calculations!$C$6)+('Input and Output'!B$26*(IF('Input and Output'!D$7="Detritus",Calculations!$C$4,G873))-(SUM('Input and Output'!B$27:B$32))*H872))</f>
        <v>6.6409068438133545E-5</v>
      </c>
      <c r="D873" s="49">
        <f>(('Input and Output'!C$23*'Input and Output'!$B$10)+('Input and Output'!C$24*Calculations!$C$5)+('Input and Output'!C$25*Calculations!$C$6)+('Input and Output'!C$26*(IF('Input and Output'!E$7="Detritus",Calculations!$C$4,H873))-(SUM('Input and Output'!C$27:C$32))*I872))</f>
        <v>5.5400974997610319E-4</v>
      </c>
      <c r="E873" s="49">
        <f>(('Input and Output'!D$23*'Input and Output'!$B$10)+('Input and Output'!D$24*Calculations!$C$5)+('Input and Output'!D$25*Calculations!$C$6)+('Input and Output'!D$26*(IF('Input and Output'!F$7="Detritus",Calculations!$C$4,I873))-(SUM('Input and Output'!D$27:D$32))*J872))</f>
        <v>2.412369976809714E-4</v>
      </c>
      <c r="F873" s="49" t="e">
        <f>(('Input and Output'!E$23*'Input and Output'!$B$10)+('Input and Output'!E$24*Calculations!$C$5)+('Input and Output'!E$25*Calculations!$C$6)+('Input and Output'!E$26*(IF('Input and Output'!G$7="Detritus",Calculations!$C$4,J873))-(SUM('Input and Output'!E$27:E$32))*K872))</f>
        <v>#N/A</v>
      </c>
      <c r="H873" s="49">
        <f>IF(H$2="",NA(),C873*$B873+H872)</f>
        <v>324480.71057021909</v>
      </c>
      <c r="I873" s="49">
        <f>IF(I$2="",NA(),D873*$B873+I872)</f>
        <v>2973161.8664481491</v>
      </c>
      <c r="J873" s="49">
        <f>IF(J$2="",NA(),E873*$B873+J872)</f>
        <v>1381886.764208101</v>
      </c>
      <c r="K873" s="49" t="e">
        <f>IF(K$2="",NA(),F873*$B873+K872)</f>
        <v>#N/A</v>
      </c>
    </row>
    <row r="874" spans="1:11" x14ac:dyDescent="0.4">
      <c r="A874" s="49">
        <v>871</v>
      </c>
      <c r="B874" s="49">
        <f>A874/$B$1</f>
        <v>36.291666666666664</v>
      </c>
      <c r="C874" s="49">
        <f>(('Input and Output'!B$23*'Input and Output'!$B$10)+('Input and Output'!B$24*Calculations!$C$5)+('Input and Output'!B$25*Calculations!$C$6)+('Input and Output'!B$26*(IF('Input and Output'!D$7="Detritus",Calculations!$C$4,G874))-(SUM('Input and Output'!B$27:B$32))*H873))</f>
        <v>6.4088128851835791E-5</v>
      </c>
      <c r="D874" s="49">
        <f>(('Input and Output'!C$23*'Input and Output'!$B$10)+('Input and Output'!C$24*Calculations!$C$5)+('Input and Output'!C$25*Calculations!$C$6)+('Input and Output'!C$26*(IF('Input and Output'!E$7="Detritus",Calculations!$C$4,H874))-(SUM('Input and Output'!C$27:C$32))*I873))</f>
        <v>5.3462430241779657E-4</v>
      </c>
      <c r="E874" s="49">
        <f>(('Input and Output'!D$23*'Input and Output'!$B$10)+('Input and Output'!D$24*Calculations!$C$5)+('Input and Output'!D$25*Calculations!$C$6)+('Input and Output'!D$26*(IF('Input and Output'!F$7="Detritus",Calculations!$C$4,I874))-(SUM('Input and Output'!D$27:D$32))*J873))</f>
        <v>2.3278581284102984E-4</v>
      </c>
      <c r="F874" s="49" t="e">
        <f>(('Input and Output'!E$23*'Input and Output'!$B$10)+('Input and Output'!E$24*Calculations!$C$5)+('Input and Output'!E$25*Calculations!$C$6)+('Input and Output'!E$26*(IF('Input and Output'!G$7="Detritus",Calculations!$C$4,J874))-(SUM('Input and Output'!E$27:E$32))*K873))</f>
        <v>#N/A</v>
      </c>
      <c r="H874" s="49">
        <f>IF(H$2="",NA(),C874*$B874+H873)</f>
        <v>324480.71289608412</v>
      </c>
      <c r="I874" s="49">
        <f>IF(I$2="",NA(),D874*$B874+I873)</f>
        <v>2973161.8858505562</v>
      </c>
      <c r="J874" s="49">
        <f>IF(J$2="",NA(),E874*$B874+J873)</f>
        <v>1381886.7726562861</v>
      </c>
      <c r="K874" s="49" t="e">
        <f>IF(K$2="",NA(),F874*$B874+K873)</f>
        <v>#N/A</v>
      </c>
    </row>
    <row r="875" spans="1:11" x14ac:dyDescent="0.4">
      <c r="A875" s="49">
        <v>872</v>
      </c>
      <c r="B875" s="49">
        <f>A875/$B$1</f>
        <v>36.333333333333336</v>
      </c>
      <c r="C875" s="49">
        <f>(('Input and Output'!B$23*'Input and Output'!$B$10)+('Input and Output'!B$24*Calculations!$C$5)+('Input and Output'!B$25*Calculations!$C$6)+('Input and Output'!B$26*(IF('Input and Output'!D$7="Detritus",Calculations!$C$4,G875))-(SUM('Input and Output'!B$27:B$32))*H874))</f>
        <v>6.1845729590004339E-5</v>
      </c>
      <c r="D875" s="49">
        <f>(('Input and Output'!C$23*'Input and Output'!$B$10)+('Input and Output'!C$24*Calculations!$C$5)+('Input and Output'!C$25*Calculations!$C$6)+('Input and Output'!C$26*(IF('Input and Output'!E$7="Detritus",Calculations!$C$4,H875))-(SUM('Input and Output'!C$27:C$32))*I874))</f>
        <v>5.1589569920906797E-4</v>
      </c>
      <c r="E875" s="49">
        <f>(('Input and Output'!D$23*'Input and Output'!$B$10)+('Input and Output'!D$24*Calculations!$C$5)+('Input and Output'!D$25*Calculations!$C$6)+('Input and Output'!D$26*(IF('Input and Output'!F$7="Detritus",Calculations!$C$4,I875))-(SUM('Input and Output'!D$27:D$32))*J874))</f>
        <v>2.246214025944937E-4</v>
      </c>
      <c r="F875" s="49" t="e">
        <f>(('Input and Output'!E$23*'Input and Output'!$B$10)+('Input and Output'!E$24*Calculations!$C$5)+('Input and Output'!E$25*Calculations!$C$6)+('Input and Output'!E$26*(IF('Input and Output'!G$7="Detritus",Calculations!$C$4,J875))-(SUM('Input and Output'!E$27:E$32))*K874))</f>
        <v>#N/A</v>
      </c>
      <c r="H875" s="49">
        <f>IF(H$2="",NA(),C875*$B875+H874)</f>
        <v>324480.71514314564</v>
      </c>
      <c r="I875" s="49">
        <f>IF(I$2="",NA(),D875*$B875+I874)</f>
        <v>2973161.9045947664</v>
      </c>
      <c r="J875" s="49">
        <f>IF(J$2="",NA(),E875*$B875+J874)</f>
        <v>1381886.7808175304</v>
      </c>
      <c r="K875" s="49" t="e">
        <f>IF(K$2="",NA(),F875*$B875+K874)</f>
        <v>#N/A</v>
      </c>
    </row>
    <row r="876" spans="1:11" x14ac:dyDescent="0.4">
      <c r="A876" s="49">
        <v>873</v>
      </c>
      <c r="B876" s="49">
        <f>A876/$B$1</f>
        <v>36.375</v>
      </c>
      <c r="C876" s="49">
        <f>(('Input and Output'!B$23*'Input and Output'!$B$10)+('Input and Output'!B$24*Calculations!$C$5)+('Input and Output'!B$25*Calculations!$C$6)+('Input and Output'!B$26*(IF('Input and Output'!D$7="Detritus",Calculations!$C$4,G876))-(SUM('Input and Output'!B$27:B$32))*H875))</f>
        <v>5.9679305877580191E-5</v>
      </c>
      <c r="D876" s="49">
        <f>(('Input and Output'!C$23*'Input and Output'!$B$10)+('Input and Output'!C$24*Calculations!$C$5)+('Input and Output'!C$25*Calculations!$C$6)+('Input and Output'!C$26*(IF('Input and Output'!E$7="Detritus",Calculations!$C$4,H876))-(SUM('Input and Output'!C$27:C$32))*I875))</f>
        <v>4.9780246263253503E-4</v>
      </c>
      <c r="E876" s="49">
        <f>(('Input and Output'!D$23*'Input and Output'!$B$10)+('Input and Output'!D$24*Calculations!$C$5)+('Input and Output'!D$25*Calculations!$C$6)+('Input and Output'!D$26*(IF('Input and Output'!F$7="Detritus",Calculations!$C$4,I876))-(SUM('Input and Output'!D$27:D$32))*J875))</f>
        <v>2.1673422088497318E-4</v>
      </c>
      <c r="F876" s="49" t="e">
        <f>(('Input and Output'!E$23*'Input and Output'!$B$10)+('Input and Output'!E$24*Calculations!$C$5)+('Input and Output'!E$25*Calculations!$C$6)+('Input and Output'!E$26*(IF('Input and Output'!G$7="Detritus",Calculations!$C$4,J876))-(SUM('Input and Output'!E$27:E$32))*K875))</f>
        <v>#N/A</v>
      </c>
      <c r="H876" s="49">
        <f>IF(H$2="",NA(),C876*$B876+H875)</f>
        <v>324480.71731398039</v>
      </c>
      <c r="I876" s="49">
        <f>IF(I$2="",NA(),D876*$B876+I875)</f>
        <v>2973161.9227023311</v>
      </c>
      <c r="J876" s="49">
        <f>IF(J$2="",NA(),E876*$B876+J875)</f>
        <v>1381886.7887012376</v>
      </c>
      <c r="K876" s="49" t="e">
        <f>IF(K$2="",NA(),F876*$B876+K875)</f>
        <v>#N/A</v>
      </c>
    </row>
    <row r="877" spans="1:11" x14ac:dyDescent="0.4">
      <c r="A877" s="49">
        <v>874</v>
      </c>
      <c r="B877" s="49">
        <f>A877/$B$1</f>
        <v>36.416666666666664</v>
      </c>
      <c r="C877" s="49">
        <f>(('Input and Output'!B$23*'Input and Output'!$B$10)+('Input and Output'!B$24*Calculations!$C$5)+('Input and Output'!B$25*Calculations!$C$6)+('Input and Output'!B$26*(IF('Input and Output'!D$7="Detritus",Calculations!$C$4,G877))-(SUM('Input and Output'!B$27:B$32))*H876))</f>
        <v>5.7586373486628872E-5</v>
      </c>
      <c r="D877" s="49">
        <f>(('Input and Output'!C$23*'Input and Output'!$B$10)+('Input and Output'!C$24*Calculations!$C$5)+('Input and Output'!C$25*Calculations!$C$6)+('Input and Output'!C$26*(IF('Input and Output'!E$7="Detritus",Calculations!$C$4,H877))-(SUM('Input and Output'!C$27:C$32))*I876))</f>
        <v>4.8032378526841057E-4</v>
      </c>
      <c r="E877" s="49">
        <f>(('Input and Output'!D$23*'Input and Output'!$B$10)+('Input and Output'!D$24*Calculations!$C$5)+('Input and Output'!D$25*Calculations!$C$6)+('Input and Output'!D$26*(IF('Input and Output'!F$7="Detritus",Calculations!$C$4,I877))-(SUM('Input and Output'!D$27:D$32))*J876))</f>
        <v>2.0911537649226375E-4</v>
      </c>
      <c r="F877" s="49" t="e">
        <f>(('Input and Output'!E$23*'Input and Output'!$B$10)+('Input and Output'!E$24*Calculations!$C$5)+('Input and Output'!E$25*Calculations!$C$6)+('Input and Output'!E$26*(IF('Input and Output'!G$7="Detritus",Calculations!$C$4,J877))-(SUM('Input and Output'!E$27:E$32))*K876))</f>
        <v>#N/A</v>
      </c>
      <c r="H877" s="49">
        <f>IF(H$2="",NA(),C877*$B877+H876)</f>
        <v>324480.71941108414</v>
      </c>
      <c r="I877" s="49">
        <f>IF(I$2="",NA(),D877*$B877+I876)</f>
        <v>2973161.9401941225</v>
      </c>
      <c r="J877" s="49">
        <f>IF(J$2="",NA(),E877*$B877+J876)</f>
        <v>1381886.7963165226</v>
      </c>
      <c r="K877" s="49" t="e">
        <f>IF(K$2="",NA(),F877*$B877+K876)</f>
        <v>#N/A</v>
      </c>
    </row>
    <row r="878" spans="1:11" x14ac:dyDescent="0.4">
      <c r="A878" s="49">
        <v>875</v>
      </c>
      <c r="B878" s="49">
        <f>A878/$B$1</f>
        <v>36.458333333333336</v>
      </c>
      <c r="C878" s="49">
        <f>(('Input and Output'!B$23*'Input and Output'!$B$10)+('Input and Output'!B$24*Calculations!$C$5)+('Input and Output'!B$25*Calculations!$C$6)+('Input and Output'!B$26*(IF('Input and Output'!D$7="Detritus",Calculations!$C$4,G878))-(SUM('Input and Output'!B$27:B$32))*H877))</f>
        <v>5.5564526178386586E-5</v>
      </c>
      <c r="D878" s="49">
        <f>(('Input and Output'!C$23*'Input and Output'!$B$10)+('Input and Output'!C$24*Calculations!$C$5)+('Input and Output'!C$25*Calculations!$C$6)+('Input and Output'!C$26*(IF('Input and Output'!E$7="Detritus",Calculations!$C$4,H878))-(SUM('Input and Output'!C$27:C$32))*I877))</f>
        <v>4.6343952089955565E-4</v>
      </c>
      <c r="E878" s="49">
        <f>(('Input and Output'!D$23*'Input and Output'!$B$10)+('Input and Output'!D$24*Calculations!$C$5)+('Input and Output'!D$25*Calculations!$C$6)+('Input and Output'!D$26*(IF('Input and Output'!F$7="Detritus",Calculations!$C$4,I878))-(SUM('Input and Output'!D$27:D$32))*J877))</f>
        <v>2.0175586178083904E-4</v>
      </c>
      <c r="F878" s="49" t="e">
        <f>(('Input and Output'!E$23*'Input and Output'!$B$10)+('Input and Output'!E$24*Calculations!$C$5)+('Input and Output'!E$25*Calculations!$C$6)+('Input and Output'!E$26*(IF('Input and Output'!G$7="Detritus",Calculations!$C$4,J878))-(SUM('Input and Output'!E$27:E$32))*K877))</f>
        <v>#N/A</v>
      </c>
      <c r="H878" s="49">
        <f>IF(H$2="",NA(),C878*$B878+H877)</f>
        <v>324480.72143687413</v>
      </c>
      <c r="I878" s="49">
        <f>IF(I$2="",NA(),D878*$B878+I877)</f>
        <v>2973161.957090355</v>
      </c>
      <c r="J878" s="49">
        <f>IF(J$2="",NA(),E878*$B878+J877)</f>
        <v>1381886.8036722052</v>
      </c>
      <c r="K878" s="49" t="e">
        <f>IF(K$2="",NA(),F878*$B878+K877)</f>
        <v>#N/A</v>
      </c>
    </row>
    <row r="879" spans="1:11" x14ac:dyDescent="0.4">
      <c r="A879" s="49">
        <v>876</v>
      </c>
      <c r="B879" s="49">
        <f>A879/$B$1</f>
        <v>36.5</v>
      </c>
      <c r="C879" s="49">
        <f>(('Input and Output'!B$23*'Input and Output'!$B$10)+('Input and Output'!B$24*Calculations!$C$5)+('Input and Output'!B$25*Calculations!$C$6)+('Input and Output'!B$26*(IF('Input and Output'!D$7="Detritus",Calculations!$C$4,G879))-(SUM('Input and Output'!B$27:B$32))*H878))</f>
        <v>5.3611433486366877E-5</v>
      </c>
      <c r="D879" s="49">
        <f>(('Input and Output'!C$23*'Input and Output'!$B$10)+('Input and Output'!C$24*Calculations!$C$5)+('Input and Output'!C$25*Calculations!$C$6)+('Input and Output'!C$26*(IF('Input and Output'!E$7="Detritus",Calculations!$C$4,H879))-(SUM('Input and Output'!C$27:C$32))*I878))</f>
        <v>4.471301581361331E-4</v>
      </c>
      <c r="E879" s="49">
        <f>(('Input and Output'!D$23*'Input and Output'!$B$10)+('Input and Output'!D$24*Calculations!$C$5)+('Input and Output'!D$25*Calculations!$C$6)+('Input and Output'!D$26*(IF('Input and Output'!F$7="Detritus",Calculations!$C$4,I879))-(SUM('Input and Output'!D$27:D$32))*J878))</f>
        <v>1.9464736760710366E-4</v>
      </c>
      <c r="F879" s="49" t="e">
        <f>(('Input and Output'!E$23*'Input and Output'!$B$10)+('Input and Output'!E$24*Calculations!$C$5)+('Input and Output'!E$25*Calculations!$C$6)+('Input and Output'!E$26*(IF('Input and Output'!G$7="Detritus",Calculations!$C$4,J879))-(SUM('Input and Output'!E$27:E$32))*K878))</f>
        <v>#N/A</v>
      </c>
      <c r="H879" s="49">
        <f>IF(H$2="",NA(),C879*$B879+H878)</f>
        <v>324480.72339369147</v>
      </c>
      <c r="I879" s="49">
        <f>IF(I$2="",NA(),D879*$B879+I878)</f>
        <v>2973161.9734106059</v>
      </c>
      <c r="J879" s="49">
        <f>IF(J$2="",NA(),E879*$B879+J878)</f>
        <v>1381886.8107768341</v>
      </c>
      <c r="K879" s="49" t="e">
        <f>IF(K$2="",NA(),F879*$B879+K878)</f>
        <v>#N/A</v>
      </c>
    </row>
    <row r="880" spans="1:11" x14ac:dyDescent="0.4">
      <c r="A880" s="49">
        <v>877</v>
      </c>
      <c r="B880" s="49">
        <f>A880/$B$1</f>
        <v>36.541666666666664</v>
      </c>
      <c r="C880" s="49">
        <f>(('Input and Output'!B$23*'Input and Output'!$B$10)+('Input and Output'!B$24*Calculations!$C$5)+('Input and Output'!B$25*Calculations!$C$6)+('Input and Output'!B$26*(IF('Input and Output'!D$7="Detritus",Calculations!$C$4,G880))-(SUM('Input and Output'!B$27:B$32))*H879))</f>
        <v>5.1724838272093621E-5</v>
      </c>
      <c r="D880" s="49">
        <f>(('Input and Output'!C$23*'Input and Output'!$B$10)+('Input and Output'!C$24*Calculations!$C$5)+('Input and Output'!C$25*Calculations!$C$6)+('Input and Output'!C$26*(IF('Input and Output'!E$7="Detritus",Calculations!$C$4,H880))-(SUM('Input and Output'!C$27:C$32))*I879))</f>
        <v>4.313767913117772E-4</v>
      </c>
      <c r="E880" s="49">
        <f>(('Input and Output'!D$23*'Input and Output'!$B$10)+('Input and Output'!D$24*Calculations!$C$5)+('Input and Output'!D$25*Calculations!$C$6)+('Input and Output'!D$26*(IF('Input and Output'!F$7="Detritus",Calculations!$C$4,I880))-(SUM('Input and Output'!D$27:D$32))*J879))</f>
        <v>1.8778136654873379E-4</v>
      </c>
      <c r="F880" s="49" t="e">
        <f>(('Input and Output'!E$23*'Input and Output'!$B$10)+('Input and Output'!E$24*Calculations!$C$5)+('Input and Output'!E$25*Calculations!$C$6)+('Input and Output'!E$26*(IF('Input and Output'!G$7="Detritus",Calculations!$C$4,J880))-(SUM('Input and Output'!E$27:E$32))*K879))</f>
        <v>#N/A</v>
      </c>
      <c r="H880" s="49">
        <f>IF(H$2="",NA(),C880*$B880+H879)</f>
        <v>324480.72528380324</v>
      </c>
      <c r="I880" s="49">
        <f>IF(I$2="",NA(),D880*$B880+I879)</f>
        <v>2973161.9891738328</v>
      </c>
      <c r="J880" s="49">
        <f>IF(J$2="",NA(),E880*$B880+J879)</f>
        <v>1381886.8176386782</v>
      </c>
      <c r="K880" s="49" t="e">
        <f>IF(K$2="",NA(),F880*$B880+K879)</f>
        <v>#N/A</v>
      </c>
    </row>
    <row r="881" spans="1:11" x14ac:dyDescent="0.4">
      <c r="A881" s="49">
        <v>878</v>
      </c>
      <c r="B881" s="49">
        <f>A881/$B$1</f>
        <v>36.583333333333336</v>
      </c>
      <c r="C881" s="49">
        <f>(('Input and Output'!B$23*'Input and Output'!$B$10)+('Input and Output'!B$24*Calculations!$C$5)+('Input and Output'!B$25*Calculations!$C$6)+('Input and Output'!B$26*(IF('Input and Output'!D$7="Detritus",Calculations!$C$4,G881))-(SUM('Input and Output'!B$27:B$32))*H880))</f>
        <v>4.9902554849268199E-5</v>
      </c>
      <c r="D881" s="49">
        <f>(('Input and Output'!C$23*'Input and Output'!$B$10)+('Input and Output'!C$24*Calculations!$C$5)+('Input and Output'!C$25*Calculations!$C$6)+('Input and Output'!C$26*(IF('Input and Output'!E$7="Detritus",Calculations!$C$4,H881))-(SUM('Input and Output'!C$27:C$32))*I880))</f>
        <v>4.1616112412157236E-4</v>
      </c>
      <c r="E881" s="49">
        <f>(('Input and Output'!D$23*'Input and Output'!$B$10)+('Input and Output'!D$24*Calculations!$C$5)+('Input and Output'!D$25*Calculations!$C$6)+('Input and Output'!D$26*(IF('Input and Output'!F$7="Detritus",Calculations!$C$4,I881))-(SUM('Input and Output'!D$27:D$32))*J880))</f>
        <v>1.8115017519448884E-4</v>
      </c>
      <c r="F881" s="49" t="e">
        <f>(('Input and Output'!E$23*'Input and Output'!$B$10)+('Input and Output'!E$24*Calculations!$C$5)+('Input and Output'!E$25*Calculations!$C$6)+('Input and Output'!E$26*(IF('Input and Output'!G$7="Detritus",Calculations!$C$4,J881))-(SUM('Input and Output'!E$27:E$32))*K880))</f>
        <v>#N/A</v>
      </c>
      <c r="H881" s="49">
        <f>IF(H$2="",NA(),C881*$B881+H880)</f>
        <v>324480.72710940504</v>
      </c>
      <c r="I881" s="49">
        <f>IF(I$2="",NA(),D881*$B881+I880)</f>
        <v>2973162.0043983939</v>
      </c>
      <c r="J881" s="49">
        <f>IF(J$2="",NA(),E881*$B881+J880)</f>
        <v>1381886.8242657555</v>
      </c>
      <c r="K881" s="49" t="e">
        <f>IF(K$2="",NA(),F881*$B881+K880)</f>
        <v>#N/A</v>
      </c>
    </row>
    <row r="882" spans="1:11" x14ac:dyDescent="0.4">
      <c r="A882" s="49">
        <v>879</v>
      </c>
      <c r="B882" s="49">
        <f>A882/$B$1</f>
        <v>36.625</v>
      </c>
      <c r="C882" s="49">
        <f>(('Input and Output'!B$23*'Input and Output'!$B$10)+('Input and Output'!B$24*Calculations!$C$5)+('Input and Output'!B$25*Calculations!$C$6)+('Input and Output'!B$26*(IF('Input and Output'!D$7="Detritus",Calculations!$C$4,G882))-(SUM('Input and Output'!B$27:B$32))*H881))</f>
        <v>4.8142466425815655E-5</v>
      </c>
      <c r="D882" s="49">
        <f>(('Input and Output'!C$23*'Input and Output'!$B$10)+('Input and Output'!C$24*Calculations!$C$5)+('Input and Output'!C$25*Calculations!$C$6)+('Input and Output'!C$26*(IF('Input and Output'!E$7="Detritus",Calculations!$C$4,H882))-(SUM('Input and Output'!C$27:C$32))*I881))</f>
        <v>4.0146543233277043E-4</v>
      </c>
      <c r="E882" s="49">
        <f>(('Input and Output'!D$23*'Input and Output'!$B$10)+('Input and Output'!D$24*Calculations!$C$5)+('Input and Output'!D$25*Calculations!$C$6)+('Input and Output'!D$26*(IF('Input and Output'!F$7="Detritus",Calculations!$C$4,I882))-(SUM('Input and Output'!D$27:D$32))*J881))</f>
        <v>1.747457317833323E-4</v>
      </c>
      <c r="F882" s="49" t="e">
        <f>(('Input and Output'!E$23*'Input and Output'!$B$10)+('Input and Output'!E$24*Calculations!$C$5)+('Input and Output'!E$25*Calculations!$C$6)+('Input and Output'!E$26*(IF('Input and Output'!G$7="Detritus",Calculations!$C$4,J882))-(SUM('Input and Output'!E$27:E$32))*K881))</f>
        <v>#N/A</v>
      </c>
      <c r="H882" s="49">
        <f>IF(H$2="",NA(),C882*$B882+H881)</f>
        <v>324480.72887262289</v>
      </c>
      <c r="I882" s="49">
        <f>IF(I$2="",NA(),D882*$B882+I881)</f>
        <v>2973162.0191020654</v>
      </c>
      <c r="J882" s="49">
        <f>IF(J$2="",NA(),E882*$B882+J881)</f>
        <v>1381886.8306658179</v>
      </c>
      <c r="K882" s="49" t="e">
        <f>IF(K$2="",NA(),F882*$B882+K881)</f>
        <v>#N/A</v>
      </c>
    </row>
    <row r="883" spans="1:11" x14ac:dyDescent="0.4">
      <c r="A883" s="49">
        <v>880</v>
      </c>
      <c r="B883" s="49">
        <f>A883/$B$1</f>
        <v>36.666666666666664</v>
      </c>
      <c r="C883" s="49">
        <f>(('Input and Output'!B$23*'Input and Output'!$B$10)+('Input and Output'!B$24*Calculations!$C$5)+('Input and Output'!B$25*Calculations!$C$6)+('Input and Output'!B$26*(IF('Input and Output'!D$7="Detritus",Calculations!$C$4,G883))-(SUM('Input and Output'!B$27:B$32))*H882))</f>
        <v>4.6442523228051869E-5</v>
      </c>
      <c r="D883" s="49">
        <f>(('Input and Output'!C$23*'Input and Output'!$B$10)+('Input and Output'!C$24*Calculations!$C$5)+('Input and Output'!C$25*Calculations!$C$6)+('Input and Output'!C$26*(IF('Input and Output'!E$7="Detritus",Calculations!$C$4,H883))-(SUM('Input and Output'!C$27:C$32))*I882))</f>
        <v>3.8727255741832778E-4</v>
      </c>
      <c r="E883" s="49">
        <f>(('Input and Output'!D$23*'Input and Output'!$B$10)+('Input and Output'!D$24*Calculations!$C$5)+('Input and Output'!D$25*Calculations!$C$6)+('Input and Output'!D$26*(IF('Input and Output'!F$7="Detritus",Calculations!$C$4,I883))-(SUM('Input and Output'!D$27:D$32))*J882))</f>
        <v>1.6856078946148045E-4</v>
      </c>
      <c r="F883" s="49" t="e">
        <f>(('Input and Output'!E$23*'Input and Output'!$B$10)+('Input and Output'!E$24*Calculations!$C$5)+('Input and Output'!E$25*Calculations!$C$6)+('Input and Output'!E$26*(IF('Input and Output'!G$7="Detritus",Calculations!$C$4,J883))-(SUM('Input and Output'!E$27:E$32))*K882))</f>
        <v>#N/A</v>
      </c>
      <c r="H883" s="49">
        <f>IF(H$2="",NA(),C883*$B883+H882)</f>
        <v>324480.73057551542</v>
      </c>
      <c r="I883" s="49">
        <f>IF(I$2="",NA(),D883*$B883+I882)</f>
        <v>2973162.0333020589</v>
      </c>
      <c r="J883" s="49">
        <f>IF(J$2="",NA(),E883*$B883+J882)</f>
        <v>1381886.8368463803</v>
      </c>
      <c r="K883" s="49" t="e">
        <f>IF(K$2="",NA(),F883*$B883+K882)</f>
        <v>#N/A</v>
      </c>
    </row>
    <row r="884" spans="1:11" x14ac:dyDescent="0.4">
      <c r="A884" s="49">
        <v>881</v>
      </c>
      <c r="B884" s="49">
        <f>A884/$B$1</f>
        <v>36.708333333333336</v>
      </c>
      <c r="C884" s="49">
        <f>(('Input and Output'!B$23*'Input and Output'!$B$10)+('Input and Output'!B$24*Calculations!$C$5)+('Input and Output'!B$25*Calculations!$C$6)+('Input and Output'!B$26*(IF('Input and Output'!D$7="Detritus",Calculations!$C$4,G884))-(SUM('Input and Output'!B$27:B$32))*H883))</f>
        <v>4.4800740511163895E-5</v>
      </c>
      <c r="D884" s="49">
        <f>(('Input and Output'!C$23*'Input and Output'!$B$10)+('Input and Output'!C$24*Calculations!$C$5)+('Input and Output'!C$25*Calculations!$C$6)+('Input and Output'!C$26*(IF('Input and Output'!E$7="Detritus",Calculations!$C$4,H884))-(SUM('Input and Output'!C$27:C$32))*I883))</f>
        <v>3.735658847290324E-4</v>
      </c>
      <c r="E884" s="49">
        <f>(('Input and Output'!D$23*'Input and Output'!$B$10)+('Input and Output'!D$24*Calculations!$C$5)+('Input and Output'!D$25*Calculations!$C$6)+('Input and Output'!D$26*(IF('Input and Output'!F$7="Detritus",Calculations!$C$4,I884))-(SUM('Input and Output'!D$27:D$32))*J883))</f>
        <v>1.6258795585599728E-4</v>
      </c>
      <c r="F884" s="49" t="e">
        <f>(('Input and Output'!E$23*'Input and Output'!$B$10)+('Input and Output'!E$24*Calculations!$C$5)+('Input and Output'!E$25*Calculations!$C$6)+('Input and Output'!E$26*(IF('Input and Output'!G$7="Detritus",Calculations!$C$4,J884))-(SUM('Input and Output'!E$27:E$32))*K883))</f>
        <v>#N/A</v>
      </c>
      <c r="H884" s="49">
        <f>IF(H$2="",NA(),C884*$B884+H883)</f>
        <v>324480.73222007597</v>
      </c>
      <c r="I884" s="49">
        <f>IF(I$2="",NA(),D884*$B884+I883)</f>
        <v>2973162.0470150402</v>
      </c>
      <c r="J884" s="49">
        <f>IF(J$2="",NA(),E884*$B884+J883)</f>
        <v>1381886.8428147133</v>
      </c>
      <c r="K884" s="49" t="e">
        <f>IF(K$2="",NA(),F884*$B884+K883)</f>
        <v>#N/A</v>
      </c>
    </row>
    <row r="885" spans="1:11" x14ac:dyDescent="0.4">
      <c r="A885" s="49">
        <v>882</v>
      </c>
      <c r="B885" s="49">
        <f>A885/$B$1</f>
        <v>36.75</v>
      </c>
      <c r="C885" s="49">
        <f>(('Input and Output'!B$23*'Input and Output'!$B$10)+('Input and Output'!B$24*Calculations!$C$5)+('Input and Output'!B$25*Calculations!$C$6)+('Input and Output'!B$26*(IF('Input and Output'!D$7="Detritus",Calculations!$C$4,G885))-(SUM('Input and Output'!B$27:B$32))*H884))</f>
        <v>4.3215196512846887E-5</v>
      </c>
      <c r="D885" s="49">
        <f>(('Input and Output'!C$23*'Input and Output'!$B$10)+('Input and Output'!C$24*Calculations!$C$5)+('Input and Output'!C$25*Calculations!$C$6)+('Input and Output'!C$26*(IF('Input and Output'!E$7="Detritus",Calculations!$C$4,H885))-(SUM('Input and Output'!C$27:C$32))*I884))</f>
        <v>3.6032932075613644E-4</v>
      </c>
      <c r="E885" s="49">
        <f>(('Input and Output'!D$23*'Input and Output'!$B$10)+('Input and Output'!D$24*Calculations!$C$5)+('Input and Output'!D$25*Calculations!$C$6)+('Input and Output'!D$26*(IF('Input and Output'!F$7="Detritus",Calculations!$C$4,I885))-(SUM('Input and Output'!D$27:D$32))*J884))</f>
        <v>1.5682023149565794E-4</v>
      </c>
      <c r="F885" s="49" t="e">
        <f>(('Input and Output'!E$23*'Input and Output'!$B$10)+('Input and Output'!E$24*Calculations!$C$5)+('Input and Output'!E$25*Calculations!$C$6)+('Input and Output'!E$26*(IF('Input and Output'!G$7="Detritus",Calculations!$C$4,J885))-(SUM('Input and Output'!E$27:E$32))*K884))</f>
        <v>#N/A</v>
      </c>
      <c r="H885" s="49">
        <f>IF(H$2="",NA(),C885*$B885+H884)</f>
        <v>324480.73380823445</v>
      </c>
      <c r="I885" s="49">
        <f>IF(I$2="",NA(),D885*$B885+I884)</f>
        <v>2973162.0602571429</v>
      </c>
      <c r="J885" s="49">
        <f>IF(J$2="",NA(),E885*$B885+J884)</f>
        <v>1381886.8485778568</v>
      </c>
      <c r="K885" s="49" t="e">
        <f>IF(K$2="",NA(),F885*$B885+K884)</f>
        <v>#N/A</v>
      </c>
    </row>
    <row r="886" spans="1:11" x14ac:dyDescent="0.4">
      <c r="A886" s="49">
        <v>883</v>
      </c>
      <c r="B886" s="49">
        <f>A886/$B$1</f>
        <v>36.791666666666664</v>
      </c>
      <c r="C886" s="49">
        <f>(('Input and Output'!B$23*'Input and Output'!$B$10)+('Input and Output'!B$24*Calculations!$C$5)+('Input and Output'!B$25*Calculations!$C$6)+('Input and Output'!B$26*(IF('Input and Output'!D$7="Detritus",Calculations!$C$4,G886))-(SUM('Input and Output'!B$27:B$32))*H885))</f>
        <v>4.1684030520627857E-5</v>
      </c>
      <c r="D886" s="49">
        <f>(('Input and Output'!C$23*'Input and Output'!$B$10)+('Input and Output'!C$24*Calculations!$C$5)+('Input and Output'!C$25*Calculations!$C$6)+('Input and Output'!C$26*(IF('Input and Output'!E$7="Detritus",Calculations!$C$4,H886))-(SUM('Input and Output'!C$27:C$32))*I885))</f>
        <v>3.4754729767882964E-4</v>
      </c>
      <c r="E886" s="49">
        <f>(('Input and Output'!D$23*'Input and Output'!$B$10)+('Input and Output'!D$24*Calculations!$C$5)+('Input and Output'!D$25*Calculations!$C$6)+('Input and Output'!D$26*(IF('Input and Output'!F$7="Detritus",Calculations!$C$4,I886))-(SUM('Input and Output'!D$27:D$32))*J885))</f>
        <v>1.5125080608413555E-4</v>
      </c>
      <c r="F886" s="49" t="e">
        <f>(('Input and Output'!E$23*'Input and Output'!$B$10)+('Input and Output'!E$24*Calculations!$C$5)+('Input and Output'!E$25*Calculations!$C$6)+('Input and Output'!E$26*(IF('Input and Output'!G$7="Detritus",Calculations!$C$4,J886))-(SUM('Input and Output'!E$27:E$32))*K885))</f>
        <v>#N/A</v>
      </c>
      <c r="H886" s="49">
        <f>IF(H$2="",NA(),C886*$B886+H885)</f>
        <v>324480.7353418594</v>
      </c>
      <c r="I886" s="49">
        <f>IF(I$2="",NA(),D886*$B886+I885)</f>
        <v>2973162.0730439872</v>
      </c>
      <c r="J886" s="49">
        <f>IF(J$2="",NA(),E886*$B886+J885)</f>
        <v>1381886.854142626</v>
      </c>
      <c r="K886" s="49" t="e">
        <f>IF(K$2="",NA(),F886*$B886+K885)</f>
        <v>#N/A</v>
      </c>
    </row>
    <row r="887" spans="1:11" x14ac:dyDescent="0.4">
      <c r="A887" s="49">
        <v>884</v>
      </c>
      <c r="B887" s="49">
        <f>A887/$B$1</f>
        <v>36.833333333333336</v>
      </c>
      <c r="C887" s="49">
        <f>(('Input and Output'!B$23*'Input and Output'!$B$10)+('Input and Output'!B$24*Calculations!$C$5)+('Input and Output'!B$25*Calculations!$C$6)+('Input and Output'!B$26*(IF('Input and Output'!D$7="Detritus",Calculations!$C$4,G887))-(SUM('Input and Output'!B$27:B$32))*H886))</f>
        <v>4.0205441109719686E-5</v>
      </c>
      <c r="D887" s="49">
        <f>(('Input and Output'!C$23*'Input and Output'!$B$10)+('Input and Output'!C$24*Calculations!$C$5)+('Input and Output'!C$25*Calculations!$C$6)+('Input and Output'!C$26*(IF('Input and Output'!E$7="Detritus",Calculations!$C$4,H887))-(SUM('Input and Output'!C$27:C$32))*I886))</f>
        <v>3.3520473243697779E-4</v>
      </c>
      <c r="E887" s="49">
        <f>(('Input and Output'!D$23*'Input and Output'!$B$10)+('Input and Output'!D$24*Calculations!$C$5)+('Input and Output'!D$25*Calculations!$C$6)+('Input and Output'!D$26*(IF('Input and Output'!F$7="Detritus",Calculations!$C$4,I887))-(SUM('Input and Output'!D$27:D$32))*J886))</f>
        <v>1.4587314581149258E-4</v>
      </c>
      <c r="F887" s="49" t="e">
        <f>(('Input and Output'!E$23*'Input and Output'!$B$10)+('Input and Output'!E$24*Calculations!$C$5)+('Input and Output'!E$25*Calculations!$C$6)+('Input and Output'!E$26*(IF('Input and Output'!G$7="Detritus",Calculations!$C$4,J887))-(SUM('Input and Output'!E$27:E$32))*K886))</f>
        <v>#N/A</v>
      </c>
      <c r="H887" s="49">
        <f>IF(H$2="",NA(),C887*$B887+H886)</f>
        <v>324480.73682275979</v>
      </c>
      <c r="I887" s="49">
        <f>IF(I$2="",NA(),D887*$B887+I886)</f>
        <v>2973162.0853906949</v>
      </c>
      <c r="J887" s="49">
        <f>IF(J$2="",NA(),E887*$B887+J886)</f>
        <v>1381886.8595156202</v>
      </c>
      <c r="K887" s="49" t="e">
        <f>IF(K$2="",NA(),F887*$B887+K886)</f>
        <v>#N/A</v>
      </c>
    </row>
    <row r="888" spans="1:11" x14ac:dyDescent="0.4">
      <c r="A888" s="49">
        <v>885</v>
      </c>
      <c r="B888" s="49">
        <f>A888/$B$1</f>
        <v>36.875</v>
      </c>
      <c r="C888" s="49">
        <f>(('Input and Output'!B$23*'Input and Output'!$B$10)+('Input and Output'!B$24*Calculations!$C$5)+('Input and Output'!B$25*Calculations!$C$6)+('Input and Output'!B$26*(IF('Input and Output'!D$7="Detritus",Calculations!$C$4,G888))-(SUM('Input and Output'!B$27:B$32))*H887))</f>
        <v>3.8777684153501468E-5</v>
      </c>
      <c r="D888" s="49">
        <f>(('Input and Output'!C$23*'Input and Output'!$B$10)+('Input and Output'!C$24*Calculations!$C$5)+('Input and Output'!C$25*Calculations!$C$6)+('Input and Output'!C$26*(IF('Input and Output'!E$7="Detritus",Calculations!$C$4,H888))-(SUM('Input and Output'!C$27:C$32))*I887))</f>
        <v>3.2328702945960686E-4</v>
      </c>
      <c r="E888" s="49">
        <f>(('Input and Output'!D$23*'Input and Output'!$B$10)+('Input and Output'!D$24*Calculations!$C$5)+('Input and Output'!D$25*Calculations!$C$6)+('Input and Output'!D$26*(IF('Input and Output'!F$7="Detritus",Calculations!$C$4,I888))-(SUM('Input and Output'!D$27:D$32))*J887))</f>
        <v>1.4068078962736763E-4</v>
      </c>
      <c r="F888" s="49" t="e">
        <f>(('Input and Output'!E$23*'Input and Output'!$B$10)+('Input and Output'!E$24*Calculations!$C$5)+('Input and Output'!E$25*Calculations!$C$6)+('Input and Output'!E$26*(IF('Input and Output'!G$7="Detritus",Calculations!$C$4,J888))-(SUM('Input and Output'!E$27:E$32))*K887))</f>
        <v>#N/A</v>
      </c>
      <c r="H888" s="49">
        <f>IF(H$2="",NA(),C888*$B888+H887)</f>
        <v>324480.73825268692</v>
      </c>
      <c r="I888" s="49">
        <f>IF(I$2="",NA(),D888*$B888+I887)</f>
        <v>2973162.0973119042</v>
      </c>
      <c r="J888" s="49">
        <f>IF(J$2="",NA(),E888*$B888+J887)</f>
        <v>1381886.8647032243</v>
      </c>
      <c r="K888" s="49" t="e">
        <f>IF(K$2="",NA(),F888*$B888+K887)</f>
        <v>#N/A</v>
      </c>
    </row>
    <row r="889" spans="1:11" x14ac:dyDescent="0.4">
      <c r="A889" s="49">
        <v>886</v>
      </c>
      <c r="B889" s="49">
        <f>A889/$B$1</f>
        <v>36.916666666666664</v>
      </c>
      <c r="C889" s="49">
        <f>(('Input and Output'!B$23*'Input and Output'!$B$10)+('Input and Output'!B$24*Calculations!$C$5)+('Input and Output'!B$25*Calculations!$C$6)+('Input and Output'!B$26*(IF('Input and Output'!D$7="Detritus",Calculations!$C$4,G889))-(SUM('Input and Output'!B$27:B$32))*H888))</f>
        <v>3.7399071231902781E-5</v>
      </c>
      <c r="D889" s="49">
        <f>(('Input and Output'!C$23*'Input and Output'!$B$10)+('Input and Output'!C$24*Calculations!$C$5)+('Input and Output'!C$25*Calculations!$C$6)+('Input and Output'!C$26*(IF('Input and Output'!E$7="Detritus",Calculations!$C$4,H889))-(SUM('Input and Output'!C$27:C$32))*I888))</f>
        <v>3.1178005610854598E-4</v>
      </c>
      <c r="E889" s="49">
        <f>(('Input and Output'!D$23*'Input and Output'!$B$10)+('Input and Output'!D$24*Calculations!$C$5)+('Input and Output'!D$25*Calculations!$C$6)+('Input and Output'!D$26*(IF('Input and Output'!F$7="Detritus",Calculations!$C$4,I889))-(SUM('Input and Output'!D$27:D$32))*J888))</f>
        <v>1.3566759662353434E-4</v>
      </c>
      <c r="F889" s="49" t="e">
        <f>(('Input and Output'!E$23*'Input and Output'!$B$10)+('Input and Output'!E$24*Calculations!$C$5)+('Input and Output'!E$25*Calculations!$C$6)+('Input and Output'!E$26*(IF('Input and Output'!G$7="Detritus",Calculations!$C$4,J889))-(SUM('Input and Output'!E$27:E$32))*K888))</f>
        <v>#N/A</v>
      </c>
      <c r="H889" s="49">
        <f>IF(H$2="",NA(),C889*$B889+H888)</f>
        <v>324480.73963333596</v>
      </c>
      <c r="I889" s="49">
        <f>IF(I$2="",NA(),D889*$B889+I888)</f>
        <v>2973162.1088217846</v>
      </c>
      <c r="J889" s="49">
        <f>IF(J$2="",NA(),E889*$B889+J888)</f>
        <v>1381886.8697116198</v>
      </c>
      <c r="K889" s="49" t="e">
        <f>IF(K$2="",NA(),F889*$B889+K888)</f>
        <v>#N/A</v>
      </c>
    </row>
    <row r="890" spans="1:11" x14ac:dyDescent="0.4">
      <c r="A890" s="49">
        <v>887</v>
      </c>
      <c r="B890" s="49">
        <f>A890/$B$1</f>
        <v>36.958333333333336</v>
      </c>
      <c r="C890" s="49">
        <f>(('Input and Output'!B$23*'Input and Output'!$B$10)+('Input and Output'!B$24*Calculations!$C$5)+('Input and Output'!B$25*Calculations!$C$6)+('Input and Output'!B$26*(IF('Input and Output'!D$7="Detritus",Calculations!$C$4,G890))-(SUM('Input and Output'!B$27:B$32))*H889))</f>
        <v>3.6067967982944538E-5</v>
      </c>
      <c r="D890" s="49">
        <f>(('Input and Output'!C$23*'Input and Output'!$B$10)+('Input and Output'!C$24*Calculations!$C$5)+('Input and Output'!C$25*Calculations!$C$6)+('Input and Output'!C$26*(IF('Input and Output'!E$7="Detritus",Calculations!$C$4,H890))-(SUM('Input and Output'!C$27:C$32))*I889))</f>
        <v>3.0067013449297519E-4</v>
      </c>
      <c r="E890" s="49">
        <f>(('Input and Output'!D$23*'Input and Output'!$B$10)+('Input and Output'!D$24*Calculations!$C$5)+('Input and Output'!D$25*Calculations!$C$6)+('Input and Output'!D$26*(IF('Input and Output'!F$7="Detritus",Calculations!$C$4,I890))-(SUM('Input and Output'!D$27:D$32))*J889))</f>
        <v>1.3082761506666429E-4</v>
      </c>
      <c r="F890" s="49" t="e">
        <f>(('Input and Output'!E$23*'Input and Output'!$B$10)+('Input and Output'!E$24*Calculations!$C$5)+('Input and Output'!E$25*Calculations!$C$6)+('Input and Output'!E$26*(IF('Input and Output'!G$7="Detritus",Calculations!$C$4,J890))-(SUM('Input and Output'!E$27:E$32))*K889))</f>
        <v>#N/A</v>
      </c>
      <c r="H890" s="49">
        <f>IF(H$2="",NA(),C890*$B890+H889)</f>
        <v>324480.74096634792</v>
      </c>
      <c r="I890" s="49">
        <f>IF(I$2="",NA(),D890*$B890+I889)</f>
        <v>2973162.1199340518</v>
      </c>
      <c r="J890" s="49">
        <f>IF(J$2="",NA(),E890*$B890+J889)</f>
        <v>1381886.8745467905</v>
      </c>
      <c r="K890" s="49" t="e">
        <f>IF(K$2="",NA(),F890*$B890+K889)</f>
        <v>#N/A</v>
      </c>
    </row>
    <row r="891" spans="1:11" x14ac:dyDescent="0.4">
      <c r="A891" s="49">
        <v>888</v>
      </c>
      <c r="B891" s="49">
        <f>A891/$B$1</f>
        <v>37</v>
      </c>
      <c r="C891" s="49">
        <f>(('Input and Output'!B$23*'Input and Output'!$B$10)+('Input and Output'!B$24*Calculations!$C$5)+('Input and Output'!B$25*Calculations!$C$6)+('Input and Output'!B$26*(IF('Input and Output'!D$7="Detritus",Calculations!$C$4,G891))-(SUM('Input and Output'!B$27:B$32))*H890))</f>
        <v>3.4782792397436424E-5</v>
      </c>
      <c r="D891" s="49">
        <f>(('Input and Output'!C$23*'Input and Output'!$B$10)+('Input and Output'!C$24*Calculations!$C$5)+('Input and Output'!C$25*Calculations!$C$6)+('Input and Output'!C$26*(IF('Input and Output'!E$7="Detritus",Calculations!$C$4,H891))-(SUM('Input and Output'!C$27:C$32))*I890))</f>
        <v>2.8994402418902609E-4</v>
      </c>
      <c r="E891" s="49">
        <f>(('Input and Output'!D$23*'Input and Output'!$B$10)+('Input and Output'!D$24*Calculations!$C$5)+('Input and Output'!D$25*Calculations!$C$6)+('Input and Output'!D$26*(IF('Input and Output'!F$7="Detritus",Calculations!$C$4,I891))-(SUM('Input and Output'!D$27:D$32))*J890))</f>
        <v>1.2615506784641184E-4</v>
      </c>
      <c r="F891" s="49" t="e">
        <f>(('Input and Output'!E$23*'Input and Output'!$B$10)+('Input and Output'!E$24*Calculations!$C$5)+('Input and Output'!E$25*Calculations!$C$6)+('Input and Output'!E$26*(IF('Input and Output'!G$7="Detritus",Calculations!$C$4,J891))-(SUM('Input and Output'!E$27:E$32))*K890))</f>
        <v>#N/A</v>
      </c>
      <c r="H891" s="49">
        <f>IF(H$2="",NA(),C891*$B891+H890)</f>
        <v>324480.74225331121</v>
      </c>
      <c r="I891" s="49">
        <f>IF(I$2="",NA(),D891*$B891+I890)</f>
        <v>2973162.1306619807</v>
      </c>
      <c r="J891" s="49">
        <f>IF(J$2="",NA(),E891*$B891+J890)</f>
        <v>1381886.879214528</v>
      </c>
      <c r="K891" s="49" t="e">
        <f>IF(K$2="",NA(),F891*$B891+K890)</f>
        <v>#N/A</v>
      </c>
    </row>
    <row r="892" spans="1:11" x14ac:dyDescent="0.4">
      <c r="A892" s="49">
        <v>889</v>
      </c>
      <c r="B892" s="49">
        <f>A892/$B$1</f>
        <v>37.041666666666664</v>
      </c>
      <c r="C892" s="49">
        <f>(('Input and Output'!B$23*'Input and Output'!$B$10)+('Input and Output'!B$24*Calculations!$C$5)+('Input and Output'!B$25*Calculations!$C$6)+('Input and Output'!B$26*(IF('Input and Output'!D$7="Detritus",Calculations!$C$4,G892))-(SUM('Input and Output'!B$27:B$32))*H891))</f>
        <v>3.3542012943144073E-5</v>
      </c>
      <c r="D892" s="49">
        <f>(('Input and Output'!C$23*'Input and Output'!$B$10)+('Input and Output'!C$24*Calculations!$C$5)+('Input and Output'!C$25*Calculations!$C$6)+('Input and Output'!C$26*(IF('Input and Output'!E$7="Detritus",Calculations!$C$4,H892))-(SUM('Input and Output'!C$27:C$32))*I891))</f>
        <v>2.795889122353401E-4</v>
      </c>
      <c r="E892" s="49">
        <f>(('Input and Output'!D$23*'Input and Output'!$B$10)+('Input and Output'!D$24*Calculations!$C$5)+('Input and Output'!D$25*Calculations!$C$6)+('Input and Output'!D$26*(IF('Input and Output'!F$7="Detritus",Calculations!$C$4,I892))-(SUM('Input and Output'!D$27:D$32))*J891))</f>
        <v>1.2164430881966837E-4</v>
      </c>
      <c r="F892" s="49" t="e">
        <f>(('Input and Output'!E$23*'Input and Output'!$B$10)+('Input and Output'!E$24*Calculations!$C$5)+('Input and Output'!E$25*Calculations!$C$6)+('Input and Output'!E$26*(IF('Input and Output'!G$7="Detritus",Calculations!$C$4,J892))-(SUM('Input and Output'!E$27:E$32))*K891))</f>
        <v>#N/A</v>
      </c>
      <c r="H892" s="49">
        <f>IF(H$2="",NA(),C892*$B892+H891)</f>
        <v>324480.74349576328</v>
      </c>
      <c r="I892" s="49">
        <f>IF(I$2="",NA(),D892*$B892+I891)</f>
        <v>2973162.14101842</v>
      </c>
      <c r="J892" s="49">
        <f>IF(J$2="",NA(),E892*$B892+J891)</f>
        <v>1381886.8837204359</v>
      </c>
      <c r="K892" s="49" t="e">
        <f>IF(K$2="",NA(),F892*$B892+K891)</f>
        <v>#N/A</v>
      </c>
    </row>
    <row r="893" spans="1:11" x14ac:dyDescent="0.4">
      <c r="A893" s="49">
        <v>890</v>
      </c>
      <c r="B893" s="49">
        <f>A893/$B$1</f>
        <v>37.083333333333336</v>
      </c>
      <c r="C893" s="49">
        <f>(('Input and Output'!B$23*'Input and Output'!$B$10)+('Input and Output'!B$24*Calculations!$C$5)+('Input and Output'!B$25*Calculations!$C$6)+('Input and Output'!B$26*(IF('Input and Output'!D$7="Detritus",Calculations!$C$4,G893))-(SUM('Input and Output'!B$27:B$32))*H892))</f>
        <v>3.234414737107727E-5</v>
      </c>
      <c r="D893" s="49">
        <f>(('Input and Output'!C$23*'Input and Output'!$B$10)+('Input and Output'!C$24*Calculations!$C$5)+('Input and Output'!C$25*Calculations!$C$6)+('Input and Output'!C$26*(IF('Input and Output'!E$7="Detritus",Calculations!$C$4,H893))-(SUM('Input and Output'!C$27:C$32))*I892))</f>
        <v>2.6959239585266914E-4</v>
      </c>
      <c r="E893" s="49">
        <f>(('Input and Output'!D$23*'Input and Output'!$B$10)+('Input and Output'!D$24*Calculations!$C$5)+('Input and Output'!D$25*Calculations!$C$6)+('Input and Output'!D$26*(IF('Input and Output'!F$7="Detritus",Calculations!$C$4,I893))-(SUM('Input and Output'!D$27:D$32))*J892))</f>
        <v>1.1728995377779938E-4</v>
      </c>
      <c r="F893" s="49" t="e">
        <f>(('Input and Output'!E$23*'Input and Output'!$B$10)+('Input and Output'!E$24*Calculations!$C$5)+('Input and Output'!E$25*Calculations!$C$6)+('Input and Output'!E$26*(IF('Input and Output'!G$7="Detritus",Calculations!$C$4,J893))-(SUM('Input and Output'!E$27:E$32))*K892))</f>
        <v>#N/A</v>
      </c>
      <c r="H893" s="49">
        <f>IF(H$2="",NA(),C893*$B893+H892)</f>
        <v>324480.74469519209</v>
      </c>
      <c r="I893" s="49">
        <f>IF(I$2="",NA(),D893*$B893+I892)</f>
        <v>2973162.1510158046</v>
      </c>
      <c r="J893" s="49">
        <f>IF(J$2="",NA(),E893*$B893+J892)</f>
        <v>1381886.8880699384</v>
      </c>
      <c r="K893" s="49" t="e">
        <f>IF(K$2="",NA(),F893*$B893+K892)</f>
        <v>#N/A</v>
      </c>
    </row>
    <row r="894" spans="1:11" x14ac:dyDescent="0.4">
      <c r="A894" s="49">
        <v>891</v>
      </c>
      <c r="B894" s="49">
        <f>A894/$B$1</f>
        <v>37.125</v>
      </c>
      <c r="C894" s="49">
        <f>(('Input and Output'!B$23*'Input and Output'!$B$10)+('Input and Output'!B$24*Calculations!$C$5)+('Input and Output'!B$25*Calculations!$C$6)+('Input and Output'!B$26*(IF('Input and Output'!D$7="Detritus",Calculations!$C$4,G894))-(SUM('Input and Output'!B$27:B$32))*H893))</f>
        <v>3.1187761123874225E-5</v>
      </c>
      <c r="D894" s="49">
        <f>(('Input and Output'!C$23*'Input and Output'!$B$10)+('Input and Output'!C$24*Calculations!$C$5)+('Input and Output'!C$25*Calculations!$C$6)+('Input and Output'!C$26*(IF('Input and Output'!E$7="Detritus",Calculations!$C$4,H894))-(SUM('Input and Output'!C$27:C$32))*I893))</f>
        <v>2.599424678919604E-4</v>
      </c>
      <c r="E894" s="49">
        <f>(('Input and Output'!D$23*'Input and Output'!$B$10)+('Input and Output'!D$24*Calculations!$C$5)+('Input and Output'!D$25*Calculations!$C$6)+('Input and Output'!D$26*(IF('Input and Output'!F$7="Detritus",Calculations!$C$4,I894))-(SUM('Input and Output'!D$27:D$32))*J893))</f>
        <v>1.1308676403132267E-4</v>
      </c>
      <c r="F894" s="49" t="e">
        <f>(('Input and Output'!E$23*'Input and Output'!$B$10)+('Input and Output'!E$24*Calculations!$C$5)+('Input and Output'!E$25*Calculations!$C$6)+('Input and Output'!E$26*(IF('Input and Output'!G$7="Detritus",Calculations!$C$4,J894))-(SUM('Input and Output'!E$27:E$32))*K893))</f>
        <v>#N/A</v>
      </c>
      <c r="H894" s="49">
        <f>IF(H$2="",NA(),C894*$B894+H893)</f>
        <v>324480.74585303769</v>
      </c>
      <c r="I894" s="49">
        <f>IF(I$2="",NA(),D894*$B894+I893)</f>
        <v>2973162.1606661687</v>
      </c>
      <c r="J894" s="49">
        <f>IF(J$2="",NA(),E894*$B894+J893)</f>
        <v>1381886.8922682845</v>
      </c>
      <c r="K894" s="49" t="e">
        <f>IF(K$2="",NA(),F894*$B894+K893)</f>
        <v>#N/A</v>
      </c>
    </row>
    <row r="895" spans="1:11" x14ac:dyDescent="0.4">
      <c r="A895" s="49">
        <v>892</v>
      </c>
      <c r="B895" s="49">
        <f>A895/$B$1</f>
        <v>37.166666666666664</v>
      </c>
      <c r="C895" s="49">
        <f>(('Input and Output'!B$23*'Input and Output'!$B$10)+('Input and Output'!B$24*Calculations!$C$5)+('Input and Output'!B$25*Calculations!$C$6)+('Input and Output'!B$26*(IF('Input and Output'!D$7="Detritus",Calculations!$C$4,G895))-(SUM('Input and Output'!B$27:B$32))*H894))</f>
        <v>3.0071465857872681E-5</v>
      </c>
      <c r="D895" s="49">
        <f>(('Input and Output'!C$23*'Input and Output'!$B$10)+('Input and Output'!C$24*Calculations!$C$5)+('Input and Output'!C$25*Calculations!$C$6)+('Input and Output'!C$26*(IF('Input and Output'!E$7="Detritus",Calculations!$C$4,H895))-(SUM('Input and Output'!C$27:C$32))*I894))</f>
        <v>2.5062751501536695E-4</v>
      </c>
      <c r="E895" s="49">
        <f>(('Input and Output'!D$23*'Input and Output'!$B$10)+('Input and Output'!D$24*Calculations!$C$5)+('Input and Output'!D$25*Calculations!$C$6)+('Input and Output'!D$26*(IF('Input and Output'!F$7="Detritus",Calculations!$C$4,I895))-(SUM('Input and Output'!D$27:D$32))*J894))</f>
        <v>1.0902963185799308E-4</v>
      </c>
      <c r="F895" s="49" t="e">
        <f>(('Input and Output'!E$23*'Input and Output'!$B$10)+('Input and Output'!E$24*Calculations!$C$5)+('Input and Output'!E$25*Calculations!$C$6)+('Input and Output'!E$26*(IF('Input and Output'!G$7="Detritus",Calculations!$C$4,J895))-(SUM('Input and Output'!E$27:E$32))*K894))</f>
        <v>#N/A</v>
      </c>
      <c r="H895" s="49">
        <f>IF(H$2="",NA(),C895*$B895+H894)</f>
        <v>324480.74697069381</v>
      </c>
      <c r="I895" s="49">
        <f>IF(I$2="",NA(),D895*$B895+I894)</f>
        <v>2973162.1699811579</v>
      </c>
      <c r="J895" s="49">
        <f>IF(J$2="",NA(),E895*$B895+J894)</f>
        <v>1381886.8963205523</v>
      </c>
      <c r="K895" s="49" t="e">
        <f>IF(K$2="",NA(),F895*$B895+K894)</f>
        <v>#N/A</v>
      </c>
    </row>
    <row r="896" spans="1:11" x14ac:dyDescent="0.4">
      <c r="A896" s="49">
        <v>893</v>
      </c>
      <c r="B896" s="49">
        <f>A896/$B$1</f>
        <v>37.208333333333336</v>
      </c>
      <c r="C896" s="49">
        <f>(('Input and Output'!B$23*'Input and Output'!$B$10)+('Input and Output'!B$24*Calculations!$C$5)+('Input and Output'!B$25*Calculations!$C$6)+('Input and Output'!B$26*(IF('Input and Output'!D$7="Detritus",Calculations!$C$4,G896))-(SUM('Input and Output'!B$27:B$32))*H895))</f>
        <v>2.8993917851494189E-5</v>
      </c>
      <c r="D896" s="49">
        <f>(('Input and Output'!C$23*'Input and Output'!$B$10)+('Input and Output'!C$24*Calculations!$C$5)+('Input and Output'!C$25*Calculations!$C$6)+('Input and Output'!C$26*(IF('Input and Output'!E$7="Detritus",Calculations!$C$4,H896))-(SUM('Input and Output'!C$27:C$32))*I895))</f>
        <v>2.4163629223039607E-4</v>
      </c>
      <c r="E896" s="49">
        <f>(('Input and Output'!D$23*'Input and Output'!$B$10)+('Input and Output'!D$24*Calculations!$C$5)+('Input and Output'!D$25*Calculations!$C$6)+('Input and Output'!D$26*(IF('Input and Output'!F$7="Detritus",Calculations!$C$4,I896))-(SUM('Input and Output'!D$27:D$32))*J895))</f>
        <v>1.0511372602195479E-4</v>
      </c>
      <c r="F896" s="49" t="e">
        <f>(('Input and Output'!E$23*'Input and Output'!$B$10)+('Input and Output'!E$24*Calculations!$C$5)+('Input and Output'!E$25*Calculations!$C$6)+('Input and Output'!E$26*(IF('Input and Output'!G$7="Detritus",Calculations!$C$4,J896))-(SUM('Input and Output'!E$27:E$32))*K895))</f>
        <v>#N/A</v>
      </c>
      <c r="H896" s="49">
        <f>IF(H$2="",NA(),C896*$B896+H895)</f>
        <v>324480.74804950919</v>
      </c>
      <c r="I896" s="49">
        <f>IF(I$2="",NA(),D896*$B896+I895)</f>
        <v>2973162.1789720417</v>
      </c>
      <c r="J896" s="49">
        <f>IF(J$2="",NA(),E896*$B896+J895)</f>
        <v>1381886.9002316589</v>
      </c>
      <c r="K896" s="49" t="e">
        <f>IF(K$2="",NA(),F896*$B896+K895)</f>
        <v>#N/A</v>
      </c>
    </row>
    <row r="897" spans="1:11" x14ac:dyDescent="0.4">
      <c r="A897" s="49">
        <v>894</v>
      </c>
      <c r="B897" s="49">
        <f>A897/$B$1</f>
        <v>37.25</v>
      </c>
      <c r="C897" s="49">
        <f>(('Input and Output'!B$23*'Input and Output'!$B$10)+('Input and Output'!B$24*Calculations!$C$5)+('Input and Output'!B$25*Calculations!$C$6)+('Input and Output'!B$26*(IF('Input and Output'!D$7="Detritus",Calculations!$C$4,G897))-(SUM('Input and Output'!B$27:B$32))*H896))</f>
        <v>2.7953816697845468E-5</v>
      </c>
      <c r="D897" s="49">
        <f>(('Input and Output'!C$23*'Input and Output'!$B$10)+('Input and Output'!C$24*Calculations!$C$5)+('Input and Output'!C$25*Calculations!$C$6)+('Input and Output'!C$26*(IF('Input and Output'!E$7="Detritus",Calculations!$C$4,H897))-(SUM('Input and Output'!C$27:C$32))*I896))</f>
        <v>2.3295792198041454E-4</v>
      </c>
      <c r="E897" s="49">
        <f>(('Input and Output'!D$23*'Input and Output'!$B$10)+('Input and Output'!D$24*Calculations!$C$5)+('Input and Output'!D$25*Calculations!$C$6)+('Input and Output'!D$26*(IF('Input and Output'!F$7="Detritus",Calculations!$C$4,I897))-(SUM('Input and Output'!D$27:D$32))*J896))</f>
        <v>1.013341716316063E-4</v>
      </c>
      <c r="F897" s="49" t="e">
        <f>(('Input and Output'!E$23*'Input and Output'!$B$10)+('Input and Output'!E$24*Calculations!$C$5)+('Input and Output'!E$25*Calculations!$C$6)+('Input and Output'!E$26*(IF('Input and Output'!G$7="Detritus",Calculations!$C$4,J897))-(SUM('Input and Output'!E$27:E$32))*K896))</f>
        <v>#N/A</v>
      </c>
      <c r="H897" s="49">
        <f>IF(H$2="",NA(),C897*$B897+H896)</f>
        <v>324480.74909078889</v>
      </c>
      <c r="I897" s="49">
        <f>IF(I$2="",NA(),D897*$B897+I896)</f>
        <v>2973162.1876497241</v>
      </c>
      <c r="J897" s="49">
        <f>IF(J$2="",NA(),E897*$B897+J896)</f>
        <v>1381886.9040063568</v>
      </c>
      <c r="K897" s="49" t="e">
        <f>IF(K$2="",NA(),F897*$B897+K896)</f>
        <v>#N/A</v>
      </c>
    </row>
    <row r="898" spans="1:11" x14ac:dyDescent="0.4">
      <c r="A898" s="49">
        <v>895</v>
      </c>
      <c r="B898" s="49">
        <f>A898/$B$1</f>
        <v>37.291666666666664</v>
      </c>
      <c r="C898" s="49">
        <f>(('Input and Output'!B$23*'Input and Output'!$B$10)+('Input and Output'!B$24*Calculations!$C$5)+('Input and Output'!B$25*Calculations!$C$6)+('Input and Output'!B$26*(IF('Input and Output'!D$7="Detritus",Calculations!$C$4,G898))-(SUM('Input and Output'!B$27:B$32))*H897))</f>
        <v>2.6949904281536874E-5</v>
      </c>
      <c r="D898" s="49">
        <f>(('Input and Output'!C$23*'Input and Output'!$B$10)+('Input and Output'!C$24*Calculations!$C$5)+('Input and Output'!C$25*Calculations!$C$6)+('Input and Output'!C$26*(IF('Input and Output'!E$7="Detritus",Calculations!$C$4,H898))-(SUM('Input and Output'!C$27:C$32))*I897))</f>
        <v>2.2458187868323876E-4</v>
      </c>
      <c r="E898" s="49">
        <f>(('Input and Output'!D$23*'Input and Output'!$B$10)+('Input and Output'!D$24*Calculations!$C$5)+('Input and Output'!D$25*Calculations!$C$6)+('Input and Output'!D$26*(IF('Input and Output'!F$7="Detritus",Calculations!$C$4,I898))-(SUM('Input and Output'!D$27:D$32))*J897))</f>
        <v>9.7686544904718176E-5</v>
      </c>
      <c r="F898" s="49" t="e">
        <f>(('Input and Output'!E$23*'Input and Output'!$B$10)+('Input and Output'!E$24*Calculations!$C$5)+('Input and Output'!E$25*Calculations!$C$6)+('Input and Output'!E$26*(IF('Input and Output'!G$7="Detritus",Calculations!$C$4,J898))-(SUM('Input and Output'!E$27:E$32))*K897))</f>
        <v>#N/A</v>
      </c>
      <c r="H898" s="49">
        <f>IF(H$2="",NA(),C898*$B898+H897)</f>
        <v>324480.75009579572</v>
      </c>
      <c r="I898" s="49">
        <f>IF(I$2="",NA(),D898*$B898+I897)</f>
        <v>2973162.1960247564</v>
      </c>
      <c r="J898" s="49">
        <f>IF(J$2="",NA(),E898*$B898+J897)</f>
        <v>1381886.9076492509</v>
      </c>
      <c r="K898" s="49" t="e">
        <f>IF(K$2="",NA(),F898*$B898+K897)</f>
        <v>#N/A</v>
      </c>
    </row>
    <row r="899" spans="1:11" x14ac:dyDescent="0.4">
      <c r="A899" s="49">
        <v>896</v>
      </c>
      <c r="B899" s="49">
        <f>A899/$B$1</f>
        <v>37.333333333333336</v>
      </c>
      <c r="C899" s="49">
        <f>(('Input and Output'!B$23*'Input and Output'!$B$10)+('Input and Output'!B$24*Calculations!$C$5)+('Input and Output'!B$25*Calculations!$C$6)+('Input and Output'!B$26*(IF('Input and Output'!D$7="Detritus",Calculations!$C$4,G899))-(SUM('Input and Output'!B$27:B$32))*H898))</f>
        <v>2.5980963016536407E-5</v>
      </c>
      <c r="D899" s="49">
        <f>(('Input and Output'!C$23*'Input and Output'!$B$10)+('Input and Output'!C$24*Calculations!$C$5)+('Input and Output'!C$25*Calculations!$C$6)+('Input and Output'!C$26*(IF('Input and Output'!E$7="Detritus",Calculations!$C$4,H899))-(SUM('Input and Output'!C$27:C$32))*I898))</f>
        <v>2.1649797690770356E-4</v>
      </c>
      <c r="E899" s="49">
        <f>(('Input and Output'!D$23*'Input and Output'!$B$10)+('Input and Output'!D$24*Calculations!$C$5)+('Input and Output'!D$25*Calculations!$C$6)+('Input and Output'!D$26*(IF('Input and Output'!F$7="Detritus",Calculations!$C$4,I899))-(SUM('Input and Output'!D$27:D$32))*J898))</f>
        <v>9.4166160124586895E-5</v>
      </c>
      <c r="F899" s="49" t="e">
        <f>(('Input and Output'!E$23*'Input and Output'!$B$10)+('Input and Output'!E$24*Calculations!$C$5)+('Input and Output'!E$25*Calculations!$C$6)+('Input and Output'!E$26*(IF('Input and Output'!G$7="Detritus",Calculations!$C$4,J899))-(SUM('Input and Output'!E$27:E$32))*K898))</f>
        <v>#N/A</v>
      </c>
      <c r="H899" s="49">
        <f>IF(H$2="",NA(),C899*$B899+H898)</f>
        <v>324480.75106575165</v>
      </c>
      <c r="I899" s="49">
        <f>IF(I$2="",NA(),D899*$B899+I898)</f>
        <v>2973162.2041073474</v>
      </c>
      <c r="J899" s="49">
        <f>IF(J$2="",NA(),E899*$B899+J898)</f>
        <v>1381886.9111647876</v>
      </c>
      <c r="K899" s="49" t="e">
        <f>IF(K$2="",NA(),F899*$B899+K898)</f>
        <v>#N/A</v>
      </c>
    </row>
    <row r="900" spans="1:11" x14ac:dyDescent="0.4">
      <c r="A900" s="49">
        <v>897</v>
      </c>
      <c r="B900" s="49">
        <f>A900/$B$1</f>
        <v>37.375</v>
      </c>
      <c r="C900" s="49">
        <f>(('Input and Output'!B$23*'Input and Output'!$B$10)+('Input and Output'!B$24*Calculations!$C$5)+('Input and Output'!B$25*Calculations!$C$6)+('Input and Output'!B$26*(IF('Input and Output'!D$7="Detritus",Calculations!$C$4,G900))-(SUM('Input and Output'!B$27:B$32))*H899))</f>
        <v>2.5045814822988177E-5</v>
      </c>
      <c r="D900" s="49">
        <f>(('Input and Output'!C$23*'Input and Output'!$B$10)+('Input and Output'!C$24*Calculations!$C$5)+('Input and Output'!C$25*Calculations!$C$6)+('Input and Output'!C$26*(IF('Input and Output'!E$7="Detritus",Calculations!$C$4,H900))-(SUM('Input and Output'!C$27:C$32))*I899))</f>
        <v>2.0869636227871524E-4</v>
      </c>
      <c r="E900" s="49">
        <f>(('Input and Output'!D$23*'Input and Output'!$B$10)+('Input and Output'!D$24*Calculations!$C$5)+('Input and Output'!D$25*Calculations!$C$6)+('Input and Output'!D$26*(IF('Input and Output'!F$7="Detritus",Calculations!$C$4,I900))-(SUM('Input and Output'!D$27:D$32))*J899))</f>
        <v>9.0769015514524654E-5</v>
      </c>
      <c r="F900" s="49" t="e">
        <f>(('Input and Output'!E$23*'Input and Output'!$B$10)+('Input and Output'!E$24*Calculations!$C$5)+('Input and Output'!E$25*Calculations!$C$6)+('Input and Output'!E$26*(IF('Input and Output'!G$7="Detritus",Calculations!$C$4,J900))-(SUM('Input and Output'!E$27:E$32))*K899))</f>
        <v>#N/A</v>
      </c>
      <c r="H900" s="49">
        <f>IF(H$2="",NA(),C900*$B900+H899)</f>
        <v>324480.75200183899</v>
      </c>
      <c r="I900" s="49">
        <f>IF(I$2="",NA(),D900*$B900+I899)</f>
        <v>2973162.2119073737</v>
      </c>
      <c r="J900" s="49">
        <f>IF(J$2="",NA(),E900*$B900+J899)</f>
        <v>1381886.9145572796</v>
      </c>
      <c r="K900" s="49" t="e">
        <f>IF(K$2="",NA(),F900*$B900+K899)</f>
        <v>#N/A</v>
      </c>
    </row>
    <row r="901" spans="1:11" x14ac:dyDescent="0.4">
      <c r="A901" s="49">
        <v>898</v>
      </c>
      <c r="B901" s="49">
        <f>A901/$B$1</f>
        <v>37.416666666666664</v>
      </c>
      <c r="C901" s="49">
        <f>(('Input and Output'!B$23*'Input and Output'!$B$10)+('Input and Output'!B$24*Calculations!$C$5)+('Input and Output'!B$25*Calculations!$C$6)+('Input and Output'!B$26*(IF('Input and Output'!D$7="Detritus",Calculations!$C$4,G901))-(SUM('Input and Output'!B$27:B$32))*H900))</f>
        <v>2.4143319819813769E-5</v>
      </c>
      <c r="D901" s="49">
        <f>(('Input and Output'!C$23*'Input and Output'!$B$10)+('Input and Output'!C$24*Calculations!$C$5)+('Input and Output'!C$25*Calculations!$C$6)+('Input and Output'!C$26*(IF('Input and Output'!E$7="Detritus",Calculations!$C$4,H901))-(SUM('Input and Output'!C$27:C$32))*I900))</f>
        <v>2.0116749965382041E-4</v>
      </c>
      <c r="E901" s="49">
        <f>(('Input and Output'!D$23*'Input and Output'!$B$10)+('Input and Output'!D$24*Calculations!$C$5)+('Input and Output'!D$25*Calculations!$C$6)+('Input and Output'!D$26*(IF('Input and Output'!F$7="Detritus",Calculations!$C$4,I901))-(SUM('Input and Output'!D$27:D$32))*J900))</f>
        <v>8.7490629084641114E-5</v>
      </c>
      <c r="F901" s="49" t="e">
        <f>(('Input and Output'!E$23*'Input and Output'!$B$10)+('Input and Output'!E$24*Calculations!$C$5)+('Input and Output'!E$25*Calculations!$C$6)+('Input and Output'!E$26*(IF('Input and Output'!G$7="Detritus",Calculations!$C$4,J901))-(SUM('Input and Output'!E$27:E$32))*K900))</f>
        <v>#N/A</v>
      </c>
      <c r="H901" s="49">
        <f>IF(H$2="",NA(),C901*$B901+H900)</f>
        <v>324480.75290520152</v>
      </c>
      <c r="I901" s="49">
        <f>IF(I$2="",NA(),D901*$B901+I900)</f>
        <v>2973162.2194343912</v>
      </c>
      <c r="J901" s="49">
        <f>IF(J$2="",NA(),E901*$B901+J900)</f>
        <v>1381886.9178308873</v>
      </c>
      <c r="K901" s="49" t="e">
        <f>IF(K$2="",NA(),F901*$B901+K900)</f>
        <v>#N/A</v>
      </c>
    </row>
    <row r="902" spans="1:11" x14ac:dyDescent="0.4">
      <c r="A902" s="49">
        <v>899</v>
      </c>
      <c r="B902" s="49">
        <f>A902/$B$1</f>
        <v>37.458333333333336</v>
      </c>
      <c r="C902" s="49">
        <f>(('Input and Output'!B$23*'Input and Output'!$B$10)+('Input and Output'!B$24*Calculations!$C$5)+('Input and Output'!B$25*Calculations!$C$6)+('Input and Output'!B$26*(IF('Input and Output'!D$7="Detritus",Calculations!$C$4,G902))-(SUM('Input and Output'!B$27:B$32))*H901))</f>
        <v>2.3272375244687282E-5</v>
      </c>
      <c r="D902" s="49">
        <f>(('Input and Output'!C$23*'Input and Output'!$B$10)+('Input and Output'!C$24*Calculations!$C$5)+('Input and Output'!C$25*Calculations!$C$6)+('Input and Output'!C$26*(IF('Input and Output'!E$7="Detritus",Calculations!$C$4,H902))-(SUM('Input and Output'!C$27:C$32))*I901))</f>
        <v>1.9390216402825899E-4</v>
      </c>
      <c r="E902" s="49">
        <f>(('Input and Output'!D$23*'Input and Output'!$B$10)+('Input and Output'!D$24*Calculations!$C$5)+('Input and Output'!D$25*Calculations!$C$6)+('Input and Output'!D$26*(IF('Input and Output'!F$7="Detritus",Calculations!$C$4,I902))-(SUM('Input and Output'!D$27:D$32))*J901))</f>
        <v>8.4327290096553043E-5</v>
      </c>
      <c r="F902" s="49" t="e">
        <f>(('Input and Output'!E$23*'Input and Output'!$B$10)+('Input and Output'!E$24*Calculations!$C$5)+('Input and Output'!E$25*Calculations!$C$6)+('Input and Output'!E$26*(IF('Input and Output'!G$7="Detritus",Calculations!$C$4,J902))-(SUM('Input and Output'!E$27:E$32))*K901))</f>
        <v>#N/A</v>
      </c>
      <c r="H902" s="49">
        <f>IF(H$2="",NA(),C902*$B902+H901)</f>
        <v>324480.75377694593</v>
      </c>
      <c r="I902" s="49">
        <f>IF(I$2="",NA(),D902*$B902+I901)</f>
        <v>2973162.2266976433</v>
      </c>
      <c r="J902" s="49">
        <f>IF(J$2="",NA(),E902*$B902+J901)</f>
        <v>1381886.920989647</v>
      </c>
      <c r="K902" s="49" t="e">
        <f>IF(K$2="",NA(),F902*$B902+K901)</f>
        <v>#N/A</v>
      </c>
    </row>
    <row r="903" spans="1:11" x14ac:dyDescent="0.4">
      <c r="A903" s="49">
        <v>900</v>
      </c>
      <c r="B903" s="49">
        <f>A903/$B$1</f>
        <v>37.5</v>
      </c>
      <c r="C903" s="49">
        <f>(('Input and Output'!B$23*'Input and Output'!$B$10)+('Input and Output'!B$24*Calculations!$C$5)+('Input and Output'!B$25*Calculations!$C$6)+('Input and Output'!B$26*(IF('Input and Output'!D$7="Detritus",Calculations!$C$4,G903))-(SUM('Input and Output'!B$27:B$32))*H902))</f>
        <v>2.24319141466367E-5</v>
      </c>
      <c r="D903" s="49">
        <f>(('Input and Output'!C$23*'Input and Output'!$B$10)+('Input and Output'!C$24*Calculations!$C$5)+('Input and Output'!C$25*Calculations!$C$6)+('Input and Output'!C$26*(IF('Input and Output'!E$7="Detritus",Calculations!$C$4,H903))-(SUM('Input and Output'!C$27:C$32))*I902))</f>
        <v>1.8689143507799599E-4</v>
      </c>
      <c r="E903" s="49">
        <f>(('Input and Output'!D$23*'Input and Output'!$B$10)+('Input and Output'!D$24*Calculations!$C$5)+('Input and Output'!D$25*Calculations!$C$6)+('Input and Output'!D$26*(IF('Input and Output'!F$7="Detritus",Calculations!$C$4,I903))-(SUM('Input and Output'!D$27:D$32))*J902))</f>
        <v>8.1274749391013756E-5</v>
      </c>
      <c r="F903" s="49" t="e">
        <f>(('Input and Output'!E$23*'Input and Output'!$B$10)+('Input and Output'!E$24*Calculations!$C$5)+('Input and Output'!E$25*Calculations!$C$6)+('Input and Output'!E$26*(IF('Input and Output'!G$7="Detritus",Calculations!$C$4,J903))-(SUM('Input and Output'!E$27:E$32))*K902))</f>
        <v>#N/A</v>
      </c>
      <c r="H903" s="49">
        <f>IF(H$2="",NA(),C903*$B903+H902)</f>
        <v>324480.75461814273</v>
      </c>
      <c r="I903" s="49">
        <f>IF(I$2="",NA(),D903*$B903+I902)</f>
        <v>2973162.233706072</v>
      </c>
      <c r="J903" s="49">
        <f>IF(J$2="",NA(),E903*$B903+J902)</f>
        <v>1381886.9240374502</v>
      </c>
      <c r="K903" s="49" t="e">
        <f>IF(K$2="",NA(),F903*$B903+K902)</f>
        <v>#N/A</v>
      </c>
    </row>
    <row r="904" spans="1:11" x14ac:dyDescent="0.4">
      <c r="A904" s="49">
        <v>901</v>
      </c>
      <c r="B904" s="49">
        <f>A904/$B$1</f>
        <v>37.541666666666664</v>
      </c>
      <c r="C904" s="49">
        <f>(('Input and Output'!B$23*'Input and Output'!$B$10)+('Input and Output'!B$24*Calculations!$C$5)+('Input and Output'!B$25*Calculations!$C$6)+('Input and Output'!B$26*(IF('Input and Output'!D$7="Detritus",Calculations!$C$4,G904))-(SUM('Input and Output'!B$27:B$32))*H903))</f>
        <v>2.1620904476549185E-5</v>
      </c>
      <c r="D904" s="49">
        <f>(('Input and Output'!C$23*'Input and Output'!$B$10)+('Input and Output'!C$24*Calculations!$C$5)+('Input and Output'!C$25*Calculations!$C$6)+('Input and Output'!C$26*(IF('Input and Output'!E$7="Detritus",Calculations!$C$4,H904))-(SUM('Input and Output'!C$27:C$32))*I903))</f>
        <v>1.8012667806033278E-4</v>
      </c>
      <c r="E904" s="49">
        <f>(('Input and Output'!D$23*'Input and Output'!$B$10)+('Input and Output'!D$24*Calculations!$C$5)+('Input and Output'!D$25*Calculations!$C$6)+('Input and Output'!D$26*(IF('Input and Output'!F$7="Detritus",Calculations!$C$4,I904))-(SUM('Input and Output'!D$27:D$32))*J903))</f>
        <v>7.8329703683266416E-5</v>
      </c>
      <c r="F904" s="49" t="e">
        <f>(('Input and Output'!E$23*'Input and Output'!$B$10)+('Input and Output'!E$24*Calculations!$C$5)+('Input and Output'!E$25*Calculations!$C$6)+('Input and Output'!E$26*(IF('Input and Output'!G$7="Detritus",Calculations!$C$4,J904))-(SUM('Input and Output'!E$27:E$32))*K903))</f>
        <v>#N/A</v>
      </c>
      <c r="H904" s="49">
        <f>IF(H$2="",NA(),C904*$B904+H903)</f>
        <v>324480.75542982749</v>
      </c>
      <c r="I904" s="49">
        <f>IF(I$2="",NA(),D904*$B904+I903)</f>
        <v>2973162.2404683279</v>
      </c>
      <c r="J904" s="49">
        <f>IF(J$2="",NA(),E904*$B904+J903)</f>
        <v>1381886.9269780777</v>
      </c>
      <c r="K904" s="49" t="e">
        <f>IF(K$2="",NA(),F904*$B904+K903)</f>
        <v>#N/A</v>
      </c>
    </row>
    <row r="905" spans="1:11" x14ac:dyDescent="0.4">
      <c r="A905" s="49">
        <v>902</v>
      </c>
      <c r="B905" s="49">
        <f>A905/$B$1</f>
        <v>37.583333333333336</v>
      </c>
      <c r="C905" s="49">
        <f>(('Input and Output'!B$23*'Input and Output'!$B$10)+('Input and Output'!B$24*Calculations!$C$5)+('Input and Output'!B$25*Calculations!$C$6)+('Input and Output'!B$26*(IF('Input and Output'!D$7="Detritus",Calculations!$C$4,G905))-(SUM('Input and Output'!B$27:B$32))*H904))</f>
        <v>2.0838347722929029E-5</v>
      </c>
      <c r="D905" s="49">
        <f>(('Input and Output'!C$23*'Input and Output'!$B$10)+('Input and Output'!C$24*Calculations!$C$5)+('Input and Output'!C$25*Calculations!$C$6)+('Input and Output'!C$26*(IF('Input and Output'!E$7="Detritus",Calculations!$C$4,H905))-(SUM('Input and Output'!C$27:C$32))*I904))</f>
        <v>1.7359954563289648E-4</v>
      </c>
      <c r="E905" s="49">
        <f>(('Input and Output'!D$23*'Input and Output'!$B$10)+('Input and Output'!D$24*Calculations!$C$5)+('Input and Output'!D$25*Calculations!$C$6)+('Input and Output'!D$26*(IF('Input and Output'!F$7="Detritus",Calculations!$C$4,I905))-(SUM('Input and Output'!D$27:D$32))*J904))</f>
        <v>7.5487903814064339E-5</v>
      </c>
      <c r="F905" s="49" t="e">
        <f>(('Input and Output'!E$23*'Input and Output'!$B$10)+('Input and Output'!E$24*Calculations!$C$5)+('Input and Output'!E$25*Calculations!$C$6)+('Input and Output'!E$26*(IF('Input and Output'!G$7="Detritus",Calculations!$C$4,J905))-(SUM('Input and Output'!E$27:E$32))*K904))</f>
        <v>#N/A</v>
      </c>
      <c r="H905" s="49">
        <f>IF(H$2="",NA(),C905*$B905+H904)</f>
        <v>324480.75621300208</v>
      </c>
      <c r="I905" s="49">
        <f>IF(I$2="",NA(),D905*$B905+I904)</f>
        <v>2973162.2469927776</v>
      </c>
      <c r="J905" s="49">
        <f>IF(J$2="",NA(),E905*$B905+J904)</f>
        <v>1381886.9298151648</v>
      </c>
      <c r="K905" s="49" t="e">
        <f>IF(K$2="",NA(),F905*$B905+K904)</f>
        <v>#N/A</v>
      </c>
    </row>
    <row r="906" spans="1:11" x14ac:dyDescent="0.4">
      <c r="A906" s="49">
        <v>903</v>
      </c>
      <c r="B906" s="49">
        <f>A906/$B$1</f>
        <v>37.625</v>
      </c>
      <c r="C906" s="49">
        <f>(('Input and Output'!B$23*'Input and Output'!$B$10)+('Input and Output'!B$24*Calculations!$C$5)+('Input and Output'!B$25*Calculations!$C$6)+('Input and Output'!B$26*(IF('Input and Output'!D$7="Detritus",Calculations!$C$4,G906))-(SUM('Input and Output'!B$27:B$32))*H905))</f>
        <v>2.0083278059246368E-5</v>
      </c>
      <c r="D906" s="49">
        <f>(('Input and Output'!C$23*'Input and Output'!$B$10)+('Input and Output'!C$24*Calculations!$C$5)+('Input and Output'!C$25*Calculations!$C$6)+('Input and Output'!C$26*(IF('Input and Output'!E$7="Detritus",Calculations!$C$4,H906))-(SUM('Input and Output'!C$27:C$32))*I905))</f>
        <v>1.6730195875425125E-4</v>
      </c>
      <c r="E906" s="49">
        <f>(('Input and Output'!D$23*'Input and Output'!$B$10)+('Input and Output'!D$24*Calculations!$C$5)+('Input and Output'!D$25*Calculations!$C$6)+('Input and Output'!D$26*(IF('Input and Output'!F$7="Detritus",Calculations!$C$4,I906))-(SUM('Input and Output'!D$27:D$32))*J905))</f>
        <v>7.2746512159937993E-5</v>
      </c>
      <c r="F906" s="49" t="e">
        <f>(('Input and Output'!E$23*'Input and Output'!$B$10)+('Input and Output'!E$24*Calculations!$C$5)+('Input and Output'!E$25*Calculations!$C$6)+('Input and Output'!E$26*(IF('Input and Output'!G$7="Detritus",Calculations!$C$4,J906))-(SUM('Input and Output'!E$27:E$32))*K905))</f>
        <v>#N/A</v>
      </c>
      <c r="H906" s="49">
        <f>IF(H$2="",NA(),C906*$B906+H905)</f>
        <v>324480.75696863543</v>
      </c>
      <c r="I906" s="49">
        <f>IF(I$2="",NA(),D906*$B906+I905)</f>
        <v>2973162.2532875137</v>
      </c>
      <c r="J906" s="49">
        <f>IF(J$2="",NA(),E906*$B906+J905)</f>
        <v>1381886.9325522522</v>
      </c>
      <c r="K906" s="49" t="e">
        <f>IF(K$2="",NA(),F906*$B906+K905)</f>
        <v>#N/A</v>
      </c>
    </row>
    <row r="907" spans="1:11" x14ac:dyDescent="0.4">
      <c r="A907" s="49">
        <v>904</v>
      </c>
      <c r="B907" s="49">
        <f>A907/$B$1</f>
        <v>37.666666666666664</v>
      </c>
      <c r="C907" s="49">
        <f>(('Input and Output'!B$23*'Input and Output'!$B$10)+('Input and Output'!B$24*Calculations!$C$5)+('Input and Output'!B$25*Calculations!$C$6)+('Input and Output'!B$26*(IF('Input and Output'!D$7="Detritus",Calculations!$C$4,G907))-(SUM('Input and Output'!B$27:B$32))*H906))</f>
        <v>1.9354761320755642E-5</v>
      </c>
      <c r="D907" s="49">
        <f>(('Input and Output'!C$23*'Input and Output'!$B$10)+('Input and Output'!C$24*Calculations!$C$5)+('Input and Output'!C$25*Calculations!$C$6)+('Input and Output'!C$26*(IF('Input and Output'!E$7="Detritus",Calculations!$C$4,H907))-(SUM('Input and Output'!C$27:C$32))*I906))</f>
        <v>1.6122610577440355E-4</v>
      </c>
      <c r="E907" s="49">
        <f>(('Input and Output'!D$23*'Input and Output'!$B$10)+('Input and Output'!D$24*Calculations!$C$5)+('Input and Output'!D$25*Calculations!$C$6)+('Input and Output'!D$26*(IF('Input and Output'!F$7="Detritus",Calculations!$C$4,I907))-(SUM('Input and Output'!D$27:D$32))*J906))</f>
        <v>7.010141052887775E-5</v>
      </c>
      <c r="F907" s="49" t="e">
        <f>(('Input and Output'!E$23*'Input and Output'!$B$10)+('Input and Output'!E$24*Calculations!$C$5)+('Input and Output'!E$25*Calculations!$C$6)+('Input and Output'!E$26*(IF('Input and Output'!G$7="Detritus",Calculations!$C$4,J907))-(SUM('Input and Output'!E$27:E$32))*K906))</f>
        <v>#N/A</v>
      </c>
      <c r="H907" s="49">
        <f>IF(H$2="",NA(),C907*$B907+H906)</f>
        <v>324480.75769766478</v>
      </c>
      <c r="I907" s="49">
        <f>IF(I$2="",NA(),D907*$B907+I906)</f>
        <v>2973162.2593603637</v>
      </c>
      <c r="J907" s="49">
        <f>IF(J$2="",NA(),E907*$B907+J906)</f>
        <v>1381886.9351927387</v>
      </c>
      <c r="K907" s="49" t="e">
        <f>IF(K$2="",NA(),F907*$B907+K906)</f>
        <v>#N/A</v>
      </c>
    </row>
    <row r="908" spans="1:11" x14ac:dyDescent="0.4">
      <c r="A908" s="49">
        <v>905</v>
      </c>
      <c r="B908" s="49">
        <f>A908/$B$1</f>
        <v>37.708333333333336</v>
      </c>
      <c r="C908" s="49">
        <f>(('Input and Output'!B$23*'Input and Output'!$B$10)+('Input and Output'!B$24*Calculations!$C$5)+('Input and Output'!B$25*Calculations!$C$6)+('Input and Output'!B$26*(IF('Input and Output'!D$7="Detritus",Calculations!$C$4,G908))-(SUM('Input and Output'!B$27:B$32))*H907))</f>
        <v>1.8651893810783804E-5</v>
      </c>
      <c r="D908" s="49">
        <f>(('Input and Output'!C$23*'Input and Output'!$B$10)+('Input and Output'!C$24*Calculations!$C$5)+('Input and Output'!C$25*Calculations!$C$6)+('Input and Output'!C$26*(IF('Input and Output'!E$7="Detritus",Calculations!$C$4,H908))-(SUM('Input and Output'!C$27:C$32))*I907))</f>
        <v>1.5536443243036047E-4</v>
      </c>
      <c r="E908" s="49">
        <f>(('Input and Output'!D$23*'Input and Output'!$B$10)+('Input and Output'!D$24*Calculations!$C$5)+('Input and Output'!D$25*Calculations!$C$6)+('Input and Output'!D$26*(IF('Input and Output'!F$7="Detritus",Calculations!$C$4,I908))-(SUM('Input and Output'!D$27:D$32))*J907))</f>
        <v>6.7550052335718647E-5</v>
      </c>
      <c r="F908" s="49" t="e">
        <f>(('Input and Output'!E$23*'Input and Output'!$B$10)+('Input and Output'!E$24*Calculations!$C$5)+('Input and Output'!E$25*Calculations!$C$6)+('Input and Output'!E$26*(IF('Input and Output'!G$7="Detritus",Calculations!$C$4,J908))-(SUM('Input and Output'!E$27:E$32))*K907))</f>
        <v>#N/A</v>
      </c>
      <c r="H908" s="49">
        <f>IF(H$2="",NA(),C908*$B908+H907)</f>
        <v>324480.75840099662</v>
      </c>
      <c r="I908" s="49">
        <f>IF(I$2="",NA(),D908*$B908+I907)</f>
        <v>2973162.2652188977</v>
      </c>
      <c r="J908" s="49">
        <f>IF(J$2="",NA(),E908*$B908+J907)</f>
        <v>1381886.9377399385</v>
      </c>
      <c r="K908" s="49" t="e">
        <f>IF(K$2="",NA(),F908*$B908+K907)</f>
        <v>#N/A</v>
      </c>
    </row>
    <row r="909" spans="1:11" x14ac:dyDescent="0.4">
      <c r="A909" s="49">
        <v>906</v>
      </c>
      <c r="B909" s="49">
        <f>A909/$B$1</f>
        <v>37.75</v>
      </c>
      <c r="C909" s="49">
        <f>(('Input and Output'!B$23*'Input and Output'!$B$10)+('Input and Output'!B$24*Calculations!$C$5)+('Input and Output'!B$25*Calculations!$C$6)+('Input and Output'!B$26*(IF('Input and Output'!D$7="Detritus",Calculations!$C$4,G909))-(SUM('Input and Output'!B$27:B$32))*H908))</f>
        <v>1.7973801675452705E-5</v>
      </c>
      <c r="D909" s="49">
        <f>(('Input and Output'!C$23*'Input and Output'!$B$10)+('Input and Output'!C$24*Calculations!$C$5)+('Input and Output'!C$25*Calculations!$C$6)+('Input and Output'!C$26*(IF('Input and Output'!E$7="Detritus",Calculations!$C$4,H909))-(SUM('Input and Output'!C$27:C$32))*I908))</f>
        <v>1.4970962911320385E-4</v>
      </c>
      <c r="E909" s="49">
        <f>(('Input and Output'!D$23*'Input and Output'!$B$10)+('Input and Output'!D$24*Calculations!$C$5)+('Input and Output'!D$25*Calculations!$C$6)+('Input and Output'!D$26*(IF('Input and Output'!F$7="Detritus",Calculations!$C$4,I909))-(SUM('Input and Output'!D$27:D$32))*J908))</f>
        <v>6.5088392148027197E-5</v>
      </c>
      <c r="F909" s="49" t="e">
        <f>(('Input and Output'!E$23*'Input and Output'!$B$10)+('Input and Output'!E$24*Calculations!$C$5)+('Input and Output'!E$25*Calculations!$C$6)+('Input and Output'!E$26*(IF('Input and Output'!G$7="Detritus",Calculations!$C$4,J909))-(SUM('Input and Output'!E$27:E$32))*K908))</f>
        <v>#N/A</v>
      </c>
      <c r="H909" s="49">
        <f>IF(H$2="",NA(),C909*$B909+H908)</f>
        <v>324480.75907950761</v>
      </c>
      <c r="I909" s="49">
        <f>IF(I$2="",NA(),D909*$B909+I908)</f>
        <v>2973162.2708704364</v>
      </c>
      <c r="J909" s="49">
        <f>IF(J$2="",NA(),E909*$B909+J908)</f>
        <v>1381886.9401970252</v>
      </c>
      <c r="K909" s="49" t="e">
        <f>IF(K$2="",NA(),F909*$B909+K908)</f>
        <v>#N/A</v>
      </c>
    </row>
    <row r="910" spans="1:11" x14ac:dyDescent="0.4">
      <c r="A910" s="49">
        <v>907</v>
      </c>
      <c r="B910" s="49">
        <f>A910/$B$1</f>
        <v>37.791666666666664</v>
      </c>
      <c r="C910" s="49">
        <f>(('Input and Output'!B$23*'Input and Output'!$B$10)+('Input and Output'!B$24*Calculations!$C$5)+('Input and Output'!B$25*Calculations!$C$6)+('Input and Output'!B$26*(IF('Input and Output'!D$7="Detritus",Calculations!$C$4,G910))-(SUM('Input and Output'!B$27:B$32))*H909))</f>
        <v>1.7319639653123886E-5</v>
      </c>
      <c r="D910" s="49">
        <f>(('Input and Output'!C$23*'Input and Output'!$B$10)+('Input and Output'!C$24*Calculations!$C$5)+('Input and Output'!C$25*Calculations!$C$6)+('Input and Output'!C$26*(IF('Input and Output'!E$7="Detritus",Calculations!$C$4,H910))-(SUM('Input and Output'!C$27:C$32))*I909))</f>
        <v>1.4425463177758502E-4</v>
      </c>
      <c r="E910" s="49">
        <f>(('Input and Output'!D$23*'Input and Output'!$B$10)+('Input and Output'!D$24*Calculations!$C$5)+('Input and Output'!D$25*Calculations!$C$6)+('Input and Output'!D$26*(IF('Input and Output'!F$7="Detritus",Calculations!$C$4,I910))-(SUM('Input and Output'!D$27:D$32))*J909))</f>
        <v>6.2714334490010515E-5</v>
      </c>
      <c r="F910" s="49" t="e">
        <f>(('Input and Output'!E$23*'Input and Output'!$B$10)+('Input and Output'!E$24*Calculations!$C$5)+('Input and Output'!E$25*Calculations!$C$6)+('Input and Output'!E$26*(IF('Input and Output'!G$7="Detritus",Calculations!$C$4,J910))-(SUM('Input and Output'!E$27:E$32))*K909))</f>
        <v>#N/A</v>
      </c>
      <c r="H910" s="49">
        <f>IF(H$2="",NA(),C910*$B910+H909)</f>
        <v>324480.75973404566</v>
      </c>
      <c r="I910" s="49">
        <f>IF(I$2="",NA(),D910*$B910+I909)</f>
        <v>2973162.2763220593</v>
      </c>
      <c r="J910" s="49">
        <f>IF(J$2="",NA(),E910*$B910+J909)</f>
        <v>1381886.9425671045</v>
      </c>
      <c r="K910" s="49" t="e">
        <f>IF(K$2="",NA(),F910*$B910+K909)</f>
        <v>#N/A</v>
      </c>
    </row>
    <row r="911" spans="1:11" x14ac:dyDescent="0.4">
      <c r="A911" s="49">
        <v>908</v>
      </c>
      <c r="B911" s="49">
        <f>A911/$B$1</f>
        <v>37.833333333333336</v>
      </c>
      <c r="C911" s="49">
        <f>(('Input and Output'!B$23*'Input and Output'!$B$10)+('Input and Output'!B$24*Calculations!$C$5)+('Input and Output'!B$25*Calculations!$C$6)+('Input and Output'!B$26*(IF('Input and Output'!D$7="Detritus",Calculations!$C$4,G911))-(SUM('Input and Output'!B$27:B$32))*H910))</f>
        <v>1.6688590335434128E-5</v>
      </c>
      <c r="D911" s="49">
        <f>(('Input and Output'!C$23*'Input and Output'!$B$10)+('Input and Output'!C$24*Calculations!$C$5)+('Input and Output'!C$25*Calculations!$C$6)+('Input and Output'!C$26*(IF('Input and Output'!E$7="Detritus",Calculations!$C$4,H911))-(SUM('Input and Output'!C$27:C$32))*I910))</f>
        <v>1.3899260466132546E-4</v>
      </c>
      <c r="E911" s="49">
        <f>(('Input and Output'!D$23*'Input and Output'!$B$10)+('Input and Output'!D$24*Calculations!$C$5)+('Input and Output'!D$25*Calculations!$C$6)+('Input and Output'!D$26*(IF('Input and Output'!F$7="Detritus",Calculations!$C$4,I911))-(SUM('Input and Output'!D$27:D$32))*J910))</f>
        <v>6.0423775721574202E-5</v>
      </c>
      <c r="F911" s="49" t="e">
        <f>(('Input and Output'!E$23*'Input and Output'!$B$10)+('Input and Output'!E$24*Calculations!$C$5)+('Input and Output'!E$25*Calculations!$C$6)+('Input and Output'!E$26*(IF('Input and Output'!G$7="Detritus",Calculations!$C$4,J911))-(SUM('Input and Output'!E$27:E$32))*K910))</f>
        <v>#N/A</v>
      </c>
      <c r="H911" s="49">
        <f>IF(H$2="",NA(),C911*$B911+H910)</f>
        <v>324480.76036543067</v>
      </c>
      <c r="I911" s="49">
        <f>IF(I$2="",NA(),D911*$B911+I910)</f>
        <v>2973162.281580613</v>
      </c>
      <c r="J911" s="49">
        <f>IF(J$2="",NA(),E911*$B911+J910)</f>
        <v>1381886.9448531372</v>
      </c>
      <c r="K911" s="49" t="e">
        <f>IF(K$2="",NA(),F911*$B911+K910)</f>
        <v>#N/A</v>
      </c>
    </row>
    <row r="912" spans="1:11" x14ac:dyDescent="0.4">
      <c r="A912" s="49">
        <v>909</v>
      </c>
      <c r="B912" s="49">
        <f>A912/$B$1</f>
        <v>37.875</v>
      </c>
      <c r="C912" s="49">
        <f>(('Input and Output'!B$23*'Input and Output'!$B$10)+('Input and Output'!B$24*Calculations!$C$5)+('Input and Output'!B$25*Calculations!$C$6)+('Input and Output'!B$26*(IF('Input and Output'!D$7="Detritus",Calculations!$C$4,G912))-(SUM('Input and Output'!B$27:B$32))*H911))</f>
        <v>1.6079863144113915E-5</v>
      </c>
      <c r="D912" s="49">
        <f>(('Input and Output'!C$23*'Input and Output'!$B$10)+('Input and Output'!C$24*Calculations!$C$5)+('Input and Output'!C$25*Calculations!$C$6)+('Input and Output'!C$26*(IF('Input and Output'!E$7="Detritus",Calculations!$C$4,H912))-(SUM('Input and Output'!C$27:C$32))*I911))</f>
        <v>1.3391694028541679E-4</v>
      </c>
      <c r="E912" s="49">
        <f>(('Input and Output'!D$23*'Input and Output'!$B$10)+('Input and Output'!D$24*Calculations!$C$5)+('Input and Output'!D$25*Calculations!$C$6)+('Input and Output'!D$26*(IF('Input and Output'!F$7="Detritus",Calculations!$C$4,I912))-(SUM('Input and Output'!D$27:D$32))*J911))</f>
        <v>5.821510058012791E-5</v>
      </c>
      <c r="F912" s="49" t="e">
        <f>(('Input and Output'!E$23*'Input and Output'!$B$10)+('Input and Output'!E$24*Calculations!$C$5)+('Input and Output'!E$25*Calculations!$C$6)+('Input and Output'!E$26*(IF('Input and Output'!G$7="Detritus",Calculations!$C$4,J912))-(SUM('Input and Output'!E$27:E$32))*K911))</f>
        <v>#N/A</v>
      </c>
      <c r="H912" s="49">
        <f>IF(H$2="",NA(),C912*$B912+H911)</f>
        <v>324480.76097445551</v>
      </c>
      <c r="I912" s="49">
        <f>IF(I$2="",NA(),D912*$B912+I911)</f>
        <v>2973162.2866527173</v>
      </c>
      <c r="J912" s="49">
        <f>IF(J$2="",NA(),E912*$B912+J911)</f>
        <v>1381886.9470580341</v>
      </c>
      <c r="K912" s="49" t="e">
        <f>IF(K$2="",NA(),F912*$B912+K911)</f>
        <v>#N/A</v>
      </c>
    </row>
    <row r="913" spans="1:11" x14ac:dyDescent="0.4">
      <c r="A913" s="49">
        <v>910</v>
      </c>
      <c r="B913" s="49">
        <f>A913/$B$1</f>
        <v>37.916666666666664</v>
      </c>
      <c r="C913" s="49">
        <f>(('Input and Output'!B$23*'Input and Output'!$B$10)+('Input and Output'!B$24*Calculations!$C$5)+('Input and Output'!B$25*Calculations!$C$6)+('Input and Output'!B$26*(IF('Input and Output'!D$7="Detritus",Calculations!$C$4,G913))-(SUM('Input and Output'!B$27:B$32))*H912))</f>
        <v>1.5492693705709826E-5</v>
      </c>
      <c r="D913" s="49">
        <f>(('Input and Output'!C$23*'Input and Output'!$B$10)+('Input and Output'!C$24*Calculations!$C$5)+('Input and Output'!C$25*Calculations!$C$6)+('Input and Output'!C$26*(IF('Input and Output'!E$7="Detritus",Calculations!$C$4,H913))-(SUM('Input and Output'!C$27:C$32))*I912))</f>
        <v>1.2902124490210554E-4</v>
      </c>
      <c r="E913" s="49">
        <f>(('Input and Output'!D$23*'Input and Output'!$B$10)+('Input and Output'!D$24*Calculations!$C$5)+('Input and Output'!D$25*Calculations!$C$6)+('Input and Output'!D$26*(IF('Input and Output'!F$7="Detritus",Calculations!$C$4,I913))-(SUM('Input and Output'!D$27:D$32))*J912))</f>
        <v>5.6084089010255411E-5</v>
      </c>
      <c r="F913" s="49" t="e">
        <f>(('Input and Output'!E$23*'Input and Output'!$B$10)+('Input and Output'!E$24*Calculations!$C$5)+('Input and Output'!E$25*Calculations!$C$6)+('Input and Output'!E$26*(IF('Input and Output'!G$7="Detritus",Calculations!$C$4,J913))-(SUM('Input and Output'!E$27:E$32))*K912))</f>
        <v>#N/A</v>
      </c>
      <c r="H913" s="49">
        <f>IF(H$2="",NA(),C913*$B913+H912)</f>
        <v>324480.76156188681</v>
      </c>
      <c r="I913" s="49">
        <f>IF(I$2="",NA(),D913*$B913+I912)</f>
        <v>2973162.2915447727</v>
      </c>
      <c r="J913" s="49">
        <f>IF(J$2="",NA(),E913*$B913+J912)</f>
        <v>1381886.9491845558</v>
      </c>
      <c r="K913" s="49" t="e">
        <f>IF(K$2="",NA(),F913*$B913+K912)</f>
        <v>#N/A</v>
      </c>
    </row>
    <row r="914" spans="1:11" x14ac:dyDescent="0.4">
      <c r="A914" s="49">
        <v>911</v>
      </c>
      <c r="B914" s="49">
        <f>A914/$B$1</f>
        <v>37.958333333333336</v>
      </c>
      <c r="C914" s="49">
        <f>(('Input and Output'!B$23*'Input and Output'!$B$10)+('Input and Output'!B$24*Calculations!$C$5)+('Input and Output'!B$25*Calculations!$C$6)+('Input and Output'!B$26*(IF('Input and Output'!D$7="Detritus",Calculations!$C$4,G914))-(SUM('Input and Output'!B$27:B$32))*H913))</f>
        <v>1.4926342885246413E-5</v>
      </c>
      <c r="D914" s="49">
        <f>(('Input and Output'!C$23*'Input and Output'!$B$10)+('Input and Output'!C$24*Calculations!$C$5)+('Input and Output'!C$25*Calculations!$C$6)+('Input and Output'!C$26*(IF('Input and Output'!E$7="Detritus",Calculations!$C$4,H914))-(SUM('Input and Output'!C$27:C$32))*I913))</f>
        <v>1.2429934486135608E-4</v>
      </c>
      <c r="E914" s="49">
        <f>(('Input and Output'!D$23*'Input and Output'!$B$10)+('Input and Output'!D$24*Calculations!$C$5)+('Input and Output'!D$25*Calculations!$C$6)+('Input and Output'!D$26*(IF('Input and Output'!F$7="Detritus",Calculations!$C$4,I914))-(SUM('Input and Output'!D$27:D$32))*J913))</f>
        <v>5.4029635066399351E-5</v>
      </c>
      <c r="F914" s="49" t="e">
        <f>(('Input and Output'!E$23*'Input and Output'!$B$10)+('Input and Output'!E$24*Calculations!$C$5)+('Input and Output'!E$25*Calculations!$C$6)+('Input and Output'!E$26*(IF('Input and Output'!G$7="Detritus",Calculations!$C$4,J914))-(SUM('Input and Output'!E$27:E$32))*K913))</f>
        <v>#N/A</v>
      </c>
      <c r="H914" s="49">
        <f>IF(H$2="",NA(),C914*$B914+H913)</f>
        <v>324480.76212846593</v>
      </c>
      <c r="I914" s="49">
        <f>IF(I$2="",NA(),D914*$B914+I913)</f>
        <v>2973162.2962629688</v>
      </c>
      <c r="J914" s="49">
        <f>IF(J$2="",NA(),E914*$B914+J913)</f>
        <v>1381886.9512354308</v>
      </c>
      <c r="K914" s="49" t="e">
        <f>IF(K$2="",NA(),F914*$B914+K913)</f>
        <v>#N/A</v>
      </c>
    </row>
    <row r="915" spans="1:11" x14ac:dyDescent="0.4">
      <c r="A915" s="49">
        <v>912</v>
      </c>
      <c r="B915" s="49">
        <f>A915/$B$1</f>
        <v>38</v>
      </c>
      <c r="C915" s="49">
        <f>(('Input and Output'!B$23*'Input and Output'!$B$10)+('Input and Output'!B$24*Calculations!$C$5)+('Input and Output'!B$25*Calculations!$C$6)+('Input and Output'!B$26*(IF('Input and Output'!D$7="Detritus",Calculations!$C$4,G915))-(SUM('Input and Output'!B$27:B$32))*H914))</f>
        <v>1.438009599041834E-5</v>
      </c>
      <c r="D915" s="49">
        <f>(('Input and Output'!C$23*'Input and Output'!$B$10)+('Input and Output'!C$24*Calculations!$C$5)+('Input and Output'!C$25*Calculations!$C$6)+('Input and Output'!C$26*(IF('Input and Output'!E$7="Detritus",Calculations!$C$4,H915))-(SUM('Input and Output'!C$27:C$32))*I914))</f>
        <v>1.1974526205449365E-4</v>
      </c>
      <c r="E915" s="49">
        <f>(('Input and Output'!D$23*'Input and Output'!$B$10)+('Input and Output'!D$24*Calculations!$C$5)+('Input and Output'!D$25*Calculations!$C$6)+('Input and Output'!D$26*(IF('Input and Output'!F$7="Detritus",Calculations!$C$4,I915))-(SUM('Input and Output'!D$27:D$32))*J914))</f>
        <v>5.2047416829736903E-5</v>
      </c>
      <c r="F915" s="49" t="e">
        <f>(('Input and Output'!E$23*'Input and Output'!$B$10)+('Input and Output'!E$24*Calculations!$C$5)+('Input and Output'!E$25*Calculations!$C$6)+('Input and Output'!E$26*(IF('Input and Output'!G$7="Detritus",Calculations!$C$4,J915))-(SUM('Input and Output'!E$27:E$32))*K914))</f>
        <v>#N/A</v>
      </c>
      <c r="H915" s="49">
        <f>IF(H$2="",NA(),C915*$B915+H914)</f>
        <v>324480.76267490955</v>
      </c>
      <c r="I915" s="49">
        <f>IF(I$2="",NA(),D915*$B915+I914)</f>
        <v>2973162.3008132889</v>
      </c>
      <c r="J915" s="49">
        <f>IF(J$2="",NA(),E915*$B915+J914)</f>
        <v>1381886.9532132326</v>
      </c>
      <c r="K915" s="49" t="e">
        <f>IF(K$2="",NA(),F915*$B915+K914)</f>
        <v>#N/A</v>
      </c>
    </row>
    <row r="916" spans="1:11" x14ac:dyDescent="0.4">
      <c r="A916" s="49">
        <v>913</v>
      </c>
      <c r="B916" s="49">
        <f>A916/$B$1</f>
        <v>38.041666666666664</v>
      </c>
      <c r="C916" s="49">
        <f>(('Input and Output'!B$23*'Input and Output'!$B$10)+('Input and Output'!B$24*Calculations!$C$5)+('Input and Output'!B$25*Calculations!$C$6)+('Input and Output'!B$26*(IF('Input and Output'!D$7="Detritus",Calculations!$C$4,G916))-(SUM('Input and Output'!B$27:B$32))*H915))</f>
        <v>1.3853261975782516E-5</v>
      </c>
      <c r="D916" s="49">
        <f>(('Input and Output'!C$23*'Input and Output'!$B$10)+('Input and Output'!C$24*Calculations!$C$5)+('Input and Output'!C$25*Calculations!$C$6)+('Input and Output'!C$26*(IF('Input and Output'!E$7="Detritus",Calculations!$C$4,H916))-(SUM('Input and Output'!C$27:C$32))*I915))</f>
        <v>1.15353221190162E-4</v>
      </c>
      <c r="E916" s="49">
        <f>(('Input and Output'!D$23*'Input and Output'!$B$10)+('Input and Output'!D$24*Calculations!$C$5)+('Input and Output'!D$25*Calculations!$C$6)+('Input and Output'!D$26*(IF('Input and Output'!F$7="Detritus",Calculations!$C$4,I916))-(SUM('Input and Output'!D$27:D$32))*J915))</f>
        <v>5.0136735808337107E-5</v>
      </c>
      <c r="F916" s="49" t="e">
        <f>(('Input and Output'!E$23*'Input and Output'!$B$10)+('Input and Output'!E$24*Calculations!$C$5)+('Input and Output'!E$25*Calculations!$C$6)+('Input and Output'!E$26*(IF('Input and Output'!G$7="Detritus",Calculations!$C$4,J916))-(SUM('Input and Output'!E$27:E$32))*K915))</f>
        <v>#N/A</v>
      </c>
      <c r="H916" s="49">
        <f>IF(H$2="",NA(),C916*$B916+H915)</f>
        <v>324480.76320191071</v>
      </c>
      <c r="I916" s="49">
        <f>IF(I$2="",NA(),D916*$B916+I915)</f>
        <v>2973162.3052015179</v>
      </c>
      <c r="J916" s="49">
        <f>IF(J$2="",NA(),E916*$B916+J915)</f>
        <v>1381886.9551205176</v>
      </c>
      <c r="K916" s="49" t="e">
        <f>IF(K$2="",NA(),F916*$B916+K915)</f>
        <v>#N/A</v>
      </c>
    </row>
    <row r="917" spans="1:11" x14ac:dyDescent="0.4">
      <c r="A917" s="49">
        <v>914</v>
      </c>
      <c r="B917" s="49">
        <f>A917/$B$1</f>
        <v>38.083333333333336</v>
      </c>
      <c r="C917" s="49">
        <f>(('Input and Output'!B$23*'Input and Output'!$B$10)+('Input and Output'!B$24*Calculations!$C$5)+('Input and Output'!B$25*Calculations!$C$6)+('Input and Output'!B$26*(IF('Input and Output'!D$7="Detritus",Calculations!$C$4,G917))-(SUM('Input and Output'!B$27:B$32))*H916))</f>
        <v>1.3345172703793651E-5</v>
      </c>
      <c r="D917" s="49">
        <f>(('Input and Output'!C$23*'Input and Output'!$B$10)+('Input and Output'!C$24*Calculations!$C$5)+('Input and Output'!C$25*Calculations!$C$6)+('Input and Output'!C$26*(IF('Input and Output'!E$7="Detritus",Calculations!$C$4,H917))-(SUM('Input and Output'!C$27:C$32))*I916))</f>
        <v>1.1111764069937635E-4</v>
      </c>
      <c r="E917" s="49">
        <f>(('Input and Output'!D$23*'Input and Output'!$B$10)+('Input and Output'!D$24*Calculations!$C$5)+('Input and Output'!D$25*Calculations!$C$6)+('Input and Output'!D$26*(IF('Input and Output'!F$7="Detritus",Calculations!$C$4,I917))-(SUM('Input and Output'!D$27:D$32))*J916))</f>
        <v>4.8293168219970539E-5</v>
      </c>
      <c r="F917" s="49" t="e">
        <f>(('Input and Output'!E$23*'Input and Output'!$B$10)+('Input and Output'!E$24*Calculations!$C$5)+('Input and Output'!E$25*Calculations!$C$6)+('Input and Output'!E$26*(IF('Input and Output'!G$7="Detritus",Calculations!$C$4,J917))-(SUM('Input and Output'!E$27:E$32))*K916))</f>
        <v>#N/A</v>
      </c>
      <c r="H917" s="49">
        <f>IF(H$2="",NA(),C917*$B917+H916)</f>
        <v>324480.76371013938</v>
      </c>
      <c r="I917" s="49">
        <f>IF(I$2="",NA(),D917*$B917+I916)</f>
        <v>2973162.3094332479</v>
      </c>
      <c r="J917" s="49">
        <f>IF(J$2="",NA(),E917*$B917+J916)</f>
        <v>1381886.9569596825</v>
      </c>
      <c r="K917" s="49" t="e">
        <f>IF(K$2="",NA(),F917*$B917+K916)</f>
        <v>#N/A</v>
      </c>
    </row>
    <row r="918" spans="1:11" x14ac:dyDescent="0.4">
      <c r="A918" s="49">
        <v>915</v>
      </c>
      <c r="B918" s="49">
        <f>A918/$B$1</f>
        <v>38.125</v>
      </c>
      <c r="C918" s="49">
        <f>(('Input and Output'!B$23*'Input and Output'!$B$10)+('Input and Output'!B$24*Calculations!$C$5)+('Input and Output'!B$25*Calculations!$C$6)+('Input and Output'!B$26*(IF('Input and Output'!D$7="Detritus",Calculations!$C$4,G918))-(SUM('Input and Output'!B$27:B$32))*H917))</f>
        <v>1.2855182262683229E-5</v>
      </c>
      <c r="D918" s="49">
        <f>(('Input and Output'!C$23*'Input and Output'!$B$10)+('Input and Output'!C$24*Calculations!$C$5)+('Input and Output'!C$25*Calculations!$C$6)+('Input and Output'!C$26*(IF('Input and Output'!E$7="Detritus",Calculations!$C$4,H918))-(SUM('Input and Output'!C$27:C$32))*I917))</f>
        <v>1.0703311909310287E-4</v>
      </c>
      <c r="E918" s="49">
        <f>(('Input and Output'!D$23*'Input and Output'!$B$10)+('Input and Output'!D$24*Calculations!$C$5)+('Input and Output'!D$25*Calculations!$C$6)+('Input and Output'!D$26*(IF('Input and Output'!F$7="Detritus",Calculations!$C$4,I918))-(SUM('Input and Output'!D$27:D$32))*J917))</f>
        <v>4.6516641305061057E-5</v>
      </c>
      <c r="F918" s="49" t="e">
        <f>(('Input and Output'!E$23*'Input and Output'!$B$10)+('Input and Output'!E$24*Calculations!$C$5)+('Input and Output'!E$25*Calculations!$C$6)+('Input and Output'!E$26*(IF('Input and Output'!G$7="Detritus",Calculations!$C$4,J918))-(SUM('Input and Output'!E$27:E$32))*K917))</f>
        <v>#N/A</v>
      </c>
      <c r="H918" s="49">
        <f>IF(H$2="",NA(),C918*$B918+H917)</f>
        <v>324480.76420024323</v>
      </c>
      <c r="I918" s="49">
        <f>IF(I$2="",NA(),D918*$B918+I917)</f>
        <v>2973162.3135138857</v>
      </c>
      <c r="J918" s="49">
        <f>IF(J$2="",NA(),E918*$B918+J917)</f>
        <v>1381886.9587331295</v>
      </c>
      <c r="K918" s="49" t="e">
        <f>IF(K$2="",NA(),F918*$B918+K917)</f>
        <v>#N/A</v>
      </c>
    </row>
    <row r="919" spans="1:11" x14ac:dyDescent="0.4">
      <c r="A919" s="49">
        <v>916</v>
      </c>
      <c r="B919" s="49">
        <f>A919/$B$1</f>
        <v>38.166666666666664</v>
      </c>
      <c r="C919" s="49">
        <f>(('Input and Output'!B$23*'Input and Output'!$B$10)+('Input and Output'!B$24*Calculations!$C$5)+('Input and Output'!B$25*Calculations!$C$6)+('Input and Output'!B$26*(IF('Input and Output'!D$7="Detritus",Calculations!$C$4,G919))-(SUM('Input and Output'!B$27:B$32))*H918))</f>
        <v>1.2382666227495065E-5</v>
      </c>
      <c r="D919" s="49">
        <f>(('Input and Output'!C$23*'Input and Output'!$B$10)+('Input and Output'!C$24*Calculations!$C$5)+('Input and Output'!C$25*Calculations!$C$6)+('Input and Output'!C$26*(IF('Input and Output'!E$7="Detritus",Calculations!$C$4,H919))-(SUM('Input and Output'!C$27:C$32))*I918))</f>
        <v>1.0309444041922688E-4</v>
      </c>
      <c r="E919" s="49">
        <f>(('Input and Output'!D$23*'Input and Output'!$B$10)+('Input and Output'!D$24*Calculations!$C$5)+('Input and Output'!D$25*Calculations!$C$6)+('Input and Output'!D$26*(IF('Input and Output'!F$7="Detritus",Calculations!$C$4,I919))-(SUM('Input and Output'!D$27:D$32))*J918))</f>
        <v>4.4802207412431017E-5</v>
      </c>
      <c r="F919" s="49" t="e">
        <f>(('Input and Output'!E$23*'Input and Output'!$B$10)+('Input and Output'!E$24*Calculations!$C$5)+('Input and Output'!E$25*Calculations!$C$6)+('Input and Output'!E$26*(IF('Input and Output'!G$7="Detritus",Calculations!$C$4,J919))-(SUM('Input and Output'!E$27:E$32))*K918))</f>
        <v>#N/A</v>
      </c>
      <c r="H919" s="49">
        <f>IF(H$2="",NA(),C919*$B919+H918)</f>
        <v>324480.76467284834</v>
      </c>
      <c r="I919" s="49">
        <f>IF(I$2="",NA(),D919*$B919+I918)</f>
        <v>2973162.317448657</v>
      </c>
      <c r="J919" s="49">
        <f>IF(J$2="",NA(),E919*$B919+J918)</f>
        <v>1381886.9604430804</v>
      </c>
      <c r="K919" s="49" t="e">
        <f>IF(K$2="",NA(),F919*$B919+K918)</f>
        <v>#N/A</v>
      </c>
    </row>
    <row r="920" spans="1:11" x14ac:dyDescent="0.4">
      <c r="A920" s="49">
        <v>917</v>
      </c>
      <c r="B920" s="49">
        <f>A920/$B$1</f>
        <v>38.208333333333336</v>
      </c>
      <c r="C920" s="49">
        <f>(('Input and Output'!B$23*'Input and Output'!$B$10)+('Input and Output'!B$24*Calculations!$C$5)+('Input and Output'!B$25*Calculations!$C$6)+('Input and Output'!B$26*(IF('Input and Output'!D$7="Detritus",Calculations!$C$4,G920))-(SUM('Input and Output'!B$27:B$32))*H919))</f>
        <v>1.1927020977964276E-5</v>
      </c>
      <c r="D920" s="49">
        <f>(('Input and Output'!C$23*'Input and Output'!$B$10)+('Input and Output'!C$24*Calculations!$C$5)+('Input and Output'!C$25*Calculations!$C$6)+('Input and Output'!C$26*(IF('Input and Output'!E$7="Detritus",Calculations!$C$4,H920))-(SUM('Input and Output'!C$27:C$32))*I919))</f>
        <v>9.9296558801142965E-5</v>
      </c>
      <c r="E920" s="49">
        <f>(('Input and Output'!D$23*'Input and Output'!$B$10)+('Input and Output'!D$24*Calculations!$C$5)+('Input and Output'!D$25*Calculations!$C$6)+('Input and Output'!D$26*(IF('Input and Output'!F$7="Detritus",Calculations!$C$4,I920))-(SUM('Input and Output'!D$27:D$32))*J919))</f>
        <v>4.3150768760824576E-5</v>
      </c>
      <c r="F920" s="49" t="e">
        <f>(('Input and Output'!E$23*'Input and Output'!$B$10)+('Input and Output'!E$24*Calculations!$C$5)+('Input and Output'!E$25*Calculations!$C$6)+('Input and Output'!E$26*(IF('Input and Output'!G$7="Detritus",Calculations!$C$4,J920))-(SUM('Input and Output'!E$27:E$32))*K919))</f>
        <v>#N/A</v>
      </c>
      <c r="H920" s="49">
        <f>IF(H$2="",NA(),C920*$B920+H919)</f>
        <v>324480.76512855996</v>
      </c>
      <c r="I920" s="49">
        <f>IF(I$2="",NA(),D920*$B920+I919)</f>
        <v>2973162.3212426133</v>
      </c>
      <c r="J920" s="49">
        <f>IF(J$2="",NA(),E920*$B920+J919)</f>
        <v>1381886.9620917994</v>
      </c>
      <c r="K920" s="49" t="e">
        <f>IF(K$2="",NA(),F920*$B920+K919)</f>
        <v>#N/A</v>
      </c>
    </row>
    <row r="921" spans="1:11" x14ac:dyDescent="0.4">
      <c r="A921" s="49">
        <v>918</v>
      </c>
      <c r="B921" s="49">
        <f>A921/$B$1</f>
        <v>38.25</v>
      </c>
      <c r="C921" s="49">
        <f>(('Input and Output'!B$23*'Input and Output'!$B$10)+('Input and Output'!B$24*Calculations!$C$5)+('Input and Output'!B$25*Calculations!$C$6)+('Input and Output'!B$26*(IF('Input and Output'!D$7="Detritus",Calculations!$C$4,G921))-(SUM('Input and Output'!B$27:B$32))*H920))</f>
        <v>1.1487663016396255E-5</v>
      </c>
      <c r="D921" s="49">
        <f>(('Input and Output'!C$23*'Input and Output'!$B$10)+('Input and Output'!C$24*Calculations!$C$5)+('Input and Output'!C$25*Calculations!$C$6)+('Input and Output'!C$26*(IF('Input and Output'!E$7="Detritus",Calculations!$C$4,H921))-(SUM('Input and Output'!C$27:C$32))*I920))</f>
        <v>9.5634597528260201E-5</v>
      </c>
      <c r="E921" s="49">
        <f>(('Input and Output'!D$23*'Input and Output'!$B$10)+('Input and Output'!D$24*Calculations!$C$5)+('Input and Output'!D$25*Calculations!$C$6)+('Input and Output'!D$26*(IF('Input and Output'!F$7="Detritus",Calculations!$C$4,I921))-(SUM('Input and Output'!D$27:D$32))*J920))</f>
        <v>4.1556606447556987E-5</v>
      </c>
      <c r="F921" s="49" t="e">
        <f>(('Input and Output'!E$23*'Input and Output'!$B$10)+('Input and Output'!E$24*Calculations!$C$5)+('Input and Output'!E$25*Calculations!$C$6)+('Input and Output'!E$26*(IF('Input and Output'!G$7="Detritus",Calculations!$C$4,J921))-(SUM('Input and Output'!E$27:E$32))*K920))</f>
        <v>#N/A</v>
      </c>
      <c r="H921" s="49">
        <f>IF(H$2="",NA(),C921*$B921+H920)</f>
        <v>324480.76556796307</v>
      </c>
      <c r="I921" s="49">
        <f>IF(I$2="",NA(),D921*$B921+I920)</f>
        <v>2973162.3249006364</v>
      </c>
      <c r="J921" s="49">
        <f>IF(J$2="",NA(),E921*$B921+J920)</f>
        <v>1381886.9636813395</v>
      </c>
      <c r="K921" s="49" t="e">
        <f>IF(K$2="",NA(),F921*$B921+K920)</f>
        <v>#N/A</v>
      </c>
    </row>
    <row r="922" spans="1:11" x14ac:dyDescent="0.4">
      <c r="A922" s="49">
        <v>919</v>
      </c>
      <c r="B922" s="49">
        <f>A922/$B$1</f>
        <v>38.291666666666664</v>
      </c>
      <c r="C922" s="49">
        <f>(('Input and Output'!B$23*'Input and Output'!$B$10)+('Input and Output'!B$24*Calculations!$C$5)+('Input and Output'!B$25*Calculations!$C$6)+('Input and Output'!B$26*(IF('Input and Output'!D$7="Detritus",Calculations!$C$4,G922))-(SUM('Input and Output'!B$27:B$32))*H921))</f>
        <v>1.1064028285545646E-5</v>
      </c>
      <c r="D922" s="49">
        <f>(('Input and Output'!C$23*'Input and Output'!$B$10)+('Input and Output'!C$24*Calculations!$C$5)+('Input and Output'!C$25*Calculations!$C$6)+('Input and Output'!C$26*(IF('Input and Output'!E$7="Detritus",Calculations!$C$4,H922))-(SUM('Input and Output'!C$27:C$32))*I921))</f>
        <v>9.2103846327518113E-5</v>
      </c>
      <c r="E922" s="49">
        <f>(('Input and Output'!D$23*'Input and Output'!$B$10)+('Input and Output'!D$24*Calculations!$C$5)+('Input and Output'!D$25*Calculations!$C$6)+('Input and Output'!D$26*(IF('Input and Output'!F$7="Detritus",Calculations!$C$4,I922))-(SUM('Input and Output'!D$27:D$32))*J921))</f>
        <v>4.0021830500336364E-5</v>
      </c>
      <c r="F922" s="49" t="e">
        <f>(('Input and Output'!E$23*'Input and Output'!$B$10)+('Input and Output'!E$24*Calculations!$C$5)+('Input and Output'!E$25*Calculations!$C$6)+('Input and Output'!E$26*(IF('Input and Output'!G$7="Detritus",Calculations!$C$4,J922))-(SUM('Input and Output'!E$27:E$32))*K921))</f>
        <v>#N/A</v>
      </c>
      <c r="H922" s="49">
        <f>IF(H$2="",NA(),C922*$B922+H921)</f>
        <v>324480.76599162316</v>
      </c>
      <c r="I922" s="49">
        <f>IF(I$2="",NA(),D922*$B922+I921)</f>
        <v>2973162.3284274461</v>
      </c>
      <c r="J922" s="49">
        <f>IF(J$2="",NA(),E922*$B922+J921)</f>
        <v>1381886.9652138422</v>
      </c>
      <c r="K922" s="49" t="e">
        <f>IF(K$2="",NA(),F922*$B922+K921)</f>
        <v>#N/A</v>
      </c>
    </row>
    <row r="923" spans="1:11" x14ac:dyDescent="0.4">
      <c r="A923" s="49">
        <v>920</v>
      </c>
      <c r="B923" s="49">
        <f>A923/$B$1</f>
        <v>38.333333333333336</v>
      </c>
      <c r="C923" s="49">
        <f>(('Input and Output'!B$23*'Input and Output'!$B$10)+('Input and Output'!B$24*Calculations!$C$5)+('Input and Output'!B$25*Calculations!$C$6)+('Input and Output'!B$26*(IF('Input and Output'!D$7="Detritus",Calculations!$C$4,G923))-(SUM('Input and Output'!B$27:B$32))*H922))</f>
        <v>1.0655571600182157E-5</v>
      </c>
      <c r="D923" s="49">
        <f>(('Input and Output'!C$23*'Input and Output'!$B$10)+('Input and Output'!C$24*Calculations!$C$5)+('Input and Output'!C$25*Calculations!$C$6)+('Input and Output'!C$26*(IF('Input and Output'!E$7="Detritus",Calculations!$C$4,H923))-(SUM('Input and Output'!C$27:C$32))*I922))</f>
        <v>8.8699747720966116E-5</v>
      </c>
      <c r="E923" s="49">
        <f>(('Input and Output'!D$23*'Input and Output'!$B$10)+('Input and Output'!D$24*Calculations!$C$5)+('Input and Output'!D$25*Calculations!$C$6)+('Input and Output'!D$26*(IF('Input and Output'!F$7="Detritus",Calculations!$C$4,I923))-(SUM('Input and Output'!D$27:D$32))*J922))</f>
        <v>3.8539645174751058E-5</v>
      </c>
      <c r="F923" s="49" t="e">
        <f>(('Input and Output'!E$23*'Input and Output'!$B$10)+('Input and Output'!E$24*Calculations!$C$5)+('Input and Output'!E$25*Calculations!$C$6)+('Input and Output'!E$26*(IF('Input and Output'!G$7="Detritus",Calculations!$C$4,J923))-(SUM('Input and Output'!E$27:E$32))*K922))</f>
        <v>#N/A</v>
      </c>
      <c r="H923" s="49">
        <f>IF(H$2="",NA(),C923*$B923+H922)</f>
        <v>324480.76640008675</v>
      </c>
      <c r="I923" s="49">
        <f>IF(I$2="",NA(),D923*$B923+I922)</f>
        <v>2973162.3318276033</v>
      </c>
      <c r="J923" s="49">
        <f>IF(J$2="",NA(),E923*$B923+J922)</f>
        <v>1381886.9666911953</v>
      </c>
      <c r="K923" s="49" t="e">
        <f>IF(K$2="",NA(),F923*$B923+K922)</f>
        <v>#N/A</v>
      </c>
    </row>
    <row r="924" spans="1:11" x14ac:dyDescent="0.4">
      <c r="A924" s="49">
        <v>921</v>
      </c>
      <c r="B924" s="49">
        <f>A924/$B$1</f>
        <v>38.375</v>
      </c>
      <c r="C924" s="49">
        <f>(('Input and Output'!B$23*'Input and Output'!$B$10)+('Input and Output'!B$24*Calculations!$C$5)+('Input and Output'!B$25*Calculations!$C$6)+('Input and Output'!B$26*(IF('Input and Output'!D$7="Detritus",Calculations!$C$4,G924))-(SUM('Input and Output'!B$27:B$32))*H923))</f>
        <v>1.0261766078656365E-5</v>
      </c>
      <c r="D924" s="49">
        <f>(('Input and Output'!C$23*'Input and Output'!$B$10)+('Input and Output'!C$24*Calculations!$C$5)+('Input and Output'!C$25*Calculations!$C$6)+('Input and Output'!C$26*(IF('Input and Output'!E$7="Detritus",Calculations!$C$4,H924))-(SUM('Input and Output'!C$27:C$32))*I923))</f>
        <v>8.5417897935258225E-5</v>
      </c>
      <c r="E924" s="49">
        <f>(('Input and Output'!D$23*'Input and Output'!$B$10)+('Input and Output'!D$24*Calculations!$C$5)+('Input and Output'!D$25*Calculations!$C$6)+('Input and Output'!D$26*(IF('Input and Output'!F$7="Detritus",Calculations!$C$4,I924))-(SUM('Input and Output'!D$27:D$32))*J923))</f>
        <v>3.7113630241947249E-5</v>
      </c>
      <c r="F924" s="49" t="e">
        <f>(('Input and Output'!E$23*'Input and Output'!$B$10)+('Input and Output'!E$24*Calculations!$C$5)+('Input and Output'!E$25*Calculations!$C$6)+('Input and Output'!E$26*(IF('Input and Output'!G$7="Detritus",Calculations!$C$4,J924))-(SUM('Input and Output'!E$27:E$32))*K923))</f>
        <v>#N/A</v>
      </c>
      <c r="H924" s="49">
        <f>IF(H$2="",NA(),C924*$B924+H923)</f>
        <v>324480.76679388201</v>
      </c>
      <c r="I924" s="49">
        <f>IF(I$2="",NA(),D924*$B924+I923)</f>
        <v>2973162.3351055151</v>
      </c>
      <c r="J924" s="49">
        <f>IF(J$2="",NA(),E924*$B924+J923)</f>
        <v>1381886.9681154308</v>
      </c>
      <c r="K924" s="49" t="e">
        <f>IF(K$2="",NA(),F924*$B924+K923)</f>
        <v>#N/A</v>
      </c>
    </row>
    <row r="925" spans="1:11" x14ac:dyDescent="0.4">
      <c r="A925" s="49">
        <v>922</v>
      </c>
      <c r="B925" s="49">
        <f>A925/$B$1</f>
        <v>38.416666666666664</v>
      </c>
      <c r="C925" s="49">
        <f>(('Input and Output'!B$23*'Input and Output'!$B$10)+('Input and Output'!B$24*Calculations!$C$5)+('Input and Output'!B$25*Calculations!$C$6)+('Input and Output'!B$26*(IF('Input and Output'!D$7="Detritus",Calculations!$C$4,G925))-(SUM('Input and Output'!B$27:B$32))*H924))</f>
        <v>9.8821025176221156E-6</v>
      </c>
      <c r="D925" s="49">
        <f>(('Input and Output'!C$23*'Input and Output'!$B$10)+('Input and Output'!C$24*Calculations!$C$5)+('Input and Output'!C$25*Calculations!$C$6)+('Input and Output'!C$26*(IF('Input and Output'!E$7="Detritus",Calculations!$C$4,H925))-(SUM('Input and Output'!C$27:C$32))*I924))</f>
        <v>8.2254045992158353E-5</v>
      </c>
      <c r="E925" s="49">
        <f>(('Input and Output'!D$23*'Input and Output'!$B$10)+('Input and Output'!D$24*Calculations!$C$5)+('Input and Output'!D$25*Calculations!$C$6)+('Input and Output'!D$26*(IF('Input and Output'!F$7="Detritus",Calculations!$C$4,I925))-(SUM('Input and Output'!D$27:D$32))*J924))</f>
        <v>3.5735694837057963E-5</v>
      </c>
      <c r="F925" s="49" t="e">
        <f>(('Input and Output'!E$23*'Input and Output'!$B$10)+('Input and Output'!E$24*Calculations!$C$5)+('Input and Output'!E$25*Calculations!$C$6)+('Input and Output'!E$26*(IF('Input and Output'!G$7="Detritus",Calculations!$C$4,J925))-(SUM('Input and Output'!E$27:E$32))*K924))</f>
        <v>#N/A</v>
      </c>
      <c r="H925" s="49">
        <f>IF(H$2="",NA(),C925*$B925+H924)</f>
        <v>324480.76717351947</v>
      </c>
      <c r="I925" s="49">
        <f>IF(I$2="",NA(),D925*$B925+I924)</f>
        <v>2973162.3382654414</v>
      </c>
      <c r="J925" s="49">
        <f>IF(J$2="",NA(),E925*$B925+J924)</f>
        <v>1381886.9694882771</v>
      </c>
      <c r="K925" s="49" t="e">
        <f>IF(K$2="",NA(),F925*$B925+K924)</f>
        <v>#N/A</v>
      </c>
    </row>
    <row r="926" spans="1:11" x14ac:dyDescent="0.4">
      <c r="A926" s="49">
        <v>923</v>
      </c>
      <c r="B926" s="49">
        <f>A926/$B$1</f>
        <v>38.458333333333336</v>
      </c>
      <c r="C926" s="49">
        <f>(('Input and Output'!B$23*'Input and Output'!$B$10)+('Input and Output'!B$24*Calculations!$C$5)+('Input and Output'!B$25*Calculations!$C$6)+('Input and Output'!B$26*(IF('Input and Output'!D$7="Detritus",Calculations!$C$4,G926))-(SUM('Input and Output'!B$27:B$32))*H925))</f>
        <v>9.5160887099154934E-6</v>
      </c>
      <c r="D926" s="49">
        <f>(('Input and Output'!C$23*'Input and Output'!$B$10)+('Input and Output'!C$24*Calculations!$C$5)+('Input and Output'!C$25*Calculations!$C$6)+('Input and Output'!C$26*(IF('Input and Output'!E$7="Detritus",Calculations!$C$4,H926))-(SUM('Input and Output'!C$27:C$32))*I925))</f>
        <v>7.9204076428140979E-5</v>
      </c>
      <c r="E926" s="49">
        <f>(('Input and Output'!D$23*'Input and Output'!$B$10)+('Input and Output'!D$24*Calculations!$C$5)+('Input and Output'!D$25*Calculations!$C$6)+('Input and Output'!D$26*(IF('Input and Output'!F$7="Detritus",Calculations!$C$4,I926))-(SUM('Input and Output'!D$27:D$32))*J925))</f>
        <v>3.441110675339587E-5</v>
      </c>
      <c r="F926" s="49" t="e">
        <f>(('Input and Output'!E$23*'Input and Output'!$B$10)+('Input and Output'!E$24*Calculations!$C$5)+('Input and Output'!E$25*Calculations!$C$6)+('Input and Output'!E$26*(IF('Input and Output'!G$7="Detritus",Calculations!$C$4,J926))-(SUM('Input and Output'!E$27:E$32))*K925))</f>
        <v>#N/A</v>
      </c>
      <c r="H926" s="49">
        <f>IF(H$2="",NA(),C926*$B926+H925)</f>
        <v>324480.7675394924</v>
      </c>
      <c r="I926" s="49">
        <f>IF(I$2="",NA(),D926*$B926+I925)</f>
        <v>2973162.3413114981</v>
      </c>
      <c r="J926" s="49">
        <f>IF(J$2="",NA(),E926*$B926+J925)</f>
        <v>1381886.9708116709</v>
      </c>
      <c r="K926" s="49" t="e">
        <f>IF(K$2="",NA(),F926*$B926+K925)</f>
        <v>#N/A</v>
      </c>
    </row>
    <row r="927" spans="1:11" x14ac:dyDescent="0.4">
      <c r="A927" s="49">
        <v>924</v>
      </c>
      <c r="B927" s="49">
        <f>A927/$B$1</f>
        <v>38.5</v>
      </c>
      <c r="C927" s="49">
        <f>(('Input and Output'!B$23*'Input and Output'!$B$10)+('Input and Output'!B$24*Calculations!$C$5)+('Input and Output'!B$25*Calculations!$C$6)+('Input and Output'!B$26*(IF('Input and Output'!D$7="Detritus",Calculations!$C$4,G927))-(SUM('Input and Output'!B$27:B$32))*H926))</f>
        <v>9.1632490466508898E-6</v>
      </c>
      <c r="D927" s="49">
        <f>(('Input and Output'!C$23*'Input and Output'!$B$10)+('Input and Output'!C$24*Calculations!$C$5)+('Input and Output'!C$25*Calculations!$C$6)+('Input and Output'!C$26*(IF('Input and Output'!E$7="Detritus",Calculations!$C$4,H927))-(SUM('Input and Output'!C$27:C$32))*I926))</f>
        <v>7.6264019298832864E-5</v>
      </c>
      <c r="E927" s="49">
        <f>(('Input and Output'!D$23*'Input and Output'!$B$10)+('Input and Output'!D$24*Calculations!$C$5)+('Input and Output'!D$25*Calculations!$C$6)+('Input and Output'!D$26*(IF('Input and Output'!F$7="Detritus",Calculations!$C$4,I927))-(SUM('Input and Output'!D$27:D$32))*J926))</f>
        <v>3.3130087103927508E-5</v>
      </c>
      <c r="F927" s="49" t="e">
        <f>(('Input and Output'!E$23*'Input and Output'!$B$10)+('Input and Output'!E$24*Calculations!$C$5)+('Input and Output'!E$25*Calculations!$C$6)+('Input and Output'!E$26*(IF('Input and Output'!G$7="Detritus",Calculations!$C$4,J927))-(SUM('Input and Output'!E$27:E$32))*K926))</f>
        <v>#N/A</v>
      </c>
      <c r="H927" s="49">
        <f>IF(H$2="",NA(),C927*$B927+H926)</f>
        <v>324480.76789227751</v>
      </c>
      <c r="I927" s="49">
        <f>IF(I$2="",NA(),D927*$B927+I926)</f>
        <v>2973162.3442476629</v>
      </c>
      <c r="J927" s="49">
        <f>IF(J$2="",NA(),E927*$B927+J926)</f>
        <v>1381886.9720871793</v>
      </c>
      <c r="K927" s="49" t="e">
        <f>IF(K$2="",NA(),F927*$B927+K926)</f>
        <v>#N/A</v>
      </c>
    </row>
    <row r="928" spans="1:11" x14ac:dyDescent="0.4">
      <c r="A928" s="49">
        <v>925</v>
      </c>
      <c r="B928" s="49">
        <f>A928/$B$1</f>
        <v>38.541666666666664</v>
      </c>
      <c r="C928" s="49">
        <f>(('Input and Output'!B$23*'Input and Output'!$B$10)+('Input and Output'!B$24*Calculations!$C$5)+('Input and Output'!B$25*Calculations!$C$6)+('Input and Output'!B$26*(IF('Input and Output'!D$7="Detritus",Calculations!$C$4,G928))-(SUM('Input and Output'!B$27:B$32))*H927))</f>
        <v>8.8231239487868152E-6</v>
      </c>
      <c r="D928" s="49">
        <f>(('Input and Output'!C$23*'Input and Output'!$B$10)+('Input and Output'!C$24*Calculations!$C$5)+('Input and Output'!C$25*Calculations!$C$6)+('Input and Output'!C$26*(IF('Input and Output'!E$7="Detritus",Calculations!$C$4,H928))-(SUM('Input and Output'!C$27:C$32))*I927))</f>
        <v>7.3430031079624314E-5</v>
      </c>
      <c r="E928" s="49">
        <f>(('Input and Output'!D$23*'Input and Output'!$B$10)+('Input and Output'!D$24*Calculations!$C$5)+('Input and Output'!D$25*Calculations!$C$6)+('Input and Output'!D$26*(IF('Input and Output'!F$7="Detritus",Calculations!$C$4,I928))-(SUM('Input and Output'!D$27:D$32))*J927))</f>
        <v>3.1900188332656398E-5</v>
      </c>
      <c r="F928" s="49" t="e">
        <f>(('Input and Output'!E$23*'Input and Output'!$B$10)+('Input and Output'!E$24*Calculations!$C$5)+('Input and Output'!E$25*Calculations!$C$6)+('Input and Output'!E$26*(IF('Input and Output'!G$7="Detritus",Calculations!$C$4,J928))-(SUM('Input and Output'!E$27:E$32))*K927))</f>
        <v>#N/A</v>
      </c>
      <c r="H928" s="49">
        <f>IF(H$2="",NA(),C928*$B928+H927)</f>
        <v>324480.76823233539</v>
      </c>
      <c r="I928" s="49">
        <f>IF(I$2="",NA(),D928*$B928+I927)</f>
        <v>2973162.3470777785</v>
      </c>
      <c r="J928" s="49">
        <f>IF(J$2="",NA(),E928*$B928+J927)</f>
        <v>1381886.9733166657</v>
      </c>
      <c r="K928" s="49" t="e">
        <f>IF(K$2="",NA(),F928*$B928+K927)</f>
        <v>#N/A</v>
      </c>
    </row>
    <row r="929" spans="1:11" x14ac:dyDescent="0.4">
      <c r="A929" s="49">
        <v>926</v>
      </c>
      <c r="B929" s="49">
        <f>A929/$B$1</f>
        <v>38.583333333333336</v>
      </c>
      <c r="C929" s="49">
        <f>(('Input and Output'!B$23*'Input and Output'!$B$10)+('Input and Output'!B$24*Calculations!$C$5)+('Input and Output'!B$25*Calculations!$C$6)+('Input and Output'!B$26*(IF('Input and Output'!D$7="Detritus",Calculations!$C$4,G929))-(SUM('Input and Output'!B$27:B$32))*H928))</f>
        <v>8.4952693555351289E-6</v>
      </c>
      <c r="D929" s="49">
        <f>(('Input and Output'!C$23*'Input and Output'!$B$10)+('Input and Output'!C$24*Calculations!$C$5)+('Input and Output'!C$25*Calculations!$C$6)+('Input and Output'!C$26*(IF('Input and Output'!E$7="Detritus",Calculations!$C$4,H929))-(SUM('Input and Output'!C$27:C$32))*I928))</f>
        <v>7.0698407398595009E-5</v>
      </c>
      <c r="E929" s="49">
        <f>(('Input and Output'!D$23*'Input and Output'!$B$10)+('Input and Output'!D$24*Calculations!$C$5)+('Input and Output'!D$25*Calculations!$C$6)+('Input and Output'!D$26*(IF('Input and Output'!F$7="Detritus",Calculations!$C$4,I929))-(SUM('Input and Output'!D$27:D$32))*J928))</f>
        <v>3.0709172278875485E-5</v>
      </c>
      <c r="F929" s="49" t="e">
        <f>(('Input and Output'!E$23*'Input and Output'!$B$10)+('Input and Output'!E$24*Calculations!$C$5)+('Input and Output'!E$25*Calculations!$C$6)+('Input and Output'!E$26*(IF('Input and Output'!G$7="Detritus",Calculations!$C$4,J929))-(SUM('Input and Output'!E$27:E$32))*K928))</f>
        <v>#N/A</v>
      </c>
      <c r="H929" s="49">
        <f>IF(H$2="",NA(),C929*$B929+H928)</f>
        <v>324480.76856011123</v>
      </c>
      <c r="I929" s="49">
        <f>IF(I$2="",NA(),D929*$B929+I928)</f>
        <v>2973162.3498055586</v>
      </c>
      <c r="J929" s="49">
        <f>IF(J$2="",NA(),E929*$B929+J928)</f>
        <v>1381886.9745015281</v>
      </c>
      <c r="K929" s="49" t="e">
        <f>IF(K$2="",NA(),F929*$B929+K928)</f>
        <v>#N/A</v>
      </c>
    </row>
    <row r="930" spans="1:11" x14ac:dyDescent="0.4">
      <c r="A930" s="49">
        <v>927</v>
      </c>
      <c r="B930" s="49">
        <f>A930/$B$1</f>
        <v>38.625</v>
      </c>
      <c r="C930" s="49">
        <f>(('Input and Output'!B$23*'Input and Output'!$B$10)+('Input and Output'!B$24*Calculations!$C$5)+('Input and Output'!B$25*Calculations!$C$6)+('Input and Output'!B$26*(IF('Input and Output'!D$7="Detritus",Calculations!$C$4,G930))-(SUM('Input and Output'!B$27:B$32))*H929))</f>
        <v>8.1792560422400129E-6</v>
      </c>
      <c r="D930" s="49">
        <f>(('Input and Output'!C$23*'Input and Output'!$B$10)+('Input and Output'!C$24*Calculations!$C$5)+('Input and Output'!C$25*Calculations!$C$6)+('Input and Output'!C$26*(IF('Input and Output'!E$7="Detritus",Calculations!$C$4,H930))-(SUM('Input and Output'!C$27:C$32))*I929))</f>
        <v>6.8065562118135858E-5</v>
      </c>
      <c r="E930" s="49">
        <f>(('Input and Output'!D$23*'Input and Output'!$B$10)+('Input and Output'!D$24*Calculations!$C$5)+('Input and Output'!D$25*Calculations!$C$6)+('Input and Output'!D$26*(IF('Input and Output'!F$7="Detritus",Calculations!$C$4,I930))-(SUM('Input and Output'!D$27:D$32))*J929))</f>
        <v>2.9567749152192846E-5</v>
      </c>
      <c r="F930" s="49" t="e">
        <f>(('Input and Output'!E$23*'Input and Output'!$B$10)+('Input and Output'!E$24*Calculations!$C$5)+('Input and Output'!E$25*Calculations!$C$6)+('Input and Output'!E$26*(IF('Input and Output'!G$7="Detritus",Calculations!$C$4,J930))-(SUM('Input and Output'!E$27:E$32))*K929))</f>
        <v>#N/A</v>
      </c>
      <c r="H930" s="49">
        <f>IF(H$2="",NA(),C930*$B930+H929)</f>
        <v>324480.768876035</v>
      </c>
      <c r="I930" s="49">
        <f>IF(I$2="",NA(),D930*$B930+I929)</f>
        <v>2973162.3524345909</v>
      </c>
      <c r="J930" s="49">
        <f>IF(J$2="",NA(),E930*$B930+J929)</f>
        <v>1381886.9756435824</v>
      </c>
      <c r="K930" s="49" t="e">
        <f>IF(K$2="",NA(),F930*$B930+K929)</f>
        <v>#N/A</v>
      </c>
    </row>
    <row r="931" spans="1:11" x14ac:dyDescent="0.4">
      <c r="A931" s="49">
        <v>928</v>
      </c>
      <c r="B931" s="49">
        <f>A931/$B$1</f>
        <v>38.666666666666664</v>
      </c>
      <c r="C931" s="49">
        <f>(('Input and Output'!B$23*'Input and Output'!$B$10)+('Input and Output'!B$24*Calculations!$C$5)+('Input and Output'!B$25*Calculations!$C$6)+('Input and Output'!B$26*(IF('Input and Output'!D$7="Detritus",Calculations!$C$4,G931))-(SUM('Input and Output'!B$27:B$32))*H930))</f>
        <v>7.8746694498477154E-6</v>
      </c>
      <c r="D931" s="49">
        <f>(('Input and Output'!C$23*'Input and Output'!$B$10)+('Input and Output'!C$24*Calculations!$C$5)+('Input and Output'!C$25*Calculations!$C$6)+('Input and Output'!C$26*(IF('Input and Output'!E$7="Detritus",Calculations!$C$4,H931))-(SUM('Input and Output'!C$27:C$32))*I930))</f>
        <v>6.5528030063433107E-5</v>
      </c>
      <c r="E931" s="49">
        <f>(('Input and Output'!D$23*'Input and Output'!$B$10)+('Input and Output'!D$24*Calculations!$C$5)+('Input and Output'!D$25*Calculations!$C$6)+('Input and Output'!D$26*(IF('Input and Output'!F$7="Detritus",Calculations!$C$4,I931))-(SUM('Input and Output'!D$27:D$32))*J930))</f>
        <v>2.8460202884161845E-5</v>
      </c>
      <c r="F931" s="49" t="e">
        <f>(('Input and Output'!E$23*'Input and Output'!$B$10)+('Input and Output'!E$24*Calculations!$C$5)+('Input and Output'!E$25*Calculations!$C$6)+('Input and Output'!E$26*(IF('Input and Output'!G$7="Detritus",Calculations!$C$4,J931))-(SUM('Input and Output'!E$27:E$32))*K930))</f>
        <v>#N/A</v>
      </c>
      <c r="H931" s="49">
        <f>IF(H$2="",NA(),C931*$B931+H930)</f>
        <v>324480.76918052224</v>
      </c>
      <c r="I931" s="49">
        <f>IF(I$2="",NA(),D931*$B931+I930)</f>
        <v>2973162.3549683415</v>
      </c>
      <c r="J931" s="49">
        <f>IF(J$2="",NA(),E931*$B931+J930)</f>
        <v>1381886.9767440436</v>
      </c>
      <c r="K931" s="49" t="e">
        <f>IF(K$2="",NA(),F931*$B931+K930)</f>
        <v>#N/A</v>
      </c>
    </row>
    <row r="932" spans="1:11" x14ac:dyDescent="0.4">
      <c r="A932" s="49">
        <v>929</v>
      </c>
      <c r="B932" s="49">
        <f>A932/$B$1</f>
        <v>38.708333333333336</v>
      </c>
      <c r="C932" s="49">
        <f>(('Input and Output'!B$23*'Input and Output'!$B$10)+('Input and Output'!B$24*Calculations!$C$5)+('Input and Output'!B$25*Calculations!$C$6)+('Input and Output'!B$26*(IF('Input and Output'!D$7="Detritus",Calculations!$C$4,G932))-(SUM('Input and Output'!B$27:B$32))*H931))</f>
        <v>7.5811090027855244E-6</v>
      </c>
      <c r="D932" s="49">
        <f>(('Input and Output'!C$23*'Input and Output'!$B$10)+('Input and Output'!C$24*Calculations!$C$5)+('Input and Output'!C$25*Calculations!$C$6)+('Input and Output'!C$26*(IF('Input and Output'!E$7="Detritus",Calculations!$C$4,H932))-(SUM('Input and Output'!C$27:C$32))*I931))</f>
        <v>6.3082466112973634E-5</v>
      </c>
      <c r="E932" s="49">
        <f>(('Input and Output'!D$23*'Input and Output'!$B$10)+('Input and Output'!D$24*Calculations!$C$5)+('Input and Output'!D$25*Calculations!$C$6)+('Input and Output'!D$26*(IF('Input and Output'!F$7="Detritus",Calculations!$C$4,I932))-(SUM('Input and Output'!D$27:D$32))*J931))</f>
        <v>2.7401551051298156E-5</v>
      </c>
      <c r="F932" s="49" t="e">
        <f>(('Input and Output'!E$23*'Input and Output'!$B$10)+('Input and Output'!E$24*Calculations!$C$5)+('Input and Output'!E$25*Calculations!$C$6)+('Input and Output'!E$26*(IF('Input and Output'!G$7="Detritus",Calculations!$C$4,J932))-(SUM('Input and Output'!E$27:E$32))*K931))</f>
        <v>#N/A</v>
      </c>
      <c r="H932" s="49">
        <f>IF(H$2="",NA(),C932*$B932+H931)</f>
        <v>324480.76947397436</v>
      </c>
      <c r="I932" s="49">
        <f>IF(I$2="",NA(),D932*$B932+I931)</f>
        <v>2973162.3574101585</v>
      </c>
      <c r="J932" s="49">
        <f>IF(J$2="",NA(),E932*$B932+J931)</f>
        <v>1381886.977804712</v>
      </c>
      <c r="K932" s="49" t="e">
        <f>IF(K$2="",NA(),F932*$B932+K931)</f>
        <v>#N/A</v>
      </c>
    </row>
    <row r="933" spans="1:11" x14ac:dyDescent="0.4">
      <c r="A933" s="49">
        <v>930</v>
      </c>
      <c r="B933" s="49">
        <f>A933/$B$1</f>
        <v>38.75</v>
      </c>
      <c r="C933" s="49">
        <f>(('Input and Output'!B$23*'Input and Output'!$B$10)+('Input and Output'!B$24*Calculations!$C$5)+('Input and Output'!B$25*Calculations!$C$6)+('Input and Output'!B$26*(IF('Input and Output'!D$7="Detritus",Calculations!$C$4,G933))-(SUM('Input and Output'!B$27:B$32))*H932))</f>
        <v>7.2981877110578353E-6</v>
      </c>
      <c r="D933" s="49">
        <f>(('Input and Output'!C$23*'Input and Output'!$B$10)+('Input and Output'!C$24*Calculations!$C$5)+('Input and Output'!C$25*Calculations!$C$6)+('Input and Output'!C$26*(IF('Input and Output'!E$7="Detritus",Calculations!$C$4,H933))-(SUM('Input and Output'!C$27:C$32))*I932))</f>
        <v>6.0725640651071444E-5</v>
      </c>
      <c r="E933" s="49">
        <f>(('Input and Output'!D$23*'Input and Output'!$B$10)+('Input and Output'!D$24*Calculations!$C$5)+('Input and Output'!D$25*Calculations!$C$6)+('Input and Output'!D$26*(IF('Input and Output'!F$7="Detritus",Calculations!$C$4,I933))-(SUM('Input and Output'!D$27:D$32))*J932))</f>
        <v>2.6371188141638413E-5</v>
      </c>
      <c r="F933" s="49" t="e">
        <f>(('Input and Output'!E$23*'Input and Output'!$B$10)+('Input and Output'!E$24*Calculations!$C$5)+('Input and Output'!E$25*Calculations!$C$6)+('Input and Output'!E$26*(IF('Input and Output'!G$7="Detritus",Calculations!$C$4,J933))-(SUM('Input and Output'!E$27:E$32))*K932))</f>
        <v>#N/A</v>
      </c>
      <c r="H933" s="49">
        <f>IF(H$2="",NA(),C933*$B933+H932)</f>
        <v>324480.76975677913</v>
      </c>
      <c r="I933" s="49">
        <f>IF(I$2="",NA(),D933*$B933+I932)</f>
        <v>2973162.3597632772</v>
      </c>
      <c r="J933" s="49">
        <f>IF(J$2="",NA(),E933*$B933+J932)</f>
        <v>1381886.9788265955</v>
      </c>
      <c r="K933" s="49" t="e">
        <f>IF(K$2="",NA(),F933*$B933+K932)</f>
        <v>#N/A</v>
      </c>
    </row>
    <row r="934" spans="1:11" x14ac:dyDescent="0.4">
      <c r="A934" s="49">
        <v>931</v>
      </c>
      <c r="B934" s="49">
        <f>A934/$B$1</f>
        <v>38.791666666666664</v>
      </c>
      <c r="C934" s="49">
        <f>(('Input and Output'!B$23*'Input and Output'!$B$10)+('Input and Output'!B$24*Calculations!$C$5)+('Input and Output'!B$25*Calculations!$C$6)+('Input and Output'!B$26*(IF('Input and Output'!D$7="Detritus",Calculations!$C$4,G934))-(SUM('Input and Output'!B$27:B$32))*H933))</f>
        <v>7.0255316018119629E-6</v>
      </c>
      <c r="D934" s="49">
        <f>(('Input and Output'!C$23*'Input and Output'!$B$10)+('Input and Output'!C$24*Calculations!$C$5)+('Input and Output'!C$25*Calculations!$C$6)+('Input and Output'!C$26*(IF('Input and Output'!E$7="Detritus",Calculations!$C$4,H934))-(SUM('Input and Output'!C$27:C$32))*I933))</f>
        <v>5.8454426834941842E-5</v>
      </c>
      <c r="E934" s="49">
        <f>(('Input and Output'!D$23*'Input and Output'!$B$10)+('Input and Output'!D$24*Calculations!$C$5)+('Input and Output'!D$25*Calculations!$C$6)+('Input and Output'!D$26*(IF('Input and Output'!F$7="Detritus",Calculations!$C$4,I934))-(SUM('Input and Output'!D$27:D$32))*J933))</f>
        <v>2.5390199880348518E-5</v>
      </c>
      <c r="F934" s="49" t="e">
        <f>(('Input and Output'!E$23*'Input and Output'!$B$10)+('Input and Output'!E$24*Calculations!$C$5)+('Input and Output'!E$25*Calculations!$C$6)+('Input and Output'!E$26*(IF('Input and Output'!G$7="Detritus",Calculations!$C$4,J934))-(SUM('Input and Output'!E$27:E$32))*K933))</f>
        <v>#N/A</v>
      </c>
      <c r="H934" s="49">
        <f>IF(H$2="",NA(),C934*$B934+H933)</f>
        <v>324480.77002931118</v>
      </c>
      <c r="I934" s="49">
        <f>IF(I$2="",NA(),D934*$B934+I933)</f>
        <v>2973162.3620308219</v>
      </c>
      <c r="J934" s="49">
        <f>IF(J$2="",NA(),E934*$B934+J933)</f>
        <v>1381886.9798115236</v>
      </c>
      <c r="K934" s="49" t="e">
        <f>IF(K$2="",NA(),F934*$B934+K933)</f>
        <v>#N/A</v>
      </c>
    </row>
    <row r="935" spans="1:11" x14ac:dyDescent="0.4">
      <c r="A935" s="49">
        <v>932</v>
      </c>
      <c r="B935" s="49">
        <f>A935/$B$1</f>
        <v>38.833333333333336</v>
      </c>
      <c r="C935" s="49">
        <f>(('Input and Output'!B$23*'Input and Output'!$B$10)+('Input and Output'!B$24*Calculations!$C$5)+('Input and Output'!B$25*Calculations!$C$6)+('Input and Output'!B$26*(IF('Input and Output'!D$7="Detritus",Calculations!$C$4,G935))-(SUM('Input and Output'!B$27:B$32))*H934))</f>
        <v>6.7627796056513034E-6</v>
      </c>
      <c r="D935" s="49">
        <f>(('Input and Output'!C$23*'Input and Output'!$B$10)+('Input and Output'!C$24*Calculations!$C$5)+('Input and Output'!C$25*Calculations!$C$6)+('Input and Output'!C$26*(IF('Input and Output'!E$7="Detritus",Calculations!$C$4,H935))-(SUM('Input and Output'!C$27:C$32))*I934))</f>
        <v>5.6265813327627257E-5</v>
      </c>
      <c r="E935" s="49">
        <f>(('Input and Output'!D$23*'Input and Output'!$B$10)+('Input and Output'!D$24*Calculations!$C$5)+('Input and Output'!D$25*Calculations!$C$6)+('Input and Output'!D$26*(IF('Input and Output'!F$7="Detritus",Calculations!$C$4,I935))-(SUM('Input and Output'!D$27:D$32))*J934))</f>
        <v>2.4430995836155489E-5</v>
      </c>
      <c r="F935" s="49" t="e">
        <f>(('Input and Output'!E$23*'Input and Output'!$B$10)+('Input and Output'!E$24*Calculations!$C$5)+('Input and Output'!E$25*Calculations!$C$6)+('Input and Output'!E$26*(IF('Input and Output'!G$7="Detritus",Calculations!$C$4,J935))-(SUM('Input and Output'!E$27:E$32))*K934))</f>
        <v>#N/A</v>
      </c>
      <c r="H935" s="49">
        <f>IF(H$2="",NA(),C935*$B935+H934)</f>
        <v>324480.77029193245</v>
      </c>
      <c r="I935" s="49">
        <f>IF(I$2="",NA(),D935*$B935+I934)</f>
        <v>2973162.3642158108</v>
      </c>
      <c r="J935" s="49">
        <f>IF(J$2="",NA(),E935*$B935+J934)</f>
        <v>1381886.9807602605</v>
      </c>
      <c r="K935" s="49" t="e">
        <f>IF(K$2="",NA(),F935*$B935+K934)</f>
        <v>#N/A</v>
      </c>
    </row>
    <row r="936" spans="1:11" x14ac:dyDescent="0.4">
      <c r="A936" s="49">
        <v>933</v>
      </c>
      <c r="B936" s="49">
        <f>A936/$B$1</f>
        <v>38.875</v>
      </c>
      <c r="C936" s="49">
        <f>(('Input and Output'!B$23*'Input and Output'!$B$10)+('Input and Output'!B$24*Calculations!$C$5)+('Input and Output'!B$25*Calculations!$C$6)+('Input and Output'!B$26*(IF('Input and Output'!D$7="Detritus",Calculations!$C$4,G936))-(SUM('Input and Output'!B$27:B$32))*H935))</f>
        <v>6.5095827608274703E-6</v>
      </c>
      <c r="D936" s="49">
        <f>(('Input and Output'!C$23*'Input and Output'!$B$10)+('Input and Output'!C$24*Calculations!$C$5)+('Input and Output'!C$25*Calculations!$C$6)+('Input and Output'!C$26*(IF('Input and Output'!E$7="Detritus",Calculations!$C$4,H936))-(SUM('Input and Output'!C$27:C$32))*I935))</f>
        <v>5.4156883379619103E-5</v>
      </c>
      <c r="E936" s="49">
        <f>(('Input and Output'!D$23*'Input and Output'!$B$10)+('Input and Output'!D$24*Calculations!$C$5)+('Input and Output'!D$25*Calculations!$C$6)+('Input and Output'!D$26*(IF('Input and Output'!F$7="Detritus",Calculations!$C$4,I936))-(SUM('Input and Output'!D$27:D$32))*J935))</f>
        <v>2.3523087293142453E-5</v>
      </c>
      <c r="F936" s="49" t="e">
        <f>(('Input and Output'!E$23*'Input and Output'!$B$10)+('Input and Output'!E$24*Calculations!$C$5)+('Input and Output'!E$25*Calculations!$C$6)+('Input and Output'!E$26*(IF('Input and Output'!G$7="Detritus",Calculations!$C$4,J936))-(SUM('Input and Output'!E$27:E$32))*K935))</f>
        <v>#N/A</v>
      </c>
      <c r="H936" s="49">
        <f>IF(H$2="",NA(),C936*$B936+H935)</f>
        <v>324480.77054499247</v>
      </c>
      <c r="I936" s="49">
        <f>IF(I$2="",NA(),D936*$B936+I935)</f>
        <v>2973162.3663211595</v>
      </c>
      <c r="J936" s="49">
        <f>IF(J$2="",NA(),E936*$B936+J935)</f>
        <v>1381886.9816747205</v>
      </c>
      <c r="K936" s="49" t="e">
        <f>IF(K$2="",NA(),F936*$B936+K935)</f>
        <v>#N/A</v>
      </c>
    </row>
    <row r="937" spans="1:11" x14ac:dyDescent="0.4">
      <c r="A937" s="49">
        <v>934</v>
      </c>
      <c r="B937" s="49">
        <f>A937/$B$1</f>
        <v>38.916666666666664</v>
      </c>
      <c r="C937" s="49">
        <f>(('Input and Output'!B$23*'Input and Output'!$B$10)+('Input and Output'!B$24*Calculations!$C$5)+('Input and Output'!B$25*Calculations!$C$6)+('Input and Output'!B$26*(IF('Input and Output'!D$7="Detritus",Calculations!$C$4,G937))-(SUM('Input and Output'!B$27:B$32))*H936))</f>
        <v>6.2656040427100379E-6</v>
      </c>
      <c r="D937" s="49">
        <f>(('Input and Output'!C$23*'Input and Output'!$B$10)+('Input and Output'!C$24*Calculations!$C$5)+('Input and Output'!C$25*Calculations!$C$6)+('Input and Output'!C$26*(IF('Input and Output'!E$7="Detritus",Calculations!$C$4,H937))-(SUM('Input and Output'!C$27:C$32))*I936))</f>
        <v>5.2124823923804797E-5</v>
      </c>
      <c r="E937" s="49">
        <f>(('Input and Output'!D$23*'Input and Output'!$B$10)+('Input and Output'!D$24*Calculations!$C$5)+('Input and Output'!D$25*Calculations!$C$6)+('Input and Output'!D$26*(IF('Input and Output'!F$7="Detritus",Calculations!$C$4,I937))-(SUM('Input and Output'!D$27:D$32))*J936))</f>
        <v>2.2629104933002964E-5</v>
      </c>
      <c r="F937" s="49" t="e">
        <f>(('Input and Output'!E$23*'Input and Output'!$B$10)+('Input and Output'!E$24*Calculations!$C$5)+('Input and Output'!E$25*Calculations!$C$6)+('Input and Output'!E$26*(IF('Input and Output'!G$7="Detritus",Calculations!$C$4,J937))-(SUM('Input and Output'!E$27:E$32))*K936))</f>
        <v>#N/A</v>
      </c>
      <c r="H937" s="49">
        <f>IF(H$2="",NA(),C937*$B937+H936)</f>
        <v>324480.7707888289</v>
      </c>
      <c r="I937" s="49">
        <f>IF(I$2="",NA(),D937*$B937+I936)</f>
        <v>2973162.3683496839</v>
      </c>
      <c r="J937" s="49">
        <f>IF(J$2="",NA(),E937*$B937+J936)</f>
        <v>1381886.9825553698</v>
      </c>
      <c r="K937" s="49" t="e">
        <f>IF(K$2="",NA(),F937*$B937+K936)</f>
        <v>#N/A</v>
      </c>
    </row>
    <row r="938" spans="1:11" x14ac:dyDescent="0.4">
      <c r="A938" s="49">
        <v>935</v>
      </c>
      <c r="B938" s="49">
        <f>A938/$B$1</f>
        <v>38.958333333333336</v>
      </c>
      <c r="C938" s="49">
        <f>(('Input and Output'!B$23*'Input and Output'!$B$10)+('Input and Output'!B$24*Calculations!$C$5)+('Input and Output'!B$25*Calculations!$C$6)+('Input and Output'!B$26*(IF('Input and Output'!D$7="Detritus",Calculations!$C$4,G938))-(SUM('Input and Output'!B$27:B$32))*H937))</f>
        <v>6.0305179090391903E-6</v>
      </c>
      <c r="D938" s="49">
        <f>(('Input and Output'!C$23*'Input and Output'!$B$10)+('Input and Output'!C$24*Calculations!$C$5)+('Input and Output'!C$25*Calculations!$C$6)+('Input and Output'!C$26*(IF('Input and Output'!E$7="Detritus",Calculations!$C$4,H938))-(SUM('Input and Output'!C$27:C$32))*I937))</f>
        <v>5.016691648052074E-5</v>
      </c>
      <c r="E938" s="49">
        <f>(('Input and Output'!D$23*'Input and Output'!$B$10)+('Input and Output'!D$24*Calculations!$C$5)+('Input and Output'!D$25*Calculations!$C$6)+('Input and Output'!D$26*(IF('Input and Output'!F$7="Detritus",Calculations!$C$4,I938))-(SUM('Input and Output'!D$27:D$32))*J937))</f>
        <v>2.1790448954561725E-5</v>
      </c>
      <c r="F938" s="49" t="e">
        <f>(('Input and Output'!E$23*'Input and Output'!$B$10)+('Input and Output'!E$24*Calculations!$C$5)+('Input and Output'!E$25*Calculations!$C$6)+('Input and Output'!E$26*(IF('Input and Output'!G$7="Detritus",Calculations!$C$4,J938))-(SUM('Input and Output'!E$27:E$32))*K937))</f>
        <v>#N/A</v>
      </c>
      <c r="H938" s="49">
        <f>IF(H$2="",NA(),C938*$B938+H937)</f>
        <v>324480.77102376783</v>
      </c>
      <c r="I938" s="49">
        <f>IF(I$2="",NA(),D938*$B938+I937)</f>
        <v>2973162.3703041035</v>
      </c>
      <c r="J938" s="49">
        <f>IF(J$2="",NA(),E938*$B938+J937)</f>
        <v>1381886.9834042895</v>
      </c>
      <c r="K938" s="49" t="e">
        <f>IF(K$2="",NA(),F938*$B938+K937)</f>
        <v>#N/A</v>
      </c>
    </row>
    <row r="939" spans="1:11" x14ac:dyDescent="0.4">
      <c r="A939" s="49">
        <v>936</v>
      </c>
      <c r="B939" s="49">
        <f>A939/$B$1</f>
        <v>39</v>
      </c>
      <c r="C939" s="49">
        <f>(('Input and Output'!B$23*'Input and Output'!$B$10)+('Input and Output'!B$24*Calculations!$C$5)+('Input and Output'!B$25*Calculations!$C$6)+('Input and Output'!B$26*(IF('Input and Output'!D$7="Detritus",Calculations!$C$4,G939))-(SUM('Input and Output'!B$27:B$32))*H938))</f>
        <v>5.8040099588652083E-6</v>
      </c>
      <c r="D939" s="49">
        <f>(('Input and Output'!C$23*'Input and Output'!$B$10)+('Input and Output'!C$24*Calculations!$C$5)+('Input and Output'!C$25*Calculations!$C$6)+('Input and Output'!C$26*(IF('Input and Output'!E$7="Detritus",Calculations!$C$4,H939))-(SUM('Input and Output'!C$27:C$32))*I938))</f>
        <v>4.828053897654172E-5</v>
      </c>
      <c r="E939" s="49">
        <f>(('Input and Output'!D$23*'Input and Output'!$B$10)+('Input and Output'!D$24*Calculations!$C$5)+('Input and Output'!D$25*Calculations!$C$6)+('Input and Output'!D$26*(IF('Input and Output'!F$7="Detritus",Calculations!$C$4,I939))-(SUM('Input and Output'!D$27:D$32))*J938))</f>
        <v>2.0955663785571232E-5</v>
      </c>
      <c r="F939" s="49" t="e">
        <f>(('Input and Output'!E$23*'Input and Output'!$B$10)+('Input and Output'!E$24*Calculations!$C$5)+('Input and Output'!E$25*Calculations!$C$6)+('Input and Output'!E$26*(IF('Input and Output'!G$7="Detritus",Calculations!$C$4,J939))-(SUM('Input and Output'!E$27:E$32))*K938))</f>
        <v>#N/A</v>
      </c>
      <c r="H939" s="49">
        <f>IF(H$2="",NA(),C939*$B939+H938)</f>
        <v>324480.77125012421</v>
      </c>
      <c r="I939" s="49">
        <f>IF(I$2="",NA(),D939*$B939+I938)</f>
        <v>2973162.3721870445</v>
      </c>
      <c r="J939" s="49">
        <f>IF(J$2="",NA(),E939*$B939+J938)</f>
        <v>1381886.9842215604</v>
      </c>
      <c r="K939" s="49" t="e">
        <f>IF(K$2="",NA(),F939*$B939+K938)</f>
        <v>#N/A</v>
      </c>
    </row>
    <row r="940" spans="1:11" x14ac:dyDescent="0.4">
      <c r="A940" s="49">
        <v>937</v>
      </c>
      <c r="B940" s="49">
        <f>A940/$B$1</f>
        <v>39.041666666666664</v>
      </c>
      <c r="C940" s="49">
        <f>(('Input and Output'!B$23*'Input and Output'!$B$10)+('Input and Output'!B$24*Calculations!$C$5)+('Input and Output'!B$25*Calculations!$C$6)+('Input and Output'!B$26*(IF('Input and Output'!D$7="Detritus",Calculations!$C$4,G940))-(SUM('Input and Output'!B$27:B$32))*H939))</f>
        <v>5.5857765914879565E-6</v>
      </c>
      <c r="D940" s="49">
        <f>(('Input and Output'!C$23*'Input and Output'!$B$10)+('Input and Output'!C$24*Calculations!$C$5)+('Input and Output'!C$25*Calculations!$C$6)+('Input and Output'!C$26*(IF('Input and Output'!E$7="Detritus",Calculations!$C$4,H940))-(SUM('Input and Output'!C$27:C$32))*I939))</f>
        <v>4.6463152102660388E-5</v>
      </c>
      <c r="E940" s="49">
        <f>(('Input and Output'!D$23*'Input and Output'!$B$10)+('Input and Output'!D$24*Calculations!$C$5)+('Input and Output'!D$25*Calculations!$C$6)+('Input and Output'!D$26*(IF('Input and Output'!F$7="Detritus",Calculations!$C$4,I940))-(SUM('Input and Output'!D$27:D$32))*J939))</f>
        <v>2.0183175365673378E-5</v>
      </c>
      <c r="F940" s="49" t="e">
        <f>(('Input and Output'!E$23*'Input and Output'!$B$10)+('Input and Output'!E$24*Calculations!$C$5)+('Input and Output'!E$25*Calculations!$C$6)+('Input and Output'!E$26*(IF('Input and Output'!G$7="Detritus",Calculations!$C$4,J940))-(SUM('Input and Output'!E$27:E$32))*K939))</f>
        <v>#N/A</v>
      </c>
      <c r="H940" s="49">
        <f>IF(H$2="",NA(),C940*$B940+H939)</f>
        <v>324480.77146820223</v>
      </c>
      <c r="I940" s="49">
        <f>IF(I$2="",NA(),D940*$B940+I939)</f>
        <v>2973162.3740010434</v>
      </c>
      <c r="J940" s="49">
        <f>IF(J$2="",NA(),E940*$B940+J939)</f>
        <v>1381886.9850095452</v>
      </c>
      <c r="K940" s="49" t="e">
        <f>IF(K$2="",NA(),F940*$B940+K939)</f>
        <v>#N/A</v>
      </c>
    </row>
    <row r="941" spans="1:11" x14ac:dyDescent="0.4">
      <c r="A941" s="49">
        <v>938</v>
      </c>
      <c r="B941" s="49">
        <f>A941/$B$1</f>
        <v>39.083333333333336</v>
      </c>
      <c r="C941" s="49">
        <f>(('Input and Output'!B$23*'Input and Output'!$B$10)+('Input and Output'!B$24*Calculations!$C$5)+('Input and Output'!B$25*Calculations!$C$6)+('Input and Output'!B$26*(IF('Input and Output'!D$7="Detritus",Calculations!$C$4,G941))-(SUM('Input and Output'!B$27:B$32))*H940))</f>
        <v>5.3755244948661129E-6</v>
      </c>
      <c r="D941" s="49">
        <f>(('Input and Output'!C$23*'Input and Output'!$B$10)+('Input and Output'!C$24*Calculations!$C$5)+('Input and Output'!C$25*Calculations!$C$6)+('Input and Output'!C$26*(IF('Input and Output'!E$7="Detritus",Calculations!$C$4,H941))-(SUM('Input and Output'!C$27:C$32))*I940))</f>
        <v>4.4712310227623675E-5</v>
      </c>
      <c r="E941" s="49">
        <f>(('Input and Output'!D$23*'Input and Output'!$B$10)+('Input and Output'!D$24*Calculations!$C$5)+('Input and Output'!D$25*Calculations!$C$6)+('Input and Output'!D$26*(IF('Input and Output'!F$7="Detritus",Calculations!$C$4,I941))-(SUM('Input and Output'!D$27:D$32))*J940))</f>
        <v>1.9401388271944597E-5</v>
      </c>
      <c r="F941" s="49" t="e">
        <f>(('Input and Output'!E$23*'Input and Output'!$B$10)+('Input and Output'!E$24*Calculations!$C$5)+('Input and Output'!E$25*Calculations!$C$6)+('Input and Output'!E$26*(IF('Input and Output'!G$7="Detritus",Calculations!$C$4,J941))-(SUM('Input and Output'!E$27:E$32))*K940))</f>
        <v>#N/A</v>
      </c>
      <c r="H941" s="49">
        <f>IF(H$2="",NA(),C941*$B941+H940)</f>
        <v>324480.77167829563</v>
      </c>
      <c r="I941" s="49">
        <f>IF(I$2="",NA(),D941*$B941+I940)</f>
        <v>2973162.3757485496</v>
      </c>
      <c r="J941" s="49">
        <f>IF(J$2="",NA(),E941*$B941+J940)</f>
        <v>1381886.9857678162</v>
      </c>
      <c r="K941" s="49" t="e">
        <f>IF(K$2="",NA(),F941*$B941+K940)</f>
        <v>#N/A</v>
      </c>
    </row>
    <row r="942" spans="1:11" x14ac:dyDescent="0.4">
      <c r="A942" s="49">
        <v>939</v>
      </c>
      <c r="B942" s="49">
        <f>A942/$B$1</f>
        <v>39.125</v>
      </c>
      <c r="C942" s="49">
        <f>(('Input and Output'!B$23*'Input and Output'!$B$10)+('Input and Output'!B$24*Calculations!$C$5)+('Input and Output'!B$25*Calculations!$C$6)+('Input and Output'!B$26*(IF('Input and Output'!D$7="Detritus",Calculations!$C$4,G942))-(SUM('Input and Output'!B$27:B$32))*H941))</f>
        <v>5.1729704750869132E-6</v>
      </c>
      <c r="D942" s="49">
        <f>(('Input and Output'!C$23*'Input and Output'!$B$10)+('Input and Output'!C$24*Calculations!$C$5)+('Input and Output'!C$25*Calculations!$C$6)+('Input and Output'!C$26*(IF('Input and Output'!E$7="Detritus",Calculations!$C$4,H942))-(SUM('Input and Output'!C$27:C$32))*I941))</f>
        <v>4.3025645936722867E-5</v>
      </c>
      <c r="E942" s="49">
        <f>(('Input and Output'!D$23*'Input and Output'!$B$10)+('Input and Output'!D$24*Calculations!$C$5)+('Input and Output'!D$25*Calculations!$C$6)+('Input and Output'!D$26*(IF('Input and Output'!F$7="Detritus",Calculations!$C$4,I942))-(SUM('Input and Output'!D$27:D$32))*J941))</f>
        <v>1.8692986486712471E-5</v>
      </c>
      <c r="F942" s="49" t="e">
        <f>(('Input and Output'!E$23*'Input and Output'!$B$10)+('Input and Output'!E$24*Calculations!$C$5)+('Input and Output'!E$25*Calculations!$C$6)+('Input and Output'!E$26*(IF('Input and Output'!G$7="Detritus",Calculations!$C$4,J942))-(SUM('Input and Output'!E$27:E$32))*K941))</f>
        <v>#N/A</v>
      </c>
      <c r="H942" s="49">
        <f>IF(H$2="",NA(),C942*$B942+H941)</f>
        <v>324480.77188068809</v>
      </c>
      <c r="I942" s="49">
        <f>IF(I$2="",NA(),D942*$B942+I941)</f>
        <v>2973162.3774319282</v>
      </c>
      <c r="J942" s="49">
        <f>IF(J$2="",NA(),E942*$B942+J941)</f>
        <v>1381886.9864991794</v>
      </c>
      <c r="K942" s="49" t="e">
        <f>IF(K$2="",NA(),F942*$B942+K941)</f>
        <v>#N/A</v>
      </c>
    </row>
    <row r="943" spans="1:11" x14ac:dyDescent="0.4">
      <c r="A943" s="49">
        <v>940</v>
      </c>
      <c r="B943" s="49">
        <f>A943/$B$1</f>
        <v>39.166666666666664</v>
      </c>
      <c r="C943" s="49">
        <f>(('Input and Output'!B$23*'Input and Output'!$B$10)+('Input and Output'!B$24*Calculations!$C$5)+('Input and Output'!B$25*Calculations!$C$6)+('Input and Output'!B$26*(IF('Input and Output'!D$7="Detritus",Calculations!$C$4,G943))-(SUM('Input and Output'!B$27:B$32))*H942))</f>
        <v>4.9778410584622179E-6</v>
      </c>
      <c r="D943" s="49">
        <f>(('Input and Output'!C$23*'Input and Output'!$B$10)+('Input and Output'!C$24*Calculations!$C$5)+('Input and Output'!C$25*Calculations!$C$6)+('Input and Output'!C$26*(IF('Input and Output'!E$7="Detritus",Calculations!$C$4,H943))-(SUM('Input and Output'!C$27:C$32))*I942))</f>
        <v>4.1400880945730023E-5</v>
      </c>
      <c r="E943" s="49">
        <f>(('Input and Output'!D$23*'Input and Output'!$B$10)+('Input and Output'!D$24*Calculations!$C$5)+('Input and Output'!D$25*Calculations!$C$6)+('Input and Output'!D$26*(IF('Input and Output'!F$7="Detritus",Calculations!$C$4,I943))-(SUM('Input and Output'!D$27:D$32))*J942))</f>
        <v>1.7957387171918526E-5</v>
      </c>
      <c r="F943" s="49" t="e">
        <f>(('Input and Output'!E$23*'Input and Output'!$B$10)+('Input and Output'!E$24*Calculations!$C$5)+('Input and Output'!E$25*Calculations!$C$6)+('Input and Output'!E$26*(IF('Input and Output'!G$7="Detritus",Calculations!$C$4,J943))-(SUM('Input and Output'!E$27:E$32))*K942))</f>
        <v>#N/A</v>
      </c>
      <c r="H943" s="49">
        <f>IF(H$2="",NA(),C943*$B943+H942)</f>
        <v>324480.77207565354</v>
      </c>
      <c r="I943" s="49">
        <f>IF(I$2="",NA(),D943*$B943+I942)</f>
        <v>2973162.3790534628</v>
      </c>
      <c r="J943" s="49">
        <f>IF(J$2="",NA(),E943*$B943+J942)</f>
        <v>1381886.9872025105</v>
      </c>
      <c r="K943" s="49" t="e">
        <f>IF(K$2="",NA(),F943*$B943+K942)</f>
        <v>#N/A</v>
      </c>
    </row>
    <row r="944" spans="1:11" x14ac:dyDescent="0.4">
      <c r="A944" s="49">
        <v>941</v>
      </c>
      <c r="B944" s="49">
        <f>A944/$B$1</f>
        <v>39.208333333333336</v>
      </c>
      <c r="C944" s="49">
        <f>(('Input and Output'!B$23*'Input and Output'!$B$10)+('Input and Output'!B$24*Calculations!$C$5)+('Input and Output'!B$25*Calculations!$C$6)+('Input and Output'!B$26*(IF('Input and Output'!D$7="Detritus",Calculations!$C$4,G944))-(SUM('Input and Output'!B$27:B$32))*H943))</f>
        <v>4.7898720936245809E-6</v>
      </c>
      <c r="D944" s="49">
        <f>(('Input and Output'!C$23*'Input and Output'!$B$10)+('Input and Output'!C$24*Calculations!$C$5)+('Input and Output'!C$25*Calculations!$C$6)+('Input and Output'!C$26*(IF('Input and Output'!E$7="Detritus",Calculations!$C$4,H944))-(SUM('Input and Output'!C$27:C$32))*I943))</f>
        <v>3.983580791100394E-5</v>
      </c>
      <c r="E944" s="49">
        <f>(('Input and Output'!D$23*'Input and Output'!$B$10)+('Input and Output'!D$24*Calculations!$C$5)+('Input and Output'!D$25*Calculations!$C$6)+('Input and Output'!D$26*(IF('Input and Output'!F$7="Detritus",Calculations!$C$4,I944))-(SUM('Input and Output'!D$27:D$32))*J943))</f>
        <v>1.7312344425590709E-5</v>
      </c>
      <c r="F944" s="49" t="e">
        <f>(('Input and Output'!E$23*'Input and Output'!$B$10)+('Input and Output'!E$24*Calculations!$C$5)+('Input and Output'!E$25*Calculations!$C$6)+('Input and Output'!E$26*(IF('Input and Output'!G$7="Detritus",Calculations!$C$4,J944))-(SUM('Input and Output'!E$27:E$32))*K943))</f>
        <v>#N/A</v>
      </c>
      <c r="H944" s="49">
        <f>IF(H$2="",NA(),C944*$B944+H943)</f>
        <v>324480.77226345643</v>
      </c>
      <c r="I944" s="49">
        <f>IF(I$2="",NA(),D944*$B944+I943)</f>
        <v>2973162.3806153582</v>
      </c>
      <c r="J944" s="49">
        <f>IF(J$2="",NA(),E944*$B944+J943)</f>
        <v>1381886.9878812986</v>
      </c>
      <c r="K944" s="49" t="e">
        <f>IF(K$2="",NA(),F944*$B944+K943)</f>
        <v>#N/A</v>
      </c>
    </row>
    <row r="945" spans="1:11" x14ac:dyDescent="0.4">
      <c r="A945" s="49">
        <v>942</v>
      </c>
      <c r="B945" s="49">
        <f>A945/$B$1</f>
        <v>39.25</v>
      </c>
      <c r="C945" s="49">
        <f>(('Input and Output'!B$23*'Input and Output'!$B$10)+('Input and Output'!B$24*Calculations!$C$5)+('Input and Output'!B$25*Calculations!$C$6)+('Input and Output'!B$26*(IF('Input and Output'!D$7="Detritus",Calculations!$C$4,G945))-(SUM('Input and Output'!B$27:B$32))*H944))</f>
        <v>4.6088086946838303E-6</v>
      </c>
      <c r="D945" s="49">
        <f>(('Input and Output'!C$23*'Input and Output'!$B$10)+('Input and Output'!C$24*Calculations!$C$5)+('Input and Output'!C$25*Calculations!$C$6)+('Input and Output'!C$26*(IF('Input and Output'!E$7="Detritus",Calculations!$C$4,H945))-(SUM('Input and Output'!C$27:C$32))*I944))</f>
        <v>3.8328298614942469E-5</v>
      </c>
      <c r="E945" s="49">
        <f>(('Input and Output'!D$23*'Input and Output'!$B$10)+('Input and Output'!D$24*Calculations!$C$5)+('Input and Output'!D$25*Calculations!$C$6)+('Input and Output'!D$26*(IF('Input and Output'!F$7="Detritus",Calculations!$C$4,I945))-(SUM('Input and Output'!D$27:D$32))*J944))</f>
        <v>1.6615147615084425E-5</v>
      </c>
      <c r="F945" s="49" t="e">
        <f>(('Input and Output'!E$23*'Input and Output'!$B$10)+('Input and Output'!E$24*Calculations!$C$5)+('Input and Output'!E$25*Calculations!$C$6)+('Input and Output'!E$26*(IF('Input and Output'!G$7="Detritus",Calculations!$C$4,J945))-(SUM('Input and Output'!E$27:E$32))*K944))</f>
        <v>#N/A</v>
      </c>
      <c r="H945" s="49">
        <f>IF(H$2="",NA(),C945*$B945+H944)</f>
        <v>324480.77244435216</v>
      </c>
      <c r="I945" s="49">
        <f>IF(I$2="",NA(),D945*$B945+I944)</f>
        <v>2973162.3821197441</v>
      </c>
      <c r="J945" s="49">
        <f>IF(J$2="",NA(),E945*$B945+J944)</f>
        <v>1381886.9885334431</v>
      </c>
      <c r="K945" s="49" t="e">
        <f>IF(K$2="",NA(),F945*$B945+K944)</f>
        <v>#N/A</v>
      </c>
    </row>
    <row r="946" spans="1:11" x14ac:dyDescent="0.4">
      <c r="A946" s="49">
        <v>943</v>
      </c>
      <c r="B946" s="49">
        <f>A946/$B$1</f>
        <v>39.291666666666664</v>
      </c>
      <c r="C946" s="49">
        <f>(('Input and Output'!B$23*'Input and Output'!$B$10)+('Input and Output'!B$24*Calculations!$C$5)+('Input and Output'!B$25*Calculations!$C$6)+('Input and Output'!B$26*(IF('Input and Output'!D$7="Detritus",Calculations!$C$4,G946))-(SUM('Input and Output'!B$27:B$32))*H945))</f>
        <v>4.4344045591060421E-6</v>
      </c>
      <c r="D946" s="49">
        <f>(('Input and Output'!C$23*'Input and Output'!$B$10)+('Input and Output'!C$24*Calculations!$C$5)+('Input and Output'!C$25*Calculations!$C$6)+('Input and Output'!C$26*(IF('Input and Output'!E$7="Detritus",Calculations!$C$4,H946))-(SUM('Input and Output'!C$27:C$32))*I945))</f>
        <v>3.6876299418509007E-5</v>
      </c>
      <c r="E946" s="49">
        <f>(('Input and Output'!D$23*'Input and Output'!$B$10)+('Input and Output'!D$24*Calculations!$C$5)+('Input and Output'!D$25*Calculations!$C$6)+('Input and Output'!D$26*(IF('Input and Output'!F$7="Detritus",Calculations!$C$4,I946))-(SUM('Input and Output'!D$27:D$32))*J945))</f>
        <v>1.6034598957048729E-5</v>
      </c>
      <c r="F946" s="49" t="e">
        <f>(('Input and Output'!E$23*'Input and Output'!$B$10)+('Input and Output'!E$24*Calculations!$C$5)+('Input and Output'!E$25*Calculations!$C$6)+('Input and Output'!E$26*(IF('Input and Output'!G$7="Detritus",Calculations!$C$4,J946))-(SUM('Input and Output'!E$27:E$32))*K945))</f>
        <v>#N/A</v>
      </c>
      <c r="H946" s="49">
        <f>IF(H$2="",NA(),C946*$B946+H945)</f>
        <v>324480.7726185873</v>
      </c>
      <c r="I946" s="49">
        <f>IF(I$2="",NA(),D946*$B946+I945)</f>
        <v>2973162.3835686753</v>
      </c>
      <c r="J946" s="49">
        <f>IF(J$2="",NA(),E946*$B946+J945)</f>
        <v>1381886.9891634693</v>
      </c>
      <c r="K946" s="49" t="e">
        <f>IF(K$2="",NA(),F946*$B946+K945)</f>
        <v>#N/A</v>
      </c>
    </row>
    <row r="947" spans="1:11" x14ac:dyDescent="0.4">
      <c r="A947" s="49">
        <v>944</v>
      </c>
      <c r="B947" s="49">
        <f>A947/$B$1</f>
        <v>39.333333333333336</v>
      </c>
      <c r="C947" s="49">
        <f>(('Input and Output'!B$23*'Input and Output'!$B$10)+('Input and Output'!B$24*Calculations!$C$5)+('Input and Output'!B$25*Calculations!$C$6)+('Input and Output'!B$26*(IF('Input and Output'!D$7="Detritus",Calculations!$C$4,G947))-(SUM('Input and Output'!B$27:B$32))*H946))</f>
        <v>4.2664220245569595E-6</v>
      </c>
      <c r="D947" s="49">
        <f>(('Input and Output'!C$23*'Input and Output'!$B$10)+('Input and Output'!C$24*Calculations!$C$5)+('Input and Output'!C$25*Calculations!$C$6)+('Input and Output'!C$26*(IF('Input and Output'!E$7="Detritus",Calculations!$C$4,H947))-(SUM('Input and Output'!C$27:C$32))*I946))</f>
        <v>3.5477825804264285E-5</v>
      </c>
      <c r="E947" s="49">
        <f>(('Input and Output'!D$23*'Input and Output'!$B$10)+('Input and Output'!D$24*Calculations!$C$5)+('Input and Output'!D$25*Calculations!$C$6)+('Input and Output'!D$26*(IF('Input and Output'!F$7="Detritus",Calculations!$C$4,I947))-(SUM('Input and Output'!D$27:D$32))*J946))</f>
        <v>1.5366287698270753E-5</v>
      </c>
      <c r="F947" s="49" t="e">
        <f>(('Input and Output'!E$23*'Input and Output'!$B$10)+('Input and Output'!E$24*Calculations!$C$5)+('Input and Output'!E$25*Calculations!$C$6)+('Input and Output'!E$26*(IF('Input and Output'!G$7="Detritus",Calculations!$C$4,J947))-(SUM('Input and Output'!E$27:E$32))*K946))</f>
        <v>#N/A</v>
      </c>
      <c r="H947" s="49">
        <f>IF(H$2="",NA(),C947*$B947+H946)</f>
        <v>324480.77278639993</v>
      </c>
      <c r="I947" s="49">
        <f>IF(I$2="",NA(),D947*$B947+I946)</f>
        <v>2973162.3849641364</v>
      </c>
      <c r="J947" s="49">
        <f>IF(J$2="",NA(),E947*$B947+J946)</f>
        <v>1381886.9897678767</v>
      </c>
      <c r="K947" s="49" t="e">
        <f>IF(K$2="",NA(),F947*$B947+K946)</f>
        <v>#N/A</v>
      </c>
    </row>
    <row r="948" spans="1:11" x14ac:dyDescent="0.4">
      <c r="A948" s="49">
        <v>945</v>
      </c>
      <c r="B948" s="49">
        <f>A948/$B$1</f>
        <v>39.375</v>
      </c>
      <c r="C948" s="49">
        <f>(('Input and Output'!B$23*'Input and Output'!$B$10)+('Input and Output'!B$24*Calculations!$C$5)+('Input and Output'!B$25*Calculations!$C$6)+('Input and Output'!B$26*(IF('Input and Output'!D$7="Detritus",Calculations!$C$4,G948))-(SUM('Input and Output'!B$27:B$32))*H947))</f>
        <v>4.1046315004678036E-6</v>
      </c>
      <c r="D948" s="49">
        <f>(('Input and Output'!C$23*'Input and Output'!$B$10)+('Input and Output'!C$24*Calculations!$C$5)+('Input and Output'!C$25*Calculations!$C$6)+('Input and Output'!C$26*(IF('Input and Output'!E$7="Detritus",Calculations!$C$4,H948))-(SUM('Input and Output'!C$27:C$32))*I947))</f>
        <v>3.4130962376366369E-5</v>
      </c>
      <c r="E948" s="49">
        <f>(('Input and Output'!D$23*'Input and Output'!$B$10)+('Input and Output'!D$24*Calculations!$C$5)+('Input and Output'!D$25*Calculations!$C$6)+('Input and Output'!D$26*(IF('Input and Output'!F$7="Detritus",Calculations!$C$4,I948))-(SUM('Input and Output'!D$27:D$32))*J947))</f>
        <v>1.4854002074571326E-5</v>
      </c>
      <c r="F948" s="49" t="e">
        <f>(('Input and Output'!E$23*'Input and Output'!$B$10)+('Input and Output'!E$24*Calculations!$C$5)+('Input and Output'!E$25*Calculations!$C$6)+('Input and Output'!E$26*(IF('Input and Output'!G$7="Detritus",Calculations!$C$4,J948))-(SUM('Input and Output'!E$27:E$32))*K947))</f>
        <v>#N/A</v>
      </c>
      <c r="H948" s="49">
        <f>IF(H$2="",NA(),C948*$B948+H947)</f>
        <v>324480.77294801979</v>
      </c>
      <c r="I948" s="49">
        <f>IF(I$2="",NA(),D948*$B948+I947)</f>
        <v>2973162.3863080433</v>
      </c>
      <c r="J948" s="49">
        <f>IF(J$2="",NA(),E948*$B948+J947)</f>
        <v>1381886.9903527531</v>
      </c>
      <c r="K948" s="49" t="e">
        <f>IF(K$2="",NA(),F948*$B948+K947)</f>
        <v>#N/A</v>
      </c>
    </row>
    <row r="949" spans="1:11" x14ac:dyDescent="0.4">
      <c r="A949" s="49">
        <v>946</v>
      </c>
      <c r="B949" s="49">
        <f>A949/$B$1</f>
        <v>39.416666666666664</v>
      </c>
      <c r="C949" s="49">
        <f>(('Input and Output'!B$23*'Input and Output'!$B$10)+('Input and Output'!B$24*Calculations!$C$5)+('Input and Output'!B$25*Calculations!$C$6)+('Input and Output'!B$26*(IF('Input and Output'!D$7="Detritus",Calculations!$C$4,G949))-(SUM('Input and Output'!B$27:B$32))*H948))</f>
        <v>3.9488115248786926E-6</v>
      </c>
      <c r="D949" s="49">
        <f>(('Input and Output'!C$23*'Input and Output'!$B$10)+('Input and Output'!C$24*Calculations!$C$5)+('Input and Output'!C$25*Calculations!$C$6)+('Input and Output'!C$26*(IF('Input and Output'!E$7="Detritus",Calculations!$C$4,H949))-(SUM('Input and Output'!C$27:C$32))*I948))</f>
        <v>3.2833857403602451E-5</v>
      </c>
      <c r="E949" s="49">
        <f>(('Input and Output'!D$23*'Input and Output'!$B$10)+('Input and Output'!D$24*Calculations!$C$5)+('Input and Output'!D$25*Calculations!$C$6)+('Input and Output'!D$26*(IF('Input and Output'!F$7="Detritus",Calculations!$C$4,I949))-(SUM('Input and Output'!D$27:D$32))*J948))</f>
        <v>1.4202367310645059E-5</v>
      </c>
      <c r="F949" s="49" t="e">
        <f>(('Input and Output'!E$23*'Input and Output'!$B$10)+('Input and Output'!E$24*Calculations!$C$5)+('Input and Output'!E$25*Calculations!$C$6)+('Input and Output'!E$26*(IF('Input and Output'!G$7="Detritus",Calculations!$C$4,J949))-(SUM('Input and Output'!E$27:E$32))*K948))</f>
        <v>#N/A</v>
      </c>
      <c r="H949" s="49">
        <f>IF(H$2="",NA(),C949*$B949+H948)</f>
        <v>324480.77310366876</v>
      </c>
      <c r="I949" s="49">
        <f>IF(I$2="",NA(),D949*$B949+I948)</f>
        <v>2973162.3876022445</v>
      </c>
      <c r="J949" s="49">
        <f>IF(J$2="",NA(),E949*$B949+J948)</f>
        <v>1381886.9909125632</v>
      </c>
      <c r="K949" s="49" t="e">
        <f>IF(K$2="",NA(),F949*$B949+K948)</f>
        <v>#N/A</v>
      </c>
    </row>
    <row r="950" spans="1:11" x14ac:dyDescent="0.4">
      <c r="A950" s="49">
        <v>947</v>
      </c>
      <c r="B950" s="49">
        <f>A950/$B$1</f>
        <v>39.458333333333336</v>
      </c>
      <c r="C950" s="49">
        <f>(('Input and Output'!B$23*'Input and Output'!$B$10)+('Input and Output'!B$24*Calculations!$C$5)+('Input and Output'!B$25*Calculations!$C$6)+('Input and Output'!B$26*(IF('Input and Output'!D$7="Detritus",Calculations!$C$4,G950))-(SUM('Input and Output'!B$27:B$32))*H949))</f>
        <v>3.7987481391610345E-6</v>
      </c>
      <c r="D950" s="49">
        <f>(('Input and Output'!C$23*'Input and Output'!$B$10)+('Input and Output'!C$24*Calculations!$C$5)+('Input and Output'!C$25*Calculations!$C$6)+('Input and Output'!C$26*(IF('Input and Output'!E$7="Detritus",Calculations!$C$4,H950))-(SUM('Input and Output'!C$27:C$32))*I949))</f>
        <v>3.1584729185851756E-5</v>
      </c>
      <c r="E950" s="49">
        <f>(('Input and Output'!D$23*'Input and Output'!$B$10)+('Input and Output'!D$24*Calculations!$C$5)+('Input and Output'!D$25*Calculations!$C$6)+('Input and Output'!D$26*(IF('Input and Output'!F$7="Detritus",Calculations!$C$4,I950))-(SUM('Input and Output'!D$27:D$32))*J949))</f>
        <v>1.3766028132522479E-5</v>
      </c>
      <c r="F950" s="49" t="e">
        <f>(('Input and Output'!E$23*'Input and Output'!$B$10)+('Input and Output'!E$24*Calculations!$C$5)+('Input and Output'!E$25*Calculations!$C$6)+('Input and Output'!E$26*(IF('Input and Output'!G$7="Detritus",Calculations!$C$4,J950))-(SUM('Input and Output'!E$27:E$32))*K949))</f>
        <v>#N/A</v>
      </c>
      <c r="H950" s="49">
        <f>IF(H$2="",NA(),C950*$B950+H949)</f>
        <v>324480.77325356106</v>
      </c>
      <c r="I950" s="49">
        <f>IF(I$2="",NA(),D950*$B950+I949)</f>
        <v>2973162.3888485255</v>
      </c>
      <c r="J950" s="49">
        <f>IF(J$2="",NA(),E950*$B950+J949)</f>
        <v>1381886.9914557477</v>
      </c>
      <c r="K950" s="49" t="e">
        <f>IF(K$2="",NA(),F950*$B950+K949)</f>
        <v>#N/A</v>
      </c>
    </row>
    <row r="951" spans="1:11" x14ac:dyDescent="0.4">
      <c r="A951" s="49">
        <v>948</v>
      </c>
      <c r="B951" s="49">
        <f>A951/$B$1</f>
        <v>39.5</v>
      </c>
      <c r="C951" s="49">
        <f>(('Input and Output'!B$23*'Input and Output'!$B$10)+('Input and Output'!B$24*Calculations!$C$5)+('Input and Output'!B$25*Calculations!$C$6)+('Input and Output'!B$26*(IF('Input and Output'!D$7="Detritus",Calculations!$C$4,G951))-(SUM('Input and Output'!B$27:B$32))*H950))</f>
        <v>3.654234831174108E-6</v>
      </c>
      <c r="D951" s="49">
        <f>(('Input and Output'!C$23*'Input and Output'!$B$10)+('Input and Output'!C$24*Calculations!$C$5)+('Input and Output'!C$25*Calculations!$C$6)+('Input and Output'!C$26*(IF('Input and Output'!E$7="Detritus",Calculations!$C$4,H951))-(SUM('Input and Output'!C$27:C$32))*I950))</f>
        <v>3.0381853321159724E-5</v>
      </c>
      <c r="E951" s="49">
        <f>(('Input and Output'!D$23*'Input and Output'!$B$10)+('Input and Output'!D$24*Calculations!$C$5)+('Input and Output'!D$25*Calculations!$C$6)+('Input and Output'!D$26*(IF('Input and Output'!F$7="Detritus",Calculations!$C$4,I951))-(SUM('Input and Output'!D$27:D$32))*J950))</f>
        <v>1.3114597095409408E-5</v>
      </c>
      <c r="F951" s="49" t="e">
        <f>(('Input and Output'!E$23*'Input and Output'!$B$10)+('Input and Output'!E$24*Calculations!$C$5)+('Input and Output'!E$25*Calculations!$C$6)+('Input and Output'!E$26*(IF('Input and Output'!G$7="Detritus",Calculations!$C$4,J951))-(SUM('Input and Output'!E$27:E$32))*K950))</f>
        <v>#N/A</v>
      </c>
      <c r="H951" s="49">
        <f>IF(H$2="",NA(),C951*$B951+H950)</f>
        <v>324480.77339790331</v>
      </c>
      <c r="I951" s="49">
        <f>IF(I$2="",NA(),D951*$B951+I950)</f>
        <v>2973162.3900486086</v>
      </c>
      <c r="J951" s="49">
        <f>IF(J$2="",NA(),E951*$B951+J950)</f>
        <v>1381886.9919737743</v>
      </c>
      <c r="K951" s="49" t="e">
        <f>IF(K$2="",NA(),F951*$B951+K950)</f>
        <v>#N/A</v>
      </c>
    </row>
    <row r="952" spans="1:11" x14ac:dyDescent="0.4">
      <c r="A952" s="49">
        <v>949</v>
      </c>
      <c r="B952" s="49">
        <f>A952/$B$1</f>
        <v>39.541666666666664</v>
      </c>
      <c r="C952" s="49">
        <f>(('Input and Output'!B$23*'Input and Output'!$B$10)+('Input and Output'!B$24*Calculations!$C$5)+('Input and Output'!B$25*Calculations!$C$6)+('Input and Output'!B$26*(IF('Input and Output'!D$7="Detritus",Calculations!$C$4,G952))-(SUM('Input and Output'!B$27:B$32))*H951))</f>
        <v>3.5150724784216436E-6</v>
      </c>
      <c r="D952" s="49">
        <f>(('Input and Output'!C$23*'Input and Output'!$B$10)+('Input and Output'!C$24*Calculations!$C$5)+('Input and Output'!C$25*Calculations!$C$6)+('Input and Output'!C$26*(IF('Input and Output'!E$7="Detritus",Calculations!$C$4,H952))-(SUM('Input and Output'!C$27:C$32))*I951))</f>
        <v>2.9223569072200917E-5</v>
      </c>
      <c r="E952" s="49">
        <f>(('Input and Output'!D$23*'Input and Output'!$B$10)+('Input and Output'!D$24*Calculations!$C$5)+('Input and Output'!D$25*Calculations!$C$6)+('Input and Output'!D$26*(IF('Input and Output'!F$7="Detritus",Calculations!$C$4,I952))-(SUM('Input and Output'!D$27:D$32))*J951))</f>
        <v>1.2767650332534686E-5</v>
      </c>
      <c r="F952" s="49" t="e">
        <f>(('Input and Output'!E$23*'Input and Output'!$B$10)+('Input and Output'!E$24*Calculations!$C$5)+('Input and Output'!E$25*Calculations!$C$6)+('Input and Output'!E$26*(IF('Input and Output'!G$7="Detritus",Calculations!$C$4,J952))-(SUM('Input and Output'!E$27:E$32))*K951))</f>
        <v>#N/A</v>
      </c>
      <c r="H952" s="49">
        <f>IF(H$2="",NA(),C952*$B952+H951)</f>
        <v>324480.77353689511</v>
      </c>
      <c r="I952" s="49">
        <f>IF(I$2="",NA(),D952*$B952+I951)</f>
        <v>2973162.3912041574</v>
      </c>
      <c r="J952" s="49">
        <f>IF(J$2="",NA(),E952*$B952+J951)</f>
        <v>1381886.9924786284</v>
      </c>
      <c r="K952" s="49" t="e">
        <f>IF(K$2="",NA(),F952*$B952+K951)</f>
        <v>#N/A</v>
      </c>
    </row>
    <row r="953" spans="1:11" x14ac:dyDescent="0.4">
      <c r="A953" s="49">
        <v>950</v>
      </c>
      <c r="B953" s="49">
        <f>A953/$B$1</f>
        <v>39.583333333333336</v>
      </c>
      <c r="C953" s="49">
        <f>(('Input and Output'!B$23*'Input and Output'!$B$10)+('Input and Output'!B$24*Calculations!$C$5)+('Input and Output'!B$25*Calculations!$C$6)+('Input and Output'!B$26*(IF('Input and Output'!D$7="Detritus",Calculations!$C$4,G953))-(SUM('Input and Output'!B$27:B$32))*H952))</f>
        <v>3.381068495400541E-6</v>
      </c>
      <c r="D953" s="49">
        <f>(('Input and Output'!C$23*'Input and Output'!$B$10)+('Input and Output'!C$24*Calculations!$C$5)+('Input and Output'!C$25*Calculations!$C$6)+('Input and Output'!C$26*(IF('Input and Output'!E$7="Detritus",Calculations!$C$4,H953))-(SUM('Input and Output'!C$27:C$32))*I952))</f>
        <v>2.81082684523426E-5</v>
      </c>
      <c r="E953" s="49">
        <f>(('Input and Output'!D$23*'Input and Output'!$B$10)+('Input and Output'!D$24*Calculations!$C$5)+('Input and Output'!D$25*Calculations!$C$6)+('Input and Output'!D$26*(IF('Input and Output'!F$7="Detritus",Calculations!$C$4,I953))-(SUM('Input and Output'!D$27:D$32))*J952))</f>
        <v>1.2093198165530339E-5</v>
      </c>
      <c r="F953" s="49" t="e">
        <f>(('Input and Output'!E$23*'Input and Output'!$B$10)+('Input and Output'!E$24*Calculations!$C$5)+('Input and Output'!E$25*Calculations!$C$6)+('Input and Output'!E$26*(IF('Input and Output'!G$7="Detritus",Calculations!$C$4,J953))-(SUM('Input and Output'!E$27:E$32))*K952))</f>
        <v>#N/A</v>
      </c>
      <c r="H953" s="49">
        <f>IF(H$2="",NA(),C953*$B953+H952)</f>
        <v>324480.77367072908</v>
      </c>
      <c r="I953" s="49">
        <f>IF(I$2="",NA(),D953*$B953+I952)</f>
        <v>2973162.3923167763</v>
      </c>
      <c r="J953" s="49">
        <f>IF(J$2="",NA(),E953*$B953+J952)</f>
        <v>1381886.9929573175</v>
      </c>
      <c r="K953" s="49" t="e">
        <f>IF(K$2="",NA(),F953*$B953+K952)</f>
        <v>#N/A</v>
      </c>
    </row>
    <row r="954" spans="1:11" x14ac:dyDescent="0.4">
      <c r="A954" s="49">
        <v>951</v>
      </c>
      <c r="B954" s="49">
        <f>A954/$B$1</f>
        <v>39.625</v>
      </c>
      <c r="C954" s="49">
        <f>(('Input and Output'!B$23*'Input and Output'!$B$10)+('Input and Output'!B$24*Calculations!$C$5)+('Input and Output'!B$25*Calculations!$C$6)+('Input and Output'!B$26*(IF('Input and Output'!D$7="Detritus",Calculations!$C$4,G954))-(SUM('Input and Output'!B$27:B$32))*H953))</f>
        <v>3.2520372883482196E-6</v>
      </c>
      <c r="D954" s="49">
        <f>(('Input and Output'!C$23*'Input and Output'!$B$10)+('Input and Output'!C$24*Calculations!$C$5)+('Input and Output'!C$25*Calculations!$C$6)+('Input and Output'!C$26*(IF('Input and Output'!E$7="Detritus",Calculations!$C$4,H954))-(SUM('Input and Output'!C$27:C$32))*I953))</f>
        <v>2.7034404411097057E-5</v>
      </c>
      <c r="E954" s="49">
        <f>(('Input and Output'!D$23*'Input and Output'!$B$10)+('Input and Output'!D$24*Calculations!$C$5)+('Input and Output'!D$25*Calculations!$C$6)+('Input and Output'!D$26*(IF('Input and Output'!F$7="Detritus",Calculations!$C$4,I954))-(SUM('Input and Output'!D$27:D$32))*J953))</f>
        <v>1.1857966455863789E-5</v>
      </c>
      <c r="F954" s="49" t="e">
        <f>(('Input and Output'!E$23*'Input and Output'!$B$10)+('Input and Output'!E$24*Calculations!$C$5)+('Input and Output'!E$25*Calculations!$C$6)+('Input and Output'!E$26*(IF('Input and Output'!G$7="Detritus",Calculations!$C$4,J954))-(SUM('Input and Output'!E$27:E$32))*K953))</f>
        <v>#N/A</v>
      </c>
      <c r="H954" s="49">
        <f>IF(H$2="",NA(),C954*$B954+H953)</f>
        <v>324480.77379959106</v>
      </c>
      <c r="I954" s="49">
        <f>IF(I$2="",NA(),D954*$B954+I953)</f>
        <v>2973162.3933880148</v>
      </c>
      <c r="J954" s="49">
        <f>IF(J$2="",NA(),E954*$B954+J953)</f>
        <v>1381886.9934271895</v>
      </c>
      <c r="K954" s="49" t="e">
        <f>IF(K$2="",NA(),F954*$B954+K953)</f>
        <v>#N/A</v>
      </c>
    </row>
    <row r="955" spans="1:11" x14ac:dyDescent="0.4">
      <c r="A955" s="49">
        <v>952</v>
      </c>
      <c r="B955" s="49">
        <f>A955/$B$1</f>
        <v>39.666666666666664</v>
      </c>
      <c r="C955" s="49">
        <f>(('Input and Output'!B$23*'Input and Output'!$B$10)+('Input and Output'!B$24*Calculations!$C$5)+('Input and Output'!B$25*Calculations!$C$6)+('Input and Output'!B$26*(IF('Input and Output'!D$7="Detritus",Calculations!$C$4,G955))-(SUM('Input and Output'!B$27:B$32))*H954))</f>
        <v>3.1277996299650113E-6</v>
      </c>
      <c r="D955" s="49">
        <f>(('Input and Output'!C$23*'Input and Output'!$B$10)+('Input and Output'!C$24*Calculations!$C$5)+('Input and Output'!C$25*Calculations!$C$6)+('Input and Output'!C$26*(IF('Input and Output'!E$7="Detritus",Calculations!$C$4,H955))-(SUM('Input and Output'!C$27:C$32))*I954))</f>
        <v>2.6000481739174575E-5</v>
      </c>
      <c r="E955" s="49">
        <f>(('Input and Output'!D$23*'Input and Output'!$B$10)+('Input and Output'!D$24*Calculations!$C$5)+('Input and Output'!D$25*Calculations!$C$6)+('Input and Output'!D$26*(IF('Input and Output'!F$7="Detritus",Calculations!$C$4,I955))-(SUM('Input and Output'!D$27:D$32))*J954))</f>
        <v>1.1126674507977441E-5</v>
      </c>
      <c r="F955" s="49" t="e">
        <f>(('Input and Output'!E$23*'Input and Output'!$B$10)+('Input and Output'!E$24*Calculations!$C$5)+('Input and Output'!E$25*Calculations!$C$6)+('Input and Output'!E$26*(IF('Input and Output'!G$7="Detritus",Calculations!$C$4,J955))-(SUM('Input and Output'!E$27:E$32))*K954))</f>
        <v>#N/A</v>
      </c>
      <c r="H955" s="49">
        <f>IF(H$2="",NA(),C955*$B955+H954)</f>
        <v>324480.77392366045</v>
      </c>
      <c r="I955" s="49">
        <f>IF(I$2="",NA(),D955*$B955+I954)</f>
        <v>2973162.3944193674</v>
      </c>
      <c r="J955" s="49">
        <f>IF(J$2="",NA(),E955*$B955+J954)</f>
        <v>1381886.9938685477</v>
      </c>
      <c r="K955" s="49" t="e">
        <f>IF(K$2="",NA(),F955*$B955+K954)</f>
        <v>#N/A</v>
      </c>
    </row>
    <row r="956" spans="1:11" x14ac:dyDescent="0.4">
      <c r="A956" s="49">
        <v>953</v>
      </c>
      <c r="B956" s="49">
        <f>A956/$B$1</f>
        <v>39.708333333333336</v>
      </c>
      <c r="C956" s="49">
        <f>(('Input and Output'!B$23*'Input and Output'!$B$10)+('Input and Output'!B$24*Calculations!$C$5)+('Input and Output'!B$25*Calculations!$C$6)+('Input and Output'!B$26*(IF('Input and Output'!D$7="Detritus",Calculations!$C$4,G956))-(SUM('Input and Output'!B$27:B$32))*H955))</f>
        <v>3.0081826025707414E-6</v>
      </c>
      <c r="D956" s="49">
        <f>(('Input and Output'!C$23*'Input and Output'!$B$10)+('Input and Output'!C$24*Calculations!$C$5)+('Input and Output'!C$25*Calculations!$C$6)+('Input and Output'!C$26*(IF('Input and Output'!E$7="Detritus",Calculations!$C$4,H956))-(SUM('Input and Output'!C$27:C$32))*I955))</f>
        <v>2.5005054339999333E-5</v>
      </c>
      <c r="E956" s="49">
        <f>(('Input and Output'!D$23*'Input and Output'!$B$10)+('Input and Output'!D$24*Calculations!$C$5)+('Input and Output'!D$25*Calculations!$C$6)+('Input and Output'!D$26*(IF('Input and Output'!F$7="Detritus",Calculations!$C$4,I956))-(SUM('Input and Output'!D$27:D$32))*J955))</f>
        <v>1.1039188393624499E-5</v>
      </c>
      <c r="F956" s="49" t="e">
        <f>(('Input and Output'!E$23*'Input and Output'!$B$10)+('Input and Output'!E$24*Calculations!$C$5)+('Input and Output'!E$25*Calculations!$C$6)+('Input and Output'!E$26*(IF('Input and Output'!G$7="Detritus",Calculations!$C$4,J956))-(SUM('Input and Output'!E$27:E$32))*K955))</f>
        <v>#N/A</v>
      </c>
      <c r="H956" s="49">
        <f>IF(H$2="",NA(),C956*$B956+H955)</f>
        <v>324480.77404311037</v>
      </c>
      <c r="I956" s="49">
        <f>IF(I$2="",NA(),D956*$B956+I955)</f>
        <v>2973162.3954122765</v>
      </c>
      <c r="J956" s="49">
        <f>IF(J$2="",NA(),E956*$B956+J955)</f>
        <v>1381886.9943068954</v>
      </c>
      <c r="K956" s="49" t="e">
        <f>IF(K$2="",NA(),F956*$B956+K955)</f>
        <v>#N/A</v>
      </c>
    </row>
    <row r="957" spans="1:11" x14ac:dyDescent="0.4">
      <c r="A957" s="49">
        <v>954</v>
      </c>
      <c r="B957" s="49">
        <f>A957/$B$1</f>
        <v>39.75</v>
      </c>
      <c r="C957" s="49">
        <f>(('Input and Output'!B$23*'Input and Output'!$B$10)+('Input and Output'!B$24*Calculations!$C$5)+('Input and Output'!B$25*Calculations!$C$6)+('Input and Output'!B$26*(IF('Input and Output'!D$7="Detritus",Calculations!$C$4,G957))-(SUM('Input and Output'!B$27:B$32))*H956))</f>
        <v>2.8930192002007971E-6</v>
      </c>
      <c r="D957" s="49">
        <f>(('Input and Output'!C$23*'Input and Output'!$B$10)+('Input and Output'!C$24*Calculations!$C$5)+('Input and Output'!C$25*Calculations!$C$6)+('Input and Output'!C$26*(IF('Input and Output'!E$7="Detritus",Calculations!$C$4,H957))-(SUM('Input and Output'!C$27:C$32))*I956))</f>
        <v>2.4046734324656427E-5</v>
      </c>
      <c r="E957" s="49">
        <f>(('Input and Output'!D$23*'Input and Output'!$B$10)+('Input and Output'!D$24*Calculations!$C$5)+('Input and Output'!D$25*Calculations!$C$6)+('Input and Output'!D$26*(IF('Input and Output'!F$7="Detritus",Calculations!$C$4,I957))-(SUM('Input and Output'!D$27:D$32))*J956))</f>
        <v>1.0200561519013718E-5</v>
      </c>
      <c r="F957" s="49" t="e">
        <f>(('Input and Output'!E$23*'Input and Output'!$B$10)+('Input and Output'!E$24*Calculations!$C$5)+('Input and Output'!E$25*Calculations!$C$6)+('Input and Output'!E$26*(IF('Input and Output'!G$7="Detritus",Calculations!$C$4,J957))-(SUM('Input and Output'!E$27:E$32))*K956))</f>
        <v>#N/A</v>
      </c>
      <c r="H957" s="49">
        <f>IF(H$2="",NA(),C957*$B957+H956)</f>
        <v>324480.77415810787</v>
      </c>
      <c r="I957" s="49">
        <f>IF(I$2="",NA(),D957*$B957+I956)</f>
        <v>2973162.3963681343</v>
      </c>
      <c r="J957" s="49">
        <f>IF(J$2="",NA(),E957*$B957+J956)</f>
        <v>1381886.9947123677</v>
      </c>
      <c r="K957" s="49" t="e">
        <f>IF(K$2="",NA(),F957*$B957+K956)</f>
        <v>#N/A</v>
      </c>
    </row>
    <row r="958" spans="1:11" x14ac:dyDescent="0.4">
      <c r="A958" s="49">
        <v>955</v>
      </c>
      <c r="B958" s="49">
        <f>A958/$B$1</f>
        <v>39.791666666666664</v>
      </c>
      <c r="C958" s="49">
        <f>(('Input and Output'!B$23*'Input and Output'!$B$10)+('Input and Output'!B$24*Calculations!$C$5)+('Input and Output'!B$25*Calculations!$C$6)+('Input and Output'!B$26*(IF('Input and Output'!D$7="Detritus",Calculations!$C$4,G958))-(SUM('Input and Output'!B$27:B$32))*H957))</f>
        <v>2.7821484991363832E-6</v>
      </c>
      <c r="D958" s="49">
        <f>(('Input and Output'!C$23*'Input and Output'!$B$10)+('Input and Output'!C$24*Calculations!$C$5)+('Input and Output'!C$25*Calculations!$C$6)+('Input and Output'!C$26*(IF('Input and Output'!E$7="Detritus",Calculations!$C$4,H958))-(SUM('Input and Output'!C$27:C$32))*I957))</f>
        <v>2.3124174731492531E-5</v>
      </c>
      <c r="E958" s="49">
        <f>(('Input and Output'!D$23*'Input and Output'!$B$10)+('Input and Output'!D$24*Calculations!$C$5)+('Input and Output'!D$25*Calculations!$C$6)+('Input and Output'!D$26*(IF('Input and Output'!F$7="Detritus",Calculations!$C$4,I958))-(SUM('Input and Output'!D$27:D$32))*J957))</f>
        <v>1.0318111890228465E-5</v>
      </c>
      <c r="F958" s="49" t="e">
        <f>(('Input and Output'!E$23*'Input and Output'!$B$10)+('Input and Output'!E$24*Calculations!$C$5)+('Input and Output'!E$25*Calculations!$C$6)+('Input and Output'!E$26*(IF('Input and Output'!G$7="Detritus",Calculations!$C$4,J958))-(SUM('Input and Output'!E$27:E$32))*K957))</f>
        <v>#N/A</v>
      </c>
      <c r="H958" s="49">
        <f>IF(H$2="",NA(),C958*$B958+H957)</f>
        <v>324480.77426881419</v>
      </c>
      <c r="I958" s="49">
        <f>IF(I$2="",NA(),D958*$B958+I957)</f>
        <v>2973162.3972882838</v>
      </c>
      <c r="J958" s="49">
        <f>IF(J$2="",NA(),E958*$B958+J957)</f>
        <v>1381886.9951229426</v>
      </c>
      <c r="K958" s="49" t="e">
        <f>IF(K$2="",NA(),F958*$B958+K957)</f>
        <v>#N/A</v>
      </c>
    </row>
    <row r="959" spans="1:11" x14ac:dyDescent="0.4">
      <c r="A959" s="49">
        <v>956</v>
      </c>
      <c r="B959" s="49">
        <f>A959/$B$1</f>
        <v>39.833333333333336</v>
      </c>
      <c r="C959" s="49">
        <f>(('Input and Output'!B$23*'Input and Output'!$B$10)+('Input and Output'!B$24*Calculations!$C$5)+('Input and Output'!B$25*Calculations!$C$6)+('Input and Output'!B$26*(IF('Input and Output'!D$7="Detritus",Calculations!$C$4,G959))-(SUM('Input and Output'!B$27:B$32))*H958))</f>
        <v>2.6754149757834966E-6</v>
      </c>
      <c r="D959" s="49">
        <f>(('Input and Output'!C$23*'Input and Output'!$B$10)+('Input and Output'!C$24*Calculations!$C$5)+('Input and Output'!C$25*Calculations!$C$6)+('Input and Output'!C$26*(IF('Input and Output'!E$7="Detritus",Calculations!$C$4,H959))-(SUM('Input and Output'!C$27:C$32))*I958))</f>
        <v>2.2236082259041723E-5</v>
      </c>
      <c r="E959" s="49">
        <f>(('Input and Output'!D$23*'Input and Output'!$B$10)+('Input and Output'!D$24*Calculations!$C$5)+('Input and Output'!D$25*Calculations!$C$6)+('Input and Output'!D$26*(IF('Input and Output'!F$7="Detritus",Calculations!$C$4,I959))-(SUM('Input and Output'!D$27:D$32))*J958))</f>
        <v>9.2952723207417876E-6</v>
      </c>
      <c r="F959" s="49" t="e">
        <f>(('Input and Output'!E$23*'Input and Output'!$B$10)+('Input and Output'!E$24*Calculations!$C$5)+('Input and Output'!E$25*Calculations!$C$6)+('Input and Output'!E$26*(IF('Input and Output'!G$7="Detritus",Calculations!$C$4,J959))-(SUM('Input and Output'!E$27:E$32))*K958))</f>
        <v>#N/A</v>
      </c>
      <c r="H959" s="49">
        <f>IF(H$2="",NA(),C959*$B959+H958)</f>
        <v>324480.77437538491</v>
      </c>
      <c r="I959" s="49">
        <f>IF(I$2="",NA(),D959*$B959+I958)</f>
        <v>2973162.3981740209</v>
      </c>
      <c r="J959" s="49">
        <f>IF(J$2="",NA(),E959*$B959+J958)</f>
        <v>1381886.9954932043</v>
      </c>
      <c r="K959" s="49" t="e">
        <f>IF(K$2="",NA(),F959*$B959+K958)</f>
        <v>#N/A</v>
      </c>
    </row>
    <row r="960" spans="1:11" x14ac:dyDescent="0.4">
      <c r="A960" s="49">
        <v>957</v>
      </c>
      <c r="B960" s="49">
        <f>A960/$B$1</f>
        <v>39.875</v>
      </c>
      <c r="C960" s="49">
        <f>(('Input and Output'!B$23*'Input and Output'!$B$10)+('Input and Output'!B$24*Calculations!$C$5)+('Input and Output'!B$25*Calculations!$C$6)+('Input and Output'!B$26*(IF('Input and Output'!D$7="Detritus",Calculations!$C$4,G960))-(SUM('Input and Output'!B$27:B$32))*H959))</f>
        <v>2.5726686772031826E-6</v>
      </c>
      <c r="D960" s="49">
        <f>(('Input and Output'!C$23*'Input and Output'!$B$10)+('Input and Output'!C$24*Calculations!$C$5)+('Input and Output'!C$25*Calculations!$C$6)+('Input and Output'!C$26*(IF('Input and Output'!E$7="Detritus",Calculations!$C$4,H960))-(SUM('Input and Output'!C$27:C$32))*I959))</f>
        <v>2.1381204533099663E-5</v>
      </c>
      <c r="E960" s="49">
        <f>(('Input and Output'!D$23*'Input and Output'!$B$10)+('Input and Output'!D$24*Calculations!$C$5)+('Input and Output'!D$25*Calculations!$C$6)+('Input and Output'!D$26*(IF('Input and Output'!F$7="Detritus",Calculations!$C$4,I960))-(SUM('Input and Output'!D$27:D$32))*J959))</f>
        <v>9.7087213362101465E-6</v>
      </c>
      <c r="F960" s="49" t="e">
        <f>(('Input and Output'!E$23*'Input and Output'!$B$10)+('Input and Output'!E$24*Calculations!$C$5)+('Input and Output'!E$25*Calculations!$C$6)+('Input and Output'!E$26*(IF('Input and Output'!G$7="Detritus",Calculations!$C$4,J960))-(SUM('Input and Output'!E$27:E$32))*K959))</f>
        <v>#N/A</v>
      </c>
      <c r="H960" s="49">
        <f>IF(H$2="",NA(),C960*$B960+H959)</f>
        <v>324480.77447797009</v>
      </c>
      <c r="I960" s="49">
        <f>IF(I$2="",NA(),D960*$B960+I959)</f>
        <v>2973162.3990265965</v>
      </c>
      <c r="J960" s="49">
        <f>IF(J$2="",NA(),E960*$B960+J959)</f>
        <v>1381886.9958803395</v>
      </c>
      <c r="K960" s="49" t="e">
        <f>IF(K$2="",NA(),F960*$B960+K959)</f>
        <v>#N/A</v>
      </c>
    </row>
    <row r="961" spans="1:11" x14ac:dyDescent="0.4">
      <c r="A961" s="49">
        <v>958</v>
      </c>
      <c r="B961" s="49">
        <f>A961/$B$1</f>
        <v>39.916666666666664</v>
      </c>
      <c r="C961" s="49">
        <f>(('Input and Output'!B$23*'Input and Output'!$B$10)+('Input and Output'!B$24*Calculations!$C$5)+('Input and Output'!B$25*Calculations!$C$6)+('Input and Output'!B$26*(IF('Input and Output'!D$7="Detritus",Calculations!$C$4,G961))-(SUM('Input and Output'!B$27:B$32))*H960))</f>
        <v>2.4737648232076026E-6</v>
      </c>
      <c r="D961" s="49">
        <f>(('Input and Output'!C$23*'Input and Output'!$B$10)+('Input and Output'!C$24*Calculations!$C$5)+('Input and Output'!C$25*Calculations!$C$6)+('Input and Output'!C$26*(IF('Input and Output'!E$7="Detritus",Calculations!$C$4,H961))-(SUM('Input and Output'!C$27:C$32))*I960))</f>
        <v>2.0558331925712992E-5</v>
      </c>
      <c r="E961" s="49">
        <f>(('Input and Output'!D$23*'Input and Output'!$B$10)+('Input and Output'!D$24*Calculations!$C$5)+('Input and Output'!D$25*Calculations!$C$6)+('Input and Output'!D$26*(IF('Input and Output'!F$7="Detritus",Calculations!$C$4,I961))-(SUM('Input and Output'!D$27:D$32))*J960))</f>
        <v>8.3830418589059263E-6</v>
      </c>
      <c r="F961" s="49" t="e">
        <f>(('Input and Output'!E$23*'Input and Output'!$B$10)+('Input and Output'!E$24*Calculations!$C$5)+('Input and Output'!E$25*Calculations!$C$6)+('Input and Output'!E$26*(IF('Input and Output'!G$7="Detritus",Calculations!$C$4,J961))-(SUM('Input and Output'!E$27:E$32))*K960))</f>
        <v>#N/A</v>
      </c>
      <c r="H961" s="49">
        <f>IF(H$2="",NA(),C961*$B961+H960)</f>
        <v>324480.77457671455</v>
      </c>
      <c r="I961" s="49">
        <f>IF(I$2="",NA(),D961*$B961+I960)</f>
        <v>2973162.3998472164</v>
      </c>
      <c r="J961" s="49">
        <f>IF(J$2="",NA(),E961*$B961+J960)</f>
        <v>1381886.9962149626</v>
      </c>
      <c r="K961" s="49" t="e">
        <f>IF(K$2="",NA(),F961*$B961+K960)</f>
        <v>#N/A</v>
      </c>
    </row>
    <row r="962" spans="1:11" x14ac:dyDescent="0.4">
      <c r="A962" s="49">
        <v>959</v>
      </c>
      <c r="B962" s="49">
        <f>A962/$B$1</f>
        <v>39.958333333333336</v>
      </c>
      <c r="C962" s="49">
        <f>(('Input and Output'!B$23*'Input and Output'!$B$10)+('Input and Output'!B$24*Calculations!$C$5)+('Input and Output'!B$25*Calculations!$C$6)+('Input and Output'!B$26*(IF('Input and Output'!D$7="Detritus",Calculations!$C$4,G962))-(SUM('Input and Output'!B$27:B$32))*H961))</f>
        <v>2.3785639200468722E-6</v>
      </c>
      <c r="D962" s="49">
        <f>(('Input and Output'!C$23*'Input and Output'!$B$10)+('Input and Output'!C$24*Calculations!$C$5)+('Input and Output'!C$25*Calculations!$C$6)+('Input and Output'!C$26*(IF('Input and Output'!E$7="Detritus",Calculations!$C$4,H962))-(SUM('Input and Output'!C$27:C$32))*I961))</f>
        <v>1.9766305740631651E-5</v>
      </c>
      <c r="E962" s="49">
        <f>(('Input and Output'!D$23*'Input and Output'!$B$10)+('Input and Output'!D$24*Calculations!$C$5)+('Input and Output'!D$25*Calculations!$C$6)+('Input and Output'!D$26*(IF('Input and Output'!F$7="Detritus",Calculations!$C$4,I962))-(SUM('Input and Output'!D$27:D$32))*J961))</f>
        <v>9.23626430449076E-6</v>
      </c>
      <c r="F962" s="49" t="e">
        <f>(('Input and Output'!E$23*'Input and Output'!$B$10)+('Input and Output'!E$24*Calculations!$C$5)+('Input and Output'!E$25*Calculations!$C$6)+('Input and Output'!E$26*(IF('Input and Output'!G$7="Detritus",Calculations!$C$4,J962))-(SUM('Input and Output'!E$27:E$32))*K961))</f>
        <v>#N/A</v>
      </c>
      <c r="H962" s="49">
        <f>IF(H$2="",NA(),C962*$B962+H961)</f>
        <v>324480.774671758</v>
      </c>
      <c r="I962" s="49">
        <f>IF(I$2="",NA(),D962*$B962+I961)</f>
        <v>2973162.400637045</v>
      </c>
      <c r="J962" s="49">
        <f>IF(J$2="",NA(),E962*$B962+J961)</f>
        <v>1381886.9965840282</v>
      </c>
      <c r="K962" s="49" t="e">
        <f>IF(K$2="",NA(),F962*$B962+K961)</f>
        <v>#N/A</v>
      </c>
    </row>
    <row r="963" spans="1:11" x14ac:dyDescent="0.4">
      <c r="A963" s="49">
        <v>960</v>
      </c>
      <c r="B963" s="49">
        <f>A963/$B$1</f>
        <v>40</v>
      </c>
      <c r="C963" s="49">
        <f>(('Input and Output'!B$23*'Input and Output'!$B$10)+('Input and Output'!B$24*Calculations!$C$5)+('Input and Output'!B$25*Calculations!$C$6)+('Input and Output'!B$26*(IF('Input and Output'!D$7="Detritus",Calculations!$C$4,G963))-(SUM('Input and Output'!B$27:B$32))*H962))</f>
        <v>2.2869311919748725E-6</v>
      </c>
      <c r="D963" s="49">
        <f>(('Input and Output'!C$23*'Input and Output'!$B$10)+('Input and Output'!C$24*Calculations!$C$5)+('Input and Output'!C$25*Calculations!$C$6)+('Input and Output'!C$26*(IF('Input and Output'!E$7="Detritus",Calculations!$C$4,H963))-(SUM('Input and Output'!C$27:C$32))*I962))</f>
        <v>1.9003995475941338E-5</v>
      </c>
      <c r="E963" s="49">
        <f>(('Input and Output'!D$23*'Input and Output'!$B$10)+('Input and Output'!D$24*Calculations!$C$5)+('Input and Output'!D$25*Calculations!$C$6)+('Input and Output'!D$26*(IF('Input and Output'!F$7="Detritus",Calculations!$C$4,I963))-(SUM('Input and Output'!D$27:D$32))*J962))</f>
        <v>7.4223389674443752E-6</v>
      </c>
      <c r="F963" s="49" t="e">
        <f>(('Input and Output'!E$23*'Input and Output'!$B$10)+('Input and Output'!E$24*Calculations!$C$5)+('Input and Output'!E$25*Calculations!$C$6)+('Input and Output'!E$26*(IF('Input and Output'!G$7="Detritus",Calculations!$C$4,J963))-(SUM('Input and Output'!E$27:E$32))*K962))</f>
        <v>#N/A</v>
      </c>
      <c r="H963" s="49">
        <f>IF(H$2="",NA(),C963*$B963+H962)</f>
        <v>324480.77476323524</v>
      </c>
      <c r="I963" s="49">
        <f>IF(I$2="",NA(),D963*$B963+I962)</f>
        <v>2973162.401397205</v>
      </c>
      <c r="J963" s="49">
        <f>IF(J$2="",NA(),E963*$B963+J962)</f>
        <v>1381886.9968809218</v>
      </c>
      <c r="K963" s="49" t="e">
        <f>IF(K$2="",NA(),F963*$B963+K962)</f>
        <v>#N/A</v>
      </c>
    </row>
    <row r="964" spans="1:11" x14ac:dyDescent="0.4">
      <c r="A964" s="49">
        <v>961</v>
      </c>
      <c r="B964" s="49">
        <f>A964/$B$1</f>
        <v>40.041666666666664</v>
      </c>
      <c r="C964" s="49">
        <f>(('Input and Output'!B$23*'Input and Output'!$B$10)+('Input and Output'!B$24*Calculations!$C$5)+('Input and Output'!B$25*Calculations!$C$6)+('Input and Output'!B$26*(IF('Input and Output'!D$7="Detritus",Calculations!$C$4,G964))-(SUM('Input and Output'!B$27:B$32))*H963))</f>
        <v>2.1987366949360876E-6</v>
      </c>
      <c r="D964" s="49">
        <f>(('Input and Output'!C$23*'Input and Output'!$B$10)+('Input and Output'!C$24*Calculations!$C$5)+('Input and Output'!C$25*Calculations!$C$6)+('Input and Output'!C$26*(IF('Input and Output'!E$7="Detritus",Calculations!$C$4,H964))-(SUM('Input and Output'!C$27:C$32))*I963))</f>
        <v>1.827032338042045E-5</v>
      </c>
      <c r="E964" s="49">
        <f>(('Input and Output'!D$23*'Input and Output'!$B$10)+('Input and Output'!D$24*Calculations!$C$5)+('Input and Output'!D$25*Calculations!$C$6)+('Input and Output'!D$26*(IF('Input and Output'!F$7="Detritus",Calculations!$C$4,I964))-(SUM('Input and Output'!D$27:D$32))*J963))</f>
        <v>8.9440472947899252E-6</v>
      </c>
      <c r="F964" s="49" t="e">
        <f>(('Input and Output'!E$23*'Input and Output'!$B$10)+('Input and Output'!E$24*Calculations!$C$5)+('Input and Output'!E$25*Calculations!$C$6)+('Input and Output'!E$26*(IF('Input and Output'!G$7="Detritus",Calculations!$C$4,J964))-(SUM('Input and Output'!E$27:E$32))*K963))</f>
        <v>#N/A</v>
      </c>
      <c r="H964" s="49">
        <f>IF(H$2="",NA(),C964*$B964+H963)</f>
        <v>324480.77485127631</v>
      </c>
      <c r="I964" s="49">
        <f>IF(I$2="",NA(),D964*$B964+I963)</f>
        <v>2973162.4021287793</v>
      </c>
      <c r="J964" s="49">
        <f>IF(J$2="",NA(),E964*$B964+J963)</f>
        <v>1381886.9972390563</v>
      </c>
      <c r="K964" s="49" t="e">
        <f>IF(K$2="",NA(),F964*$B964+K963)</f>
        <v>#N/A</v>
      </c>
    </row>
    <row r="965" spans="1:11" x14ac:dyDescent="0.4">
      <c r="A965" s="49">
        <v>962</v>
      </c>
      <c r="B965" s="49">
        <f>A965/$B$1</f>
        <v>40.083333333333336</v>
      </c>
      <c r="C965" s="49">
        <f>(('Input and Output'!B$23*'Input and Output'!$B$10)+('Input and Output'!B$24*Calculations!$C$5)+('Input and Output'!B$25*Calculations!$C$6)+('Input and Output'!B$26*(IF('Input and Output'!D$7="Detritus",Calculations!$C$4,G965))-(SUM('Input and Output'!B$27:B$32))*H964))</f>
        <v>2.1138550323485106E-6</v>
      </c>
      <c r="D965" s="49">
        <f>(('Input and Output'!C$23*'Input and Output'!$B$10)+('Input and Output'!C$24*Calculations!$C$5)+('Input and Output'!C$25*Calculations!$C$6)+('Input and Output'!C$26*(IF('Input and Output'!E$7="Detritus",Calculations!$C$4,H965))-(SUM('Input and Output'!C$27:C$32))*I964))</f>
        <v>1.7564239897183143E-5</v>
      </c>
      <c r="E965" s="49">
        <f>(('Input and Output'!D$23*'Input and Output'!$B$10)+('Input and Output'!D$24*Calculations!$C$5)+('Input and Output'!D$25*Calculations!$C$6)+('Input and Output'!D$26*(IF('Input and Output'!F$7="Detritus",Calculations!$C$4,I965))-(SUM('Input and Output'!D$27:D$32))*J964))</f>
        <v>6.3493680499959737E-6</v>
      </c>
      <c r="F965" s="49" t="e">
        <f>(('Input and Output'!E$23*'Input and Output'!$B$10)+('Input and Output'!E$24*Calculations!$C$5)+('Input and Output'!E$25*Calculations!$C$6)+('Input and Output'!E$26*(IF('Input and Output'!G$7="Detritus",Calculations!$C$4,J965))-(SUM('Input and Output'!E$27:E$32))*K964))</f>
        <v>#N/A</v>
      </c>
      <c r="H965" s="49">
        <f>IF(H$2="",NA(),C965*$B965+H964)</f>
        <v>324480.77493600664</v>
      </c>
      <c r="I965" s="49">
        <f>IF(I$2="",NA(),D965*$B965+I964)</f>
        <v>2973162.4028328126</v>
      </c>
      <c r="J965" s="49">
        <f>IF(J$2="",NA(),E965*$B965+J964)</f>
        <v>1381886.9974935602</v>
      </c>
      <c r="K965" s="49" t="e">
        <f>IF(K$2="",NA(),F965*$B965+K964)</f>
        <v>#N/A</v>
      </c>
    </row>
    <row r="966" spans="1:11" x14ac:dyDescent="0.4">
      <c r="A966" s="49">
        <v>963</v>
      </c>
      <c r="B966" s="49">
        <f>A966/$B$1</f>
        <v>40.125</v>
      </c>
      <c r="C966" s="49">
        <f>(('Input and Output'!B$23*'Input and Output'!$B$10)+('Input and Output'!B$24*Calculations!$C$5)+('Input and Output'!B$25*Calculations!$C$6)+('Input and Output'!B$26*(IF('Input and Output'!D$7="Detritus",Calculations!$C$4,G966))-(SUM('Input and Output'!B$27:B$32))*H965))</f>
        <v>2.0321653551036434E-6</v>
      </c>
      <c r="D966" s="49">
        <f>(('Input and Output'!C$23*'Input and Output'!$B$10)+('Input and Output'!C$24*Calculations!$C$5)+('Input and Output'!C$25*Calculations!$C$6)+('Input and Output'!C$26*(IF('Input and Output'!E$7="Detritus",Calculations!$C$4,H966))-(SUM('Input and Output'!C$27:C$32))*I965))</f>
        <v>1.6884738215594552E-5</v>
      </c>
      <c r="E966" s="49">
        <f>(('Input and Output'!D$23*'Input and Output'!$B$10)+('Input and Output'!D$24*Calculations!$C$5)+('Input and Output'!D$25*Calculations!$C$6)+('Input and Output'!D$26*(IF('Input and Output'!F$7="Detritus",Calculations!$C$4,I966))-(SUM('Input and Output'!D$27:D$32))*J965))</f>
        <v>8.9045533968601376E-6</v>
      </c>
      <c r="F966" s="49" t="e">
        <f>(('Input and Output'!E$23*'Input and Output'!$B$10)+('Input and Output'!E$24*Calculations!$C$5)+('Input and Output'!E$25*Calculations!$C$6)+('Input and Output'!E$26*(IF('Input and Output'!G$7="Detritus",Calculations!$C$4,J966))-(SUM('Input and Output'!E$27:E$32))*K965))</f>
        <v>#N/A</v>
      </c>
      <c r="H966" s="49">
        <f>IF(H$2="",NA(),C966*$B966+H965)</f>
        <v>324480.77501754725</v>
      </c>
      <c r="I966" s="49">
        <f>IF(I$2="",NA(),D966*$B966+I965)</f>
        <v>2973162.4035103125</v>
      </c>
      <c r="J966" s="49">
        <f>IF(J$2="",NA(),E966*$B966+J965)</f>
        <v>1381886.9978508553</v>
      </c>
      <c r="K966" s="49" t="e">
        <f>IF(K$2="",NA(),F966*$B966+K965)</f>
        <v>#N/A</v>
      </c>
    </row>
    <row r="967" spans="1:11" x14ac:dyDescent="0.4">
      <c r="A967" s="49">
        <v>964</v>
      </c>
      <c r="B967" s="49">
        <f>A967/$B$1</f>
        <v>40.166666666666664</v>
      </c>
      <c r="C967" s="49">
        <f>(('Input and Output'!B$23*'Input and Output'!$B$10)+('Input and Output'!B$24*Calculations!$C$5)+('Input and Output'!B$25*Calculations!$C$6)+('Input and Output'!B$26*(IF('Input and Output'!D$7="Detritus",Calculations!$C$4,G967))-(SUM('Input and Output'!B$27:B$32))*H966))</f>
        <v>1.9535509068191459E-6</v>
      </c>
      <c r="D967" s="49">
        <f>(('Input and Output'!C$23*'Input and Output'!$B$10)+('Input and Output'!C$24*Calculations!$C$5)+('Input and Output'!C$25*Calculations!$C$6)+('Input and Output'!C$26*(IF('Input and Output'!E$7="Detritus",Calculations!$C$4,H967))-(SUM('Input and Output'!C$27:C$32))*I966))</f>
        <v>1.6230847904807888E-5</v>
      </c>
      <c r="E967" s="49">
        <f>(('Input and Output'!D$23*'Input and Output'!$B$10)+('Input and Output'!D$24*Calculations!$C$5)+('Input and Output'!D$25*Calculations!$C$6)+('Input and Output'!D$26*(IF('Input and Output'!F$7="Detritus",Calculations!$C$4,I967))-(SUM('Input and Output'!D$27:D$32))*J966))</f>
        <v>5.0635608204174787E-6</v>
      </c>
      <c r="F967" s="49" t="e">
        <f>(('Input and Output'!E$23*'Input and Output'!$B$10)+('Input and Output'!E$24*Calculations!$C$5)+('Input and Output'!E$25*Calculations!$C$6)+('Input and Output'!E$26*(IF('Input and Output'!G$7="Detritus",Calculations!$C$4,J967))-(SUM('Input and Output'!E$27:E$32))*K966))</f>
        <v>#N/A</v>
      </c>
      <c r="H967" s="49">
        <f>IF(H$2="",NA(),C967*$B967+H966)</f>
        <v>324480.7750960149</v>
      </c>
      <c r="I967" s="49">
        <f>IF(I$2="",NA(),D967*$B967+I966)</f>
        <v>2973162.4041622514</v>
      </c>
      <c r="J967" s="49">
        <f>IF(J$2="",NA(),E967*$B967+J966)</f>
        <v>1381886.9980542418</v>
      </c>
      <c r="K967" s="49" t="e">
        <f>IF(K$2="",NA(),F967*$B967+K966)</f>
        <v>#N/A</v>
      </c>
    </row>
    <row r="968" spans="1:11" x14ac:dyDescent="0.4">
      <c r="A968" s="49">
        <v>965</v>
      </c>
      <c r="B968" s="49">
        <f>A968/$B$1</f>
        <v>40.208333333333336</v>
      </c>
      <c r="C968" s="49">
        <f>(('Input and Output'!B$23*'Input and Output'!$B$10)+('Input and Output'!B$24*Calculations!$C$5)+('Input and Output'!B$25*Calculations!$C$6)+('Input and Output'!B$26*(IF('Input and Output'!D$7="Detritus",Calculations!$C$4,G968))-(SUM('Input and Output'!B$27:B$32))*H967))</f>
        <v>1.8778991375256737E-6</v>
      </c>
      <c r="D968" s="49">
        <f>(('Input and Output'!C$23*'Input and Output'!$B$10)+('Input and Output'!C$24*Calculations!$C$5)+('Input and Output'!C$25*Calculations!$C$6)+('Input and Output'!C$26*(IF('Input and Output'!E$7="Detritus",Calculations!$C$4,H968))-(SUM('Input and Output'!C$27:C$32))*I967))</f>
        <v>1.5601628547301516E-5</v>
      </c>
      <c r="E968" s="49">
        <f>(('Input and Output'!D$23*'Input and Output'!$B$10)+('Input and Output'!D$24*Calculations!$C$5)+('Input and Output'!D$25*Calculations!$C$6)+('Input and Output'!D$26*(IF('Input and Output'!F$7="Detritus",Calculations!$C$4,I968))-(SUM('Input and Output'!D$27:D$32))*J967))</f>
        <v>9.2379814304877073E-6</v>
      </c>
      <c r="F968" s="49" t="e">
        <f>(('Input and Output'!E$23*'Input and Output'!$B$10)+('Input and Output'!E$24*Calculations!$C$5)+('Input and Output'!E$25*Calculations!$C$6)+('Input and Output'!E$26*(IF('Input and Output'!G$7="Detritus",Calculations!$C$4,J968))-(SUM('Input and Output'!E$27:E$32))*K967))</f>
        <v>#N/A</v>
      </c>
      <c r="H968" s="49">
        <f>IF(H$2="",NA(),C968*$B968+H967)</f>
        <v>324480.77517152211</v>
      </c>
      <c r="I968" s="49">
        <f>IF(I$2="",NA(),D968*$B968+I967)</f>
        <v>2973162.404789567</v>
      </c>
      <c r="J968" s="49">
        <f>IF(J$2="",NA(),E968*$B968+J967)</f>
        <v>1381886.9984256856</v>
      </c>
      <c r="K968" s="49" t="e">
        <f>IF(K$2="",NA(),F968*$B968+K967)</f>
        <v>#N/A</v>
      </c>
    </row>
    <row r="969" spans="1:11" x14ac:dyDescent="0.4">
      <c r="A969" s="49">
        <v>966</v>
      </c>
      <c r="B969" s="49">
        <f>A969/$B$1</f>
        <v>40.25</v>
      </c>
      <c r="C969" s="49">
        <f>(('Input and Output'!B$23*'Input and Output'!$B$10)+('Input and Output'!B$24*Calculations!$C$5)+('Input and Output'!B$25*Calculations!$C$6)+('Input and Output'!B$26*(IF('Input and Output'!D$7="Detritus",Calculations!$C$4,G969))-(SUM('Input and Output'!B$27:B$32))*H968))</f>
        <v>1.8051015331366216E-6</v>
      </c>
      <c r="D969" s="49">
        <f>(('Input and Output'!C$23*'Input and Output'!$B$10)+('Input and Output'!C$24*Calculations!$C$5)+('Input and Output'!C$25*Calculations!$C$6)+('Input and Output'!C$26*(IF('Input and Output'!E$7="Detritus",Calculations!$C$4,H969))-(SUM('Input and Output'!C$27:C$32))*I968))</f>
        <v>1.4996175195847172E-5</v>
      </c>
      <c r="E969" s="49">
        <f>(('Input and Output'!D$23*'Input and Output'!$B$10)+('Input and Output'!D$24*Calculations!$C$5)+('Input and Output'!D$25*Calculations!$C$6)+('Input and Output'!D$26*(IF('Input and Output'!F$7="Detritus",Calculations!$C$4,I969))-(SUM('Input and Output'!D$27:D$32))*J968))</f>
        <v>3.4037548175547272E-6</v>
      </c>
      <c r="F969" s="49" t="e">
        <f>(('Input and Output'!E$23*'Input and Output'!$B$10)+('Input and Output'!E$24*Calculations!$C$5)+('Input and Output'!E$25*Calculations!$C$6)+('Input and Output'!E$26*(IF('Input and Output'!G$7="Detritus",Calculations!$C$4,J969))-(SUM('Input and Output'!E$27:E$32))*K968))</f>
        <v>#N/A</v>
      </c>
      <c r="H969" s="49">
        <f>IF(H$2="",NA(),C969*$B969+H968)</f>
        <v>324480.77524417744</v>
      </c>
      <c r="I969" s="49">
        <f>IF(I$2="",NA(),D969*$B969+I968)</f>
        <v>2973162.4053931632</v>
      </c>
      <c r="J969" s="49">
        <f>IF(J$2="",NA(),E969*$B969+J968)</f>
        <v>1381886.9985626866</v>
      </c>
      <c r="K969" s="49" t="e">
        <f>IF(K$2="",NA(),F969*$B969+K968)</f>
        <v>#N/A</v>
      </c>
    </row>
    <row r="970" spans="1:11" x14ac:dyDescent="0.4">
      <c r="A970" s="49">
        <v>967</v>
      </c>
      <c r="B970" s="49">
        <f>A970/$B$1</f>
        <v>40.291666666666664</v>
      </c>
      <c r="C970" s="49">
        <f>(('Input and Output'!B$23*'Input and Output'!$B$10)+('Input and Output'!B$24*Calculations!$C$5)+('Input and Output'!B$25*Calculations!$C$6)+('Input and Output'!B$26*(IF('Input and Output'!D$7="Detritus",Calculations!$C$4,G970))-(SUM('Input and Output'!B$27:B$32))*H969))</f>
        <v>1.7350535586047044E-6</v>
      </c>
      <c r="D970" s="49">
        <f>(('Input and Output'!C$23*'Input and Output'!$B$10)+('Input and Output'!C$24*Calculations!$C$5)+('Input and Output'!C$25*Calculations!$C$6)+('Input and Output'!C$26*(IF('Input and Output'!E$7="Detritus",Calculations!$C$4,H970))-(SUM('Input and Output'!C$27:C$32))*I969))</f>
        <v>1.4413615645025857E-5</v>
      </c>
      <c r="E970" s="49">
        <f>(('Input and Output'!D$23*'Input and Output'!$B$10)+('Input and Output'!D$24*Calculations!$C$5)+('Input and Output'!D$25*Calculations!$C$6)+('Input and Output'!D$26*(IF('Input and Output'!F$7="Detritus",Calculations!$C$4,I970))-(SUM('Input and Output'!D$27:D$32))*J969))</f>
        <v>1.0143023246200755E-5</v>
      </c>
      <c r="F970" s="49" t="e">
        <f>(('Input and Output'!E$23*'Input and Output'!$B$10)+('Input and Output'!E$24*Calculations!$C$5)+('Input and Output'!E$25*Calculations!$C$6)+('Input and Output'!E$26*(IF('Input and Output'!G$7="Detritus",Calculations!$C$4,J970))-(SUM('Input and Output'!E$27:E$32))*K969))</f>
        <v>#N/A</v>
      </c>
      <c r="H970" s="49">
        <f>IF(H$2="",NA(),C970*$B970+H969)</f>
        <v>324480.77531408565</v>
      </c>
      <c r="I970" s="49">
        <f>IF(I$2="",NA(),D970*$B970+I969)</f>
        <v>2973162.4059739118</v>
      </c>
      <c r="J970" s="49">
        <f>IF(J$2="",NA(),E970*$B970+J969)</f>
        <v>1381886.9989713659</v>
      </c>
      <c r="K970" s="49" t="e">
        <f>IF(K$2="",NA(),F970*$B970+K969)</f>
        <v>#N/A</v>
      </c>
    </row>
    <row r="971" spans="1:11" x14ac:dyDescent="0.4">
      <c r="A971" s="49">
        <v>968</v>
      </c>
      <c r="B971" s="49">
        <f>A971/$B$1</f>
        <v>40.333333333333336</v>
      </c>
      <c r="C971" s="49">
        <f>(('Input and Output'!B$23*'Input and Output'!$B$10)+('Input and Output'!B$24*Calculations!$C$5)+('Input and Output'!B$25*Calculations!$C$6)+('Input and Output'!B$26*(IF('Input and Output'!D$7="Detritus",Calculations!$C$4,G971))-(SUM('Input and Output'!B$27:B$32))*H970))</f>
        <v>1.6676540326443501E-6</v>
      </c>
      <c r="D971" s="49">
        <f>(('Input and Output'!C$23*'Input and Output'!$B$10)+('Input and Output'!C$24*Calculations!$C$5)+('Input and Output'!C$25*Calculations!$C$6)+('Input and Output'!C$26*(IF('Input and Output'!E$7="Detritus",Calculations!$C$4,H971))-(SUM('Input and Output'!C$27:C$32))*I970))</f>
        <v>1.3853106793249026E-5</v>
      </c>
      <c r="E971" s="49">
        <f>(('Input and Output'!D$23*'Input and Output'!$B$10)+('Input and Output'!D$24*Calculations!$C$5)+('Input and Output'!D$25*Calculations!$C$6)+('Input and Output'!D$26*(IF('Input and Output'!F$7="Detritus",Calculations!$C$4,I971))-(SUM('Input and Output'!D$27:D$32))*J970))</f>
        <v>1.1080883268732578E-6</v>
      </c>
      <c r="F971" s="49" t="e">
        <f>(('Input and Output'!E$23*'Input and Output'!$B$10)+('Input and Output'!E$24*Calculations!$C$5)+('Input and Output'!E$25*Calculations!$C$6)+('Input and Output'!E$26*(IF('Input and Output'!G$7="Detritus",Calculations!$C$4,J971))-(SUM('Input and Output'!E$27:E$32))*K970))</f>
        <v>#N/A</v>
      </c>
      <c r="H971" s="49">
        <f>IF(H$2="",NA(),C971*$B971+H970)</f>
        <v>324480.77538134769</v>
      </c>
      <c r="I971" s="49">
        <f>IF(I$2="",NA(),D971*$B971+I970)</f>
        <v>2973162.4065326536</v>
      </c>
      <c r="J971" s="49">
        <f>IF(J$2="",NA(),E971*$B971+J970)</f>
        <v>1381886.9990160589</v>
      </c>
      <c r="K971" s="49" t="e">
        <f>IF(K$2="",NA(),F971*$B971+K970)</f>
        <v>#N/A</v>
      </c>
    </row>
    <row r="972" spans="1:11" x14ac:dyDescent="0.4">
      <c r="A972" s="49">
        <v>969</v>
      </c>
      <c r="B972" s="49">
        <f>A972/$B$1</f>
        <v>40.375</v>
      </c>
      <c r="C972" s="49">
        <f>(('Input and Output'!B$23*'Input and Output'!$B$10)+('Input and Output'!B$24*Calculations!$C$5)+('Input and Output'!B$25*Calculations!$C$6)+('Input and Output'!B$26*(IF('Input and Output'!D$7="Detritus",Calculations!$C$4,G972))-(SUM('Input and Output'!B$27:B$32))*H971))</f>
        <v>1.6028057530093065E-6</v>
      </c>
      <c r="D972" s="49">
        <f>(('Input and Output'!C$23*'Input and Output'!$B$10)+('Input and Output'!C$24*Calculations!$C$5)+('Input and Output'!C$25*Calculations!$C$6)+('Input and Output'!C$26*(IF('Input and Output'!E$7="Detritus",Calculations!$C$4,H972))-(SUM('Input and Output'!C$27:C$32))*I971))</f>
        <v>1.3313839190232102E-5</v>
      </c>
      <c r="E972" s="49">
        <f>(('Input and Output'!D$23*'Input and Output'!$B$10)+('Input and Output'!D$24*Calculations!$C$5)+('Input and Output'!D$25*Calculations!$C$6)+('Input and Output'!D$26*(IF('Input and Output'!F$7="Detritus",Calculations!$C$4,I972))-(SUM('Input and Output'!D$27:D$32))*J971))</f>
        <v>1.1948741303058341E-5</v>
      </c>
      <c r="F972" s="49" t="e">
        <f>(('Input and Output'!E$23*'Input and Output'!$B$10)+('Input and Output'!E$24*Calculations!$C$5)+('Input and Output'!E$25*Calculations!$C$6)+('Input and Output'!E$26*(IF('Input and Output'!G$7="Detritus",Calculations!$C$4,J972))-(SUM('Input and Output'!E$27:E$32))*K971))</f>
        <v>#N/A</v>
      </c>
      <c r="H972" s="49">
        <f>IF(H$2="",NA(),C972*$B972+H971)</f>
        <v>324480.77544606099</v>
      </c>
      <c r="I972" s="49">
        <f>IF(I$2="",NA(),D972*$B972+I971)</f>
        <v>2973162.4070702</v>
      </c>
      <c r="J972" s="49">
        <f>IF(J$2="",NA(),E972*$B972+J971)</f>
        <v>1381886.9994984893</v>
      </c>
      <c r="K972" s="49" t="e">
        <f>IF(K$2="",NA(),F972*$B972+K971)</f>
        <v>#N/A</v>
      </c>
    </row>
    <row r="973" spans="1:11" x14ac:dyDescent="0.4">
      <c r="A973" s="49">
        <v>970</v>
      </c>
      <c r="B973" s="49">
        <f>A973/$B$1</f>
        <v>40.416666666666664</v>
      </c>
      <c r="C973" s="49">
        <f>(('Input and Output'!B$23*'Input and Output'!$B$10)+('Input and Output'!B$24*Calculations!$C$5)+('Input and Output'!B$25*Calculations!$C$6)+('Input and Output'!B$26*(IF('Input and Output'!D$7="Detritus",Calculations!$C$4,G973))-(SUM('Input and Output'!B$27:B$32))*H972))</f>
        <v>1.5404147575281968E-6</v>
      </c>
      <c r="D973" s="49">
        <f>(('Input and Output'!C$23*'Input and Output'!$B$10)+('Input and Output'!C$24*Calculations!$C$5)+('Input and Output'!C$25*Calculations!$C$6)+('Input and Output'!C$26*(IF('Input and Output'!E$7="Detritus",Calculations!$C$4,H973))-(SUM('Input and Output'!C$27:C$32))*I972))</f>
        <v>1.2795028851542156E-5</v>
      </c>
      <c r="E973" s="49">
        <f>(('Input and Output'!D$23*'Input and Output'!$B$10)+('Input and Output'!D$24*Calculations!$C$5)+('Input and Output'!D$25*Calculations!$C$6)+('Input and Output'!D$26*(IF('Input and Output'!F$7="Detritus",Calculations!$C$4,I973))-(SUM('Input and Output'!D$27:D$32))*J972))</f>
        <v>-2.2530693968292326E-6</v>
      </c>
      <c r="F973" s="49" t="e">
        <f>(('Input and Output'!E$23*'Input and Output'!$B$10)+('Input and Output'!E$24*Calculations!$C$5)+('Input and Output'!E$25*Calculations!$C$6)+('Input and Output'!E$26*(IF('Input and Output'!G$7="Detritus",Calculations!$C$4,J973))-(SUM('Input and Output'!E$27:E$32))*K972))</f>
        <v>#N/A</v>
      </c>
      <c r="H973" s="49">
        <f>IF(H$2="",NA(),C973*$B973+H972)</f>
        <v>324480.77550831944</v>
      </c>
      <c r="I973" s="49">
        <f>IF(I$2="",NA(),D973*$B973+I972)</f>
        <v>2973162.4075873322</v>
      </c>
      <c r="J973" s="49">
        <f>IF(J$2="",NA(),E973*$B973+J972)</f>
        <v>1381886.9994074279</v>
      </c>
      <c r="K973" s="49" t="e">
        <f>IF(K$2="",NA(),F973*$B973+K972)</f>
        <v>#N/A</v>
      </c>
    </row>
    <row r="974" spans="1:11" x14ac:dyDescent="0.4">
      <c r="A974" s="49">
        <v>971</v>
      </c>
      <c r="B974" s="49">
        <f>A974/$B$1</f>
        <v>40.458333333333336</v>
      </c>
      <c r="C974" s="49">
        <f>(('Input and Output'!B$23*'Input and Output'!$B$10)+('Input and Output'!B$24*Calculations!$C$5)+('Input and Output'!B$25*Calculations!$C$6)+('Input and Output'!B$26*(IF('Input and Output'!D$7="Detritus",Calculations!$C$4,G974))-(SUM('Input and Output'!B$27:B$32))*H973))</f>
        <v>1.4803904946347757E-6</v>
      </c>
      <c r="D974" s="49">
        <f>(('Input and Output'!C$23*'Input and Output'!$B$10)+('Input and Output'!C$24*Calculations!$C$5)+('Input and Output'!C$25*Calculations!$C$6)+('Input and Output'!C$26*(IF('Input and Output'!E$7="Detritus",Calculations!$C$4,H974))-(SUM('Input and Output'!C$27:C$32))*I973))</f>
        <v>1.2295920896576717E-5</v>
      </c>
      <c r="E974" s="49">
        <f>(('Input and Output'!D$23*'Input and Output'!$B$10)+('Input and Output'!D$24*Calculations!$C$5)+('Input and Output'!D$25*Calculations!$C$6)+('Input and Output'!D$26*(IF('Input and Output'!F$7="Detritus",Calculations!$C$4,I974))-(SUM('Input and Output'!D$27:D$32))*J973))</f>
        <v>1.5201836504274979E-5</v>
      </c>
      <c r="F974" s="49" t="e">
        <f>(('Input and Output'!E$23*'Input and Output'!$B$10)+('Input and Output'!E$24*Calculations!$C$5)+('Input and Output'!E$25*Calculations!$C$6)+('Input and Output'!E$26*(IF('Input and Output'!G$7="Detritus",Calculations!$C$4,J974))-(SUM('Input and Output'!E$27:E$32))*K973))</f>
        <v>#N/A</v>
      </c>
      <c r="H974" s="49">
        <f>IF(H$2="",NA(),C974*$B974+H973)</f>
        <v>324480.77556821355</v>
      </c>
      <c r="I974" s="49">
        <f>IF(I$2="",NA(),D974*$B974+I973)</f>
        <v>2973162.4080848047</v>
      </c>
      <c r="J974" s="49">
        <f>IF(J$2="",NA(),E974*$B974+J973)</f>
        <v>1381887.0000224689</v>
      </c>
      <c r="K974" s="49" t="e">
        <f>IF(K$2="",NA(),F974*$B974+K973)</f>
        <v>#N/A</v>
      </c>
    </row>
    <row r="975" spans="1:11" x14ac:dyDescent="0.4">
      <c r="A975" s="49">
        <v>972</v>
      </c>
      <c r="B975" s="49">
        <f>A975/$B$1</f>
        <v>40.5</v>
      </c>
      <c r="C975" s="49">
        <f>(('Input and Output'!B$23*'Input and Output'!$B$10)+('Input and Output'!B$24*Calculations!$C$5)+('Input and Output'!B$25*Calculations!$C$6)+('Input and Output'!B$26*(IF('Input and Output'!D$7="Detritus",Calculations!$C$4,G975))-(SUM('Input and Output'!B$27:B$32))*H974))</f>
        <v>1.4226457665245107E-6</v>
      </c>
      <c r="D975" s="49">
        <f>(('Input and Output'!C$23*'Input and Output'!$B$10)+('Input and Output'!C$24*Calculations!$C$5)+('Input and Output'!C$25*Calculations!$C$6)+('Input and Output'!C$26*(IF('Input and Output'!E$7="Detritus",Calculations!$C$4,H975))-(SUM('Input and Output'!C$27:C$32))*I974))</f>
        <v>1.1815788639069069E-5</v>
      </c>
      <c r="E975" s="49">
        <f>(('Input and Output'!D$23*'Input and Output'!$B$10)+('Input and Output'!D$24*Calculations!$C$5)+('Input and Output'!D$25*Calculations!$C$6)+('Input and Output'!D$26*(IF('Input and Output'!F$7="Detritus",Calculations!$C$4,I975))-(SUM('Input and Output'!D$27:D$32))*J974))</f>
        <v>-7.3910887294914573E-6</v>
      </c>
      <c r="F975" s="49" t="e">
        <f>(('Input and Output'!E$23*'Input and Output'!$B$10)+('Input and Output'!E$24*Calculations!$C$5)+('Input and Output'!E$25*Calculations!$C$6)+('Input and Output'!E$26*(IF('Input and Output'!G$7="Detritus",Calculations!$C$4,J975))-(SUM('Input and Output'!E$27:E$32))*K974))</f>
        <v>#N/A</v>
      </c>
      <c r="H975" s="49">
        <f>IF(H$2="",NA(),C975*$B975+H974)</f>
        <v>324480.77562583069</v>
      </c>
      <c r="I975" s="49">
        <f>IF(I$2="",NA(),D975*$B975+I974)</f>
        <v>2973162.4085633443</v>
      </c>
      <c r="J975" s="49">
        <f>IF(J$2="",NA(),E975*$B975+J974)</f>
        <v>1381886.9997231297</v>
      </c>
      <c r="K975" s="49" t="e">
        <f>IF(K$2="",NA(),F975*$B975+K974)</f>
        <v>#N/A</v>
      </c>
    </row>
    <row r="976" spans="1:11" x14ac:dyDescent="0.4">
      <c r="A976" s="49">
        <v>973</v>
      </c>
      <c r="B976" s="49">
        <f>A976/$B$1</f>
        <v>40.541666666666664</v>
      </c>
      <c r="C976" s="49">
        <f>(('Input and Output'!B$23*'Input and Output'!$B$10)+('Input and Output'!B$24*Calculations!$C$5)+('Input and Output'!B$25*Calculations!$C$6)+('Input and Output'!B$26*(IF('Input and Output'!D$7="Detritus",Calculations!$C$4,G976))-(SUM('Input and Output'!B$27:B$32))*H975))</f>
        <v>1.3670962744072312E-6</v>
      </c>
      <c r="D976" s="49">
        <f>(('Input and Output'!C$23*'Input and Output'!$B$10)+('Input and Output'!C$24*Calculations!$C$5)+('Input and Output'!C$25*Calculations!$C$6)+('Input and Output'!C$26*(IF('Input and Output'!E$7="Detritus",Calculations!$C$4,H976))-(SUM('Input and Output'!C$27:C$32))*I975))</f>
        <v>1.1353929039614741E-5</v>
      </c>
      <c r="E976" s="49">
        <f>(('Input and Output'!D$23*'Input and Output'!$B$10)+('Input and Output'!D$24*Calculations!$C$5)+('Input and Output'!D$25*Calculations!$C$6)+('Input and Output'!D$26*(IF('Input and Output'!F$7="Detritus",Calculations!$C$4,I976))-(SUM('Input and Output'!D$27:D$32))*J975))</f>
        <v>2.0815296011278406E-5</v>
      </c>
      <c r="F976" s="49" t="e">
        <f>(('Input and Output'!E$23*'Input and Output'!$B$10)+('Input and Output'!E$24*Calculations!$C$5)+('Input and Output'!E$25*Calculations!$C$6)+('Input and Output'!E$26*(IF('Input and Output'!G$7="Detritus",Calculations!$C$4,J976))-(SUM('Input and Output'!E$27:E$32))*K975))</f>
        <v>#N/A</v>
      </c>
      <c r="H976" s="49">
        <f>IF(H$2="",NA(),C976*$B976+H975)</f>
        <v>324480.77568125504</v>
      </c>
      <c r="I976" s="49">
        <f>IF(I$2="",NA(),D976*$B976+I975)</f>
        <v>2973162.4090236514</v>
      </c>
      <c r="J976" s="49">
        <f>IF(J$2="",NA(),E976*$B976+J975)</f>
        <v>1381887.0005670164</v>
      </c>
      <c r="K976" s="49" t="e">
        <f>IF(K$2="",NA(),F976*$B976+K975)</f>
        <v>#N/A</v>
      </c>
    </row>
    <row r="977" spans="1:11" x14ac:dyDescent="0.4">
      <c r="A977" s="49">
        <v>974</v>
      </c>
      <c r="B977" s="49">
        <f>A977/$B$1</f>
        <v>40.583333333333336</v>
      </c>
      <c r="C977" s="49">
        <f>(('Input and Output'!B$23*'Input and Output'!$B$10)+('Input and Output'!B$24*Calculations!$C$5)+('Input and Output'!B$25*Calculations!$C$6)+('Input and Output'!B$26*(IF('Input and Output'!D$7="Detritus",Calculations!$C$4,G977))-(SUM('Input and Output'!B$27:B$32))*H976))</f>
        <v>1.3136608458808041E-6</v>
      </c>
      <c r="D977" s="49">
        <f>(('Input and Output'!C$23*'Input and Output'!$B$10)+('Input and Output'!C$24*Calculations!$C$5)+('Input and Output'!C$25*Calculations!$C$6)+('Input and Output'!C$26*(IF('Input and Output'!E$7="Detritus",Calculations!$C$4,H977))-(SUM('Input and Output'!C$27:C$32))*I976))</f>
        <v>1.090966907213442E-5</v>
      </c>
      <c r="E977" s="49">
        <f>(('Input and Output'!D$23*'Input and Output'!$B$10)+('Input and Output'!D$24*Calculations!$C$5)+('Input and Output'!D$25*Calculations!$C$6)+('Input and Output'!D$26*(IF('Input and Output'!F$7="Detritus",Calculations!$C$4,I977))-(SUM('Input and Output'!D$27:D$32))*J976))</f>
        <v>-1.5493202226934955E-5</v>
      </c>
      <c r="F977" s="49" t="e">
        <f>(('Input and Output'!E$23*'Input and Output'!$B$10)+('Input and Output'!E$24*Calculations!$C$5)+('Input and Output'!E$25*Calculations!$C$6)+('Input and Output'!E$26*(IF('Input and Output'!G$7="Detritus",Calculations!$C$4,J977))-(SUM('Input and Output'!E$27:E$32))*K976))</f>
        <v>#N/A</v>
      </c>
      <c r="H977" s="49">
        <f>IF(H$2="",NA(),C977*$B977+H976)</f>
        <v>324480.77573456778</v>
      </c>
      <c r="I977" s="49">
        <f>IF(I$2="",NA(),D977*$B977+I976)</f>
        <v>2973162.4094664021</v>
      </c>
      <c r="J977" s="49">
        <f>IF(J$2="",NA(),E977*$B977+J976)</f>
        <v>1381886.9999382505</v>
      </c>
      <c r="K977" s="49" t="e">
        <f>IF(K$2="",NA(),F977*$B977+K976)</f>
        <v>#N/A</v>
      </c>
    </row>
    <row r="978" spans="1:11" x14ac:dyDescent="0.4">
      <c r="A978" s="49">
        <v>975</v>
      </c>
      <c r="B978" s="49">
        <f>A978/$B$1</f>
        <v>40.625</v>
      </c>
      <c r="C978" s="49">
        <f>(('Input and Output'!B$23*'Input and Output'!$B$10)+('Input and Output'!B$24*Calculations!$C$5)+('Input and Output'!B$25*Calculations!$C$6)+('Input and Output'!B$26*(IF('Input and Output'!D$7="Detritus",Calculations!$C$4,G978))-(SUM('Input and Output'!B$27:B$32))*H977))</f>
        <v>1.2622612644008768E-6</v>
      </c>
      <c r="D978" s="49">
        <f>(('Input and Output'!C$23*'Input and Output'!$B$10)+('Input and Output'!C$24*Calculations!$C$5)+('Input and Output'!C$25*Calculations!$C$6)+('Input and Output'!C$26*(IF('Input and Output'!E$7="Detritus",Calculations!$C$4,H978))-(SUM('Input and Output'!C$27:C$32))*I977))</f>
        <v>1.0482352990948129E-5</v>
      </c>
      <c r="E978" s="49">
        <f>(('Input and Output'!D$23*'Input and Output'!$B$10)+('Input and Output'!D$24*Calculations!$C$5)+('Input and Output'!D$25*Calculations!$C$6)+('Input and Output'!D$26*(IF('Input and Output'!F$7="Detritus",Calculations!$C$4,I978))-(SUM('Input and Output'!D$27:D$32))*J977))</f>
        <v>3.0322309612529352E-5</v>
      </c>
      <c r="F978" s="49" t="e">
        <f>(('Input and Output'!E$23*'Input and Output'!$B$10)+('Input and Output'!E$24*Calculations!$C$5)+('Input and Output'!E$25*Calculations!$C$6)+('Input and Output'!E$26*(IF('Input and Output'!G$7="Detritus",Calculations!$C$4,J978))-(SUM('Input and Output'!E$27:E$32))*K977))</f>
        <v>#N/A</v>
      </c>
      <c r="H978" s="49">
        <f>IF(H$2="",NA(),C978*$B978+H977)</f>
        <v>324480.77578584716</v>
      </c>
      <c r="I978" s="49">
        <f>IF(I$2="",NA(),D978*$B978+I977)</f>
        <v>2973162.4098922475</v>
      </c>
      <c r="J978" s="49">
        <f>IF(J$2="",NA(),E978*$B978+J977)</f>
        <v>1381887.0011700944</v>
      </c>
      <c r="K978" s="49" t="e">
        <f>IF(K$2="",NA(),F978*$B978+K977)</f>
        <v>#N/A</v>
      </c>
    </row>
    <row r="979" spans="1:11" x14ac:dyDescent="0.4">
      <c r="A979" s="49">
        <v>976</v>
      </c>
      <c r="B979" s="49">
        <f>A979/$B$1</f>
        <v>40.666666666666664</v>
      </c>
      <c r="C979" s="49">
        <f>(('Input and Output'!B$23*'Input and Output'!$B$10)+('Input and Output'!B$24*Calculations!$C$5)+('Input and Output'!B$25*Calculations!$C$6)+('Input and Output'!B$26*(IF('Input and Output'!D$7="Detritus",Calculations!$C$4,G979))-(SUM('Input and Output'!B$27:B$32))*H978))</f>
        <v>1.2128220987506211E-6</v>
      </c>
      <c r="D979" s="49">
        <f>(('Input and Output'!C$23*'Input and Output'!$B$10)+('Input and Output'!C$24*Calculations!$C$5)+('Input and Output'!C$25*Calculations!$C$6)+('Input and Output'!C$26*(IF('Input and Output'!E$7="Detritus",Calculations!$C$4,H979))-(SUM('Input and Output'!C$27:C$32))*I978))</f>
        <v>1.0071353244711645E-5</v>
      </c>
      <c r="E979" s="49">
        <f>(('Input and Output'!D$23*'Input and Output'!$B$10)+('Input and Output'!D$24*Calculations!$C$5)+('Input and Output'!D$25*Calculations!$C$6)+('Input and Output'!D$26*(IF('Input and Output'!F$7="Detritus",Calculations!$C$4,I979))-(SUM('Input and Output'!D$27:D$32))*J978))</f>
        <v>-2.8555423341458663E-5</v>
      </c>
      <c r="F979" s="49" t="e">
        <f>(('Input and Output'!E$23*'Input and Output'!$B$10)+('Input and Output'!E$24*Calculations!$C$5)+('Input and Output'!E$25*Calculations!$C$6)+('Input and Output'!E$26*(IF('Input and Output'!G$7="Detritus",Calculations!$C$4,J979))-(SUM('Input and Output'!E$27:E$32))*K978))</f>
        <v>#N/A</v>
      </c>
      <c r="H979" s="49">
        <f>IF(H$2="",NA(),C979*$B979+H978)</f>
        <v>324480.77583516861</v>
      </c>
      <c r="I979" s="49">
        <f>IF(I$2="",NA(),D979*$B979+I978)</f>
        <v>2973162.4103018157</v>
      </c>
      <c r="J979" s="49">
        <f>IF(J$2="",NA(),E979*$B979+J978)</f>
        <v>1381887.0000088406</v>
      </c>
      <c r="K979" s="49" t="e">
        <f>IF(K$2="",NA(),F979*$B979+K978)</f>
        <v>#N/A</v>
      </c>
    </row>
    <row r="980" spans="1:11" x14ac:dyDescent="0.4">
      <c r="A980" s="49">
        <v>977</v>
      </c>
      <c r="B980" s="49">
        <f>A980/$B$1</f>
        <v>40.708333333333336</v>
      </c>
      <c r="C980" s="49">
        <f>(('Input and Output'!B$23*'Input and Output'!$B$10)+('Input and Output'!B$24*Calculations!$C$5)+('Input and Output'!B$25*Calculations!$C$6)+('Input and Output'!B$26*(IF('Input and Output'!D$7="Detritus",Calculations!$C$4,G980))-(SUM('Input and Output'!B$27:B$32))*H979))</f>
        <v>1.165270589353895E-6</v>
      </c>
      <c r="D980" s="49">
        <f>(('Input and Output'!C$23*'Input and Output'!$B$10)+('Input and Output'!C$24*Calculations!$C$5)+('Input and Output'!C$25*Calculations!$C$6)+('Input and Output'!C$26*(IF('Input and Output'!E$7="Detritus",Calculations!$C$4,H980))-(SUM('Input and Output'!C$27:C$32))*I979))</f>
        <v>9.6760622909641825E-6</v>
      </c>
      <c r="E980" s="49">
        <f>(('Input and Output'!D$23*'Input and Output'!$B$10)+('Input and Output'!D$24*Calculations!$C$5)+('Input and Output'!D$25*Calculations!$C$6)+('Input and Output'!D$26*(IF('Input and Output'!F$7="Detritus",Calculations!$C$4,I980))-(SUM('Input and Output'!D$27:D$32))*J979))</f>
        <v>4.6313394705066457E-5</v>
      </c>
      <c r="F980" s="49" t="e">
        <f>(('Input and Output'!E$23*'Input and Output'!$B$10)+('Input and Output'!E$24*Calculations!$C$5)+('Input and Output'!E$25*Calculations!$C$6)+('Input and Output'!E$26*(IF('Input and Output'!G$7="Detritus",Calculations!$C$4,J980))-(SUM('Input and Output'!E$27:E$32))*K979))</f>
        <v>#N/A</v>
      </c>
      <c r="H980" s="49">
        <f>IF(H$2="",NA(),C980*$B980+H979)</f>
        <v>324480.77588260482</v>
      </c>
      <c r="I980" s="49">
        <f>IF(I$2="",NA(),D980*$B980+I979)</f>
        <v>2973162.4106957121</v>
      </c>
      <c r="J980" s="49">
        <f>IF(J$2="",NA(),E980*$B980+J979)</f>
        <v>1381887.0018941816</v>
      </c>
      <c r="K980" s="49" t="e">
        <f>IF(K$2="",NA(),F980*$B980+K979)</f>
        <v>#N/A</v>
      </c>
    </row>
    <row r="981" spans="1:11" x14ac:dyDescent="0.4">
      <c r="A981" s="49">
        <v>978</v>
      </c>
      <c r="B981" s="49">
        <f>A981/$B$1</f>
        <v>40.75</v>
      </c>
      <c r="C981" s="49">
        <f>(('Input and Output'!B$23*'Input and Output'!$B$10)+('Input and Output'!B$24*Calculations!$C$5)+('Input and Output'!B$25*Calculations!$C$6)+('Input and Output'!B$26*(IF('Input and Output'!D$7="Detritus",Calculations!$C$4,G981))-(SUM('Input and Output'!B$27:B$32))*H980))</f>
        <v>1.1195367051186622E-6</v>
      </c>
      <c r="D981" s="49">
        <f>(('Input and Output'!C$23*'Input and Output'!$B$10)+('Input and Output'!C$24*Calculations!$C$5)+('Input and Output'!C$25*Calculations!$C$6)+('Input and Output'!C$26*(IF('Input and Output'!E$7="Detritus",Calculations!$C$4,H981))-(SUM('Input and Output'!C$27:C$32))*I980))</f>
        <v>9.2958998720860109E-6</v>
      </c>
      <c r="E981" s="49">
        <f>(('Input and Output'!D$23*'Input and Output'!$B$10)+('Input and Output'!D$24*Calculations!$C$5)+('Input and Output'!D$25*Calculations!$C$6)+('Input and Output'!D$26*(IF('Input and Output'!F$7="Detritus",Calculations!$C$4,I981))-(SUM('Input and Output'!D$27:D$32))*J980))</f>
        <v>-4.9957230658037588E-5</v>
      </c>
      <c r="F981" s="49" t="e">
        <f>(('Input and Output'!E$23*'Input and Output'!$B$10)+('Input and Output'!E$24*Calculations!$C$5)+('Input and Output'!E$25*Calculations!$C$6)+('Input and Output'!E$26*(IF('Input and Output'!G$7="Detritus",Calculations!$C$4,J981))-(SUM('Input and Output'!E$27:E$32))*K980))</f>
        <v>#N/A</v>
      </c>
      <c r="H981" s="49">
        <f>IF(H$2="",NA(),C981*$B981+H980)</f>
        <v>324480.77592822595</v>
      </c>
      <c r="I981" s="49">
        <f>IF(I$2="",NA(),D981*$B981+I980)</f>
        <v>2973162.4110745201</v>
      </c>
      <c r="J981" s="49">
        <f>IF(J$2="",NA(),E981*$B981+J980)</f>
        <v>1381886.9998584245</v>
      </c>
      <c r="K981" s="49" t="e">
        <f>IF(K$2="",NA(),F981*$B981+K980)</f>
        <v>#N/A</v>
      </c>
    </row>
    <row r="982" spans="1:11" x14ac:dyDescent="0.4">
      <c r="A982" s="49">
        <v>979</v>
      </c>
      <c r="B982" s="49">
        <f>A982/$B$1</f>
        <v>40.791666666666664</v>
      </c>
      <c r="C982" s="49">
        <f>(('Input and Output'!B$23*'Input and Output'!$B$10)+('Input and Output'!B$24*Calculations!$C$5)+('Input and Output'!B$25*Calculations!$C$6)+('Input and Output'!B$26*(IF('Input and Output'!D$7="Detritus",Calculations!$C$4,G982))-(SUM('Input and Output'!B$27:B$32))*H981))</f>
        <v>1.0755526886896405E-6</v>
      </c>
      <c r="D982" s="49">
        <f>(('Input and Output'!C$23*'Input and Output'!$B$10)+('Input and Output'!C$24*Calculations!$C$5)+('Input and Output'!C$25*Calculations!$C$6)+('Input and Output'!C$26*(IF('Input and Output'!E$7="Detritus",Calculations!$C$4,H982))-(SUM('Input and Output'!C$27:C$32))*I981))</f>
        <v>8.9302984633832239E-6</v>
      </c>
      <c r="E982" s="49">
        <f>(('Input and Output'!D$23*'Input and Output'!$B$10)+('Input and Output'!D$24*Calculations!$C$5)+('Input and Output'!D$25*Calculations!$C$6)+('Input and Output'!D$26*(IF('Input and Output'!F$7="Detritus",Calculations!$C$4,I982))-(SUM('Input and Output'!D$27:D$32))*J981))</f>
        <v>7.3193168645957485E-5</v>
      </c>
      <c r="F982" s="49" t="e">
        <f>(('Input and Output'!E$23*'Input and Output'!$B$10)+('Input and Output'!E$24*Calculations!$C$5)+('Input and Output'!E$25*Calculations!$C$6)+('Input and Output'!E$26*(IF('Input and Output'!G$7="Detritus",Calculations!$C$4,J982))-(SUM('Input and Output'!E$27:E$32))*K981))</f>
        <v>#N/A</v>
      </c>
      <c r="H982" s="49">
        <f>IF(H$2="",NA(),C982*$B982+H981)</f>
        <v>324480.77597209951</v>
      </c>
      <c r="I982" s="49">
        <f>IF(I$2="",NA(),D982*$B982+I981)</f>
        <v>2973162.4114388018</v>
      </c>
      <c r="J982" s="49">
        <f>IF(J$2="",NA(),E982*$B982+J981)</f>
        <v>1381887.0028440959</v>
      </c>
      <c r="K982" s="49" t="e">
        <f>IF(K$2="",NA(),F982*$B982+K981)</f>
        <v>#N/A</v>
      </c>
    </row>
    <row r="983" spans="1:11" x14ac:dyDescent="0.4">
      <c r="A983" s="49">
        <v>980</v>
      </c>
      <c r="B983" s="49">
        <f>A983/$B$1</f>
        <v>40.833333333333336</v>
      </c>
      <c r="C983" s="49">
        <f>(('Input and Output'!B$23*'Input and Output'!$B$10)+('Input and Output'!B$24*Calculations!$C$5)+('Input and Output'!B$25*Calculations!$C$6)+('Input and Output'!B$26*(IF('Input and Output'!D$7="Detritus",Calculations!$C$4,G983))-(SUM('Input and Output'!B$27:B$32))*H982))</f>
        <v>1.033253568039072E-6</v>
      </c>
      <c r="D983" s="49">
        <f>(('Input and Output'!C$23*'Input and Output'!$B$10)+('Input and Output'!C$24*Calculations!$C$5)+('Input and Output'!C$25*Calculations!$C$6)+('Input and Output'!C$26*(IF('Input and Output'!E$7="Detritus",Calculations!$C$4,H983))-(SUM('Input and Output'!C$27:C$32))*I982))</f>
        <v>8.5787160060135648E-6</v>
      </c>
      <c r="E983" s="49">
        <f>(('Input and Output'!D$23*'Input and Output'!$B$10)+('Input and Output'!D$24*Calculations!$C$5)+('Input and Output'!D$25*Calculations!$C$6)+('Input and Output'!D$26*(IF('Input and Output'!F$7="Detritus",Calculations!$C$4,I983))-(SUM('Input and Output'!D$27:D$32))*J982))</f>
        <v>-8.5459960246225819E-5</v>
      </c>
      <c r="F983" s="49" t="e">
        <f>(('Input and Output'!E$23*'Input and Output'!$B$10)+('Input and Output'!E$24*Calculations!$C$5)+('Input and Output'!E$25*Calculations!$C$6)+('Input and Output'!E$26*(IF('Input and Output'!G$7="Detritus",Calculations!$C$4,J983))-(SUM('Input and Output'!E$27:E$32))*K982))</f>
        <v>#N/A</v>
      </c>
      <c r="H983" s="49">
        <f>IF(H$2="",NA(),C983*$B983+H982)</f>
        <v>324480.77601429069</v>
      </c>
      <c r="I983" s="49">
        <f>IF(I$2="",NA(),D983*$B983+I982)</f>
        <v>2973162.4117890992</v>
      </c>
      <c r="J983" s="49">
        <f>IF(J$2="",NA(),E983*$B983+J982)</f>
        <v>1381886.999354481</v>
      </c>
      <c r="K983" s="49" t="e">
        <f>IF(K$2="",NA(),F983*$B983+K982)</f>
        <v>#N/A</v>
      </c>
    </row>
    <row r="984" spans="1:11" x14ac:dyDescent="0.4">
      <c r="A984" s="49">
        <v>981</v>
      </c>
      <c r="B984" s="49">
        <f>A984/$B$1</f>
        <v>40.875</v>
      </c>
      <c r="C984" s="49">
        <f>(('Input and Output'!B$23*'Input and Output'!$B$10)+('Input and Output'!B$24*Calculations!$C$5)+('Input and Output'!B$25*Calculations!$C$6)+('Input and Output'!B$26*(IF('Input and Output'!D$7="Detritus",Calculations!$C$4,G984))-(SUM('Input and Output'!B$27:B$32))*H983))</f>
        <v>9.9257647434569662E-7</v>
      </c>
      <c r="D984" s="49">
        <f>(('Input and Output'!C$23*'Input and Output'!$B$10)+('Input and Output'!C$24*Calculations!$C$5)+('Input and Output'!C$25*Calculations!$C$6)+('Input and Output'!C$26*(IF('Input and Output'!E$7="Detritus",Calculations!$C$4,H984))-(SUM('Input and Output'!C$27:C$32))*I983))</f>
        <v>8.2406313595129177E-6</v>
      </c>
      <c r="E984" s="49">
        <f>(('Input and Output'!D$23*'Input and Output'!$B$10)+('Input and Output'!D$24*Calculations!$C$5)+('Input and Output'!D$25*Calculations!$C$6)+('Input and Output'!D$26*(IF('Input and Output'!F$7="Detritus",Calculations!$C$4,I984))-(SUM('Input and Output'!D$27:D$32))*J983))</f>
        <v>1.1849929069285281E-4</v>
      </c>
      <c r="F984" s="49" t="e">
        <f>(('Input and Output'!E$23*'Input and Output'!$B$10)+('Input and Output'!E$24*Calculations!$C$5)+('Input and Output'!E$25*Calculations!$C$6)+('Input and Output'!E$26*(IF('Input and Output'!G$7="Detritus",Calculations!$C$4,J984))-(SUM('Input and Output'!E$27:E$32))*K983))</f>
        <v>#N/A</v>
      </c>
      <c r="H984" s="49">
        <f>IF(H$2="",NA(),C984*$B984+H983)</f>
        <v>324480.77605486225</v>
      </c>
      <c r="I984" s="49">
        <f>IF(I$2="",NA(),D984*$B984+I983)</f>
        <v>2973162.4121259348</v>
      </c>
      <c r="J984" s="49">
        <f>IF(J$2="",NA(),E984*$B984+J983)</f>
        <v>1381887.0041981395</v>
      </c>
      <c r="K984" s="49" t="e">
        <f>IF(K$2="",NA(),F984*$B984+K983)</f>
        <v>#N/A</v>
      </c>
    </row>
    <row r="985" spans="1:11" x14ac:dyDescent="0.4">
      <c r="A985" s="49">
        <v>982</v>
      </c>
      <c r="B985" s="49">
        <f>A985/$B$1</f>
        <v>40.916666666666664</v>
      </c>
      <c r="C985" s="49">
        <f>(('Input and Output'!B$23*'Input and Output'!$B$10)+('Input and Output'!B$24*Calculations!$C$5)+('Input and Output'!B$25*Calculations!$C$6)+('Input and Output'!B$26*(IF('Input and Output'!D$7="Detritus",Calculations!$C$4,G985))-(SUM('Input and Output'!B$27:B$32))*H984))</f>
        <v>9.5346086936842767E-7</v>
      </c>
      <c r="D985" s="49">
        <f>(('Input and Output'!C$23*'Input and Output'!$B$10)+('Input and Output'!C$24*Calculations!$C$5)+('Input and Output'!C$25*Calculations!$C$6)+('Input and Output'!C$26*(IF('Input and Output'!E$7="Detritus",Calculations!$C$4,H985))-(SUM('Input and Output'!C$27:C$32))*I984))</f>
        <v>7.915542482805904E-6</v>
      </c>
      <c r="E985" s="49">
        <f>(('Input and Output'!D$23*'Input and Output'!$B$10)+('Input and Output'!D$24*Calculations!$C$5)+('Input and Output'!D$25*Calculations!$C$6)+('Input and Output'!D$26*(IF('Input and Output'!F$7="Detritus",Calculations!$C$4,I985))-(SUM('Input and Output'!D$27:D$32))*J984))</f>
        <v>-1.4495190043817274E-4</v>
      </c>
      <c r="F985" s="49" t="e">
        <f>(('Input and Output'!E$23*'Input and Output'!$B$10)+('Input and Output'!E$24*Calculations!$C$5)+('Input and Output'!E$25*Calculations!$C$6)+('Input and Output'!E$26*(IF('Input and Output'!G$7="Detritus",Calculations!$C$4,J985))-(SUM('Input and Output'!E$27:E$32))*K984))</f>
        <v>#N/A</v>
      </c>
      <c r="H985" s="49">
        <f>IF(H$2="",NA(),C985*$B985+H984)</f>
        <v>324480.77609387471</v>
      </c>
      <c r="I985" s="49">
        <f>IF(I$2="",NA(),D985*$B985+I984)</f>
        <v>2973162.4124498125</v>
      </c>
      <c r="J985" s="49">
        <f>IF(J$2="",NA(),E985*$B985+J984)</f>
        <v>1381886.998267191</v>
      </c>
      <c r="K985" s="49" t="e">
        <f>IF(K$2="",NA(),F985*$B985+K984)</f>
        <v>#N/A</v>
      </c>
    </row>
    <row r="986" spans="1:11" x14ac:dyDescent="0.4">
      <c r="A986" s="49">
        <v>983</v>
      </c>
      <c r="B986" s="49">
        <f>A986/$B$1</f>
        <v>40.958333333333336</v>
      </c>
      <c r="C986" s="49">
        <f>(('Input and Output'!B$23*'Input and Output'!$B$10)+('Input and Output'!B$24*Calculations!$C$5)+('Input and Output'!B$25*Calculations!$C$6)+('Input and Output'!B$26*(IF('Input and Output'!D$7="Detritus",Calculations!$C$4,G986))-(SUM('Input and Output'!B$27:B$32))*H985))</f>
        <v>9.1584843175951391E-7</v>
      </c>
      <c r="D986" s="49">
        <f>(('Input and Output'!C$23*'Input and Output'!$B$10)+('Input and Output'!C$24*Calculations!$C$5)+('Input and Output'!C$25*Calculations!$C$6)+('Input and Output'!C$26*(IF('Input and Output'!E$7="Detritus",Calculations!$C$4,H986))-(SUM('Input and Output'!C$27:C$32))*I985))</f>
        <v>7.6029591582482681E-6</v>
      </c>
      <c r="E986" s="49">
        <f>(('Input and Output'!D$23*'Input and Output'!$B$10)+('Input and Output'!D$24*Calculations!$C$5)+('Input and Output'!D$25*Calculations!$C$6)+('Input and Output'!D$26*(IF('Input and Output'!F$7="Detritus",Calculations!$C$4,I986))-(SUM('Input and Output'!D$27:D$32))*J985))</f>
        <v>1.9521527065080591E-4</v>
      </c>
      <c r="F986" s="49" t="e">
        <f>(('Input and Output'!E$23*'Input and Output'!$B$10)+('Input and Output'!E$24*Calculations!$C$5)+('Input and Output'!E$25*Calculations!$C$6)+('Input and Output'!E$26*(IF('Input and Output'!G$7="Detritus",Calculations!$C$4,J986))-(SUM('Input and Output'!E$27:E$32))*K985))</f>
        <v>#N/A</v>
      </c>
      <c r="H986" s="49">
        <f>IF(H$2="",NA(),C986*$B986+H985)</f>
        <v>324480.77613138634</v>
      </c>
      <c r="I986" s="49">
        <f>IF(I$2="",NA(),D986*$B986+I985)</f>
        <v>2973162.412761217</v>
      </c>
      <c r="J986" s="49">
        <f>IF(J$2="",NA(),E986*$B986+J985)</f>
        <v>1381887.0062628831</v>
      </c>
      <c r="K986" s="49" t="e">
        <f>IF(K$2="",NA(),F986*$B986+K985)</f>
        <v>#N/A</v>
      </c>
    </row>
    <row r="987" spans="1:11" x14ac:dyDescent="0.4">
      <c r="A987" s="49">
        <v>984</v>
      </c>
      <c r="B987" s="49">
        <f>A987/$B$1</f>
        <v>41</v>
      </c>
      <c r="C987" s="49">
        <f>(('Input and Output'!B$23*'Input and Output'!$B$10)+('Input and Output'!B$24*Calculations!$C$5)+('Input and Output'!B$25*Calculations!$C$6)+('Input and Output'!B$26*(IF('Input and Output'!D$7="Detritus",Calculations!$C$4,G987))-(SUM('Input and Output'!B$27:B$32))*H986))</f>
        <v>8.7968288653428317E-7</v>
      </c>
      <c r="D987" s="49">
        <f>(('Input and Output'!C$23*'Input and Output'!$B$10)+('Input and Output'!C$24*Calculations!$C$5)+('Input and Output'!C$25*Calculations!$C$6)+('Input and Output'!C$26*(IF('Input and Output'!E$7="Detritus",Calculations!$C$4,H987))-(SUM('Input and Output'!C$27:C$32))*I986))</f>
        <v>7.3024120865738951E-6</v>
      </c>
      <c r="E987" s="49">
        <f>(('Input and Output'!D$23*'Input and Output'!$B$10)+('Input and Output'!D$24*Calculations!$C$5)+('Input and Output'!D$25*Calculations!$C$6)+('Input and Output'!D$26*(IF('Input and Output'!F$7="Detritus",Calculations!$C$4,I987))-(SUM('Input and Output'!D$27:D$32))*J986))</f>
        <v>-2.4551844035158865E-4</v>
      </c>
      <c r="F987" s="49" t="e">
        <f>(('Input and Output'!E$23*'Input and Output'!$B$10)+('Input and Output'!E$24*Calculations!$C$5)+('Input and Output'!E$25*Calculations!$C$6)+('Input and Output'!E$26*(IF('Input and Output'!G$7="Detritus",Calculations!$C$4,J987))-(SUM('Input and Output'!E$27:E$32))*K986))</f>
        <v>#N/A</v>
      </c>
      <c r="H987" s="49">
        <f>IF(H$2="",NA(),C987*$B987+H986)</f>
        <v>324480.77616745332</v>
      </c>
      <c r="I987" s="49">
        <f>IF(I$2="",NA(),D987*$B987+I986)</f>
        <v>2973162.4130606158</v>
      </c>
      <c r="J987" s="49">
        <f>IF(J$2="",NA(),E987*$B987+J986)</f>
        <v>1381886.9961966269</v>
      </c>
      <c r="K987" s="49" t="e">
        <f>IF(K$2="",NA(),F987*$B987+K986)</f>
        <v>#N/A</v>
      </c>
    </row>
    <row r="988" spans="1:11" x14ac:dyDescent="0.4">
      <c r="A988" s="49">
        <v>985</v>
      </c>
      <c r="B988" s="49">
        <f>A988/$B$1</f>
        <v>41.041666666666664</v>
      </c>
      <c r="C988" s="49">
        <f>(('Input and Output'!B$23*'Input and Output'!$B$10)+('Input and Output'!B$24*Calculations!$C$5)+('Input and Output'!B$25*Calculations!$C$6)+('Input and Output'!B$26*(IF('Input and Output'!D$7="Detritus",Calculations!$C$4,G988))-(SUM('Input and Output'!B$27:B$32))*H987))</f>
        <v>8.4491023244481767E-7</v>
      </c>
      <c r="D988" s="49">
        <f>(('Input and Output'!C$23*'Input and Output'!$B$10)+('Input and Output'!C$24*Calculations!$C$5)+('Input and Output'!C$25*Calculations!$C$6)+('Input and Output'!C$26*(IF('Input and Output'!E$7="Detritus",Calculations!$C$4,H988))-(SUM('Input and Output'!C$27:C$32))*I987))</f>
        <v>7.0134537963895127E-6</v>
      </c>
      <c r="E988" s="49">
        <f>(('Input and Output'!D$23*'Input and Output'!$B$10)+('Input and Output'!D$24*Calculations!$C$5)+('Input and Output'!D$25*Calculations!$C$6)+('Input and Output'!D$26*(IF('Input and Output'!F$7="Detritus",Calculations!$C$4,I988))-(SUM('Input and Output'!D$27:D$32))*J987))</f>
        <v>3.258521064708475E-4</v>
      </c>
      <c r="F988" s="49" t="e">
        <f>(('Input and Output'!E$23*'Input and Output'!$B$10)+('Input and Output'!E$24*Calculations!$C$5)+('Input and Output'!E$25*Calculations!$C$6)+('Input and Output'!E$26*(IF('Input and Output'!G$7="Detritus",Calculations!$C$4,J988))-(SUM('Input and Output'!E$27:E$32))*K987))</f>
        <v>#N/A</v>
      </c>
      <c r="H988" s="49">
        <f>IF(H$2="",NA(),C988*$B988+H987)</f>
        <v>324480.77620212984</v>
      </c>
      <c r="I988" s="49">
        <f>IF(I$2="",NA(),D988*$B988+I987)</f>
        <v>2973162.4133484596</v>
      </c>
      <c r="J988" s="49">
        <f>IF(J$2="",NA(),E988*$B988+J987)</f>
        <v>1381887.0095701404</v>
      </c>
      <c r="K988" s="49" t="e">
        <f>IF(K$2="",NA(),F988*$B988+K987)</f>
        <v>#N/A</v>
      </c>
    </row>
    <row r="989" spans="1:11" x14ac:dyDescent="0.4">
      <c r="A989" s="49">
        <v>986</v>
      </c>
      <c r="B989" s="49">
        <f>A989/$B$1</f>
        <v>41.083333333333336</v>
      </c>
      <c r="C989" s="49">
        <f>(('Input and Output'!B$23*'Input and Output'!$B$10)+('Input and Output'!B$24*Calculations!$C$5)+('Input and Output'!B$25*Calculations!$C$6)+('Input and Output'!B$26*(IF('Input and Output'!D$7="Detritus",Calculations!$C$4,G989))-(SUM('Input and Output'!B$27:B$32))*H988))</f>
        <v>8.114781167023466E-7</v>
      </c>
      <c r="D989" s="49">
        <f>(('Input and Output'!C$23*'Input and Output'!$B$10)+('Input and Output'!C$24*Calculations!$C$5)+('Input and Output'!C$25*Calculations!$C$6)+('Input and Output'!C$26*(IF('Input and Output'!E$7="Detritus",Calculations!$C$4,H989))-(SUM('Input and Output'!C$27:C$32))*I988))</f>
        <v>6.7356468207435682E-6</v>
      </c>
      <c r="E989" s="49">
        <f>(('Input and Output'!D$23*'Input and Output'!$B$10)+('Input and Output'!D$24*Calculations!$C$5)+('Input and Output'!D$25*Calculations!$C$6)+('Input and Output'!D$26*(IF('Input and Output'!F$7="Detritus",Calculations!$C$4,I989))-(SUM('Input and Output'!D$27:D$32))*J988))</f>
        <v>-4.1687709381221794E-4</v>
      </c>
      <c r="F989" s="49" t="e">
        <f>(('Input and Output'!E$23*'Input and Output'!$B$10)+('Input and Output'!E$24*Calculations!$C$5)+('Input and Output'!E$25*Calculations!$C$6)+('Input and Output'!E$26*(IF('Input and Output'!G$7="Detritus",Calculations!$C$4,J989))-(SUM('Input and Output'!E$27:E$32))*K988))</f>
        <v>#N/A</v>
      </c>
      <c r="H989" s="49">
        <f>IF(H$2="",NA(),C989*$B989+H988)</f>
        <v>324480.77623546805</v>
      </c>
      <c r="I989" s="49">
        <f>IF(I$2="",NA(),D989*$B989+I988)</f>
        <v>2973162.4136251826</v>
      </c>
      <c r="J989" s="49">
        <f>IF(J$2="",NA(),E989*$B989+J988)</f>
        <v>1381886.9924434398</v>
      </c>
      <c r="K989" s="49" t="e">
        <f>IF(K$2="",NA(),F989*$B989+K988)</f>
        <v>#N/A</v>
      </c>
    </row>
    <row r="990" spans="1:11" x14ac:dyDescent="0.4">
      <c r="A990" s="49">
        <v>987</v>
      </c>
      <c r="B990" s="49">
        <f>A990/$B$1</f>
        <v>41.125</v>
      </c>
      <c r="C990" s="49">
        <f>(('Input and Output'!B$23*'Input and Output'!$B$10)+('Input and Output'!B$24*Calculations!$C$5)+('Input and Output'!B$25*Calculations!$C$6)+('Input and Output'!B$26*(IF('Input and Output'!D$7="Detritus",Calculations!$C$4,G990))-(SUM('Input and Output'!B$27:B$32))*H989))</f>
        <v>7.7933628972459701E-7</v>
      </c>
      <c r="D990" s="49">
        <f>(('Input and Output'!C$23*'Input and Output'!$B$10)+('Input and Output'!C$24*Calculations!$C$5)+('Input and Output'!C$25*Calculations!$C$6)+('Input and Output'!C$26*(IF('Input and Output'!E$7="Detritus",Calculations!$C$4,H990))-(SUM('Input and Output'!C$27:C$32))*I989))</f>
        <v>6.4685727920732461E-6</v>
      </c>
      <c r="E990" s="49">
        <f>(('Input and Output'!D$23*'Input and Output'!$B$10)+('Input and Output'!D$24*Calculations!$C$5)+('Input and Output'!D$25*Calculations!$C$6)+('Input and Output'!D$26*(IF('Input and Output'!F$7="Detritus",Calculations!$C$4,I990))-(SUM('Input and Output'!D$27:D$32))*J989))</f>
        <v>5.496969424712006E-4</v>
      </c>
      <c r="F990" s="49" t="e">
        <f>(('Input and Output'!E$23*'Input and Output'!$B$10)+('Input and Output'!E$24*Calculations!$C$5)+('Input and Output'!E$25*Calculations!$C$6)+('Input and Output'!E$26*(IF('Input and Output'!G$7="Detritus",Calculations!$C$4,J990))-(SUM('Input and Output'!E$27:E$32))*K989))</f>
        <v>#N/A</v>
      </c>
      <c r="H990" s="49">
        <f>IF(H$2="",NA(),C990*$B990+H989)</f>
        <v>324480.77626751823</v>
      </c>
      <c r="I990" s="49">
        <f>IF(I$2="",NA(),D990*$B990+I989)</f>
        <v>2973162.4138912028</v>
      </c>
      <c r="J990" s="49">
        <f>IF(J$2="",NA(),E990*$B990+J989)</f>
        <v>1381887.0150497265</v>
      </c>
      <c r="K990" s="49" t="e">
        <f>IF(K$2="",NA(),F990*$B990+K989)</f>
        <v>#N/A</v>
      </c>
    </row>
    <row r="991" spans="1:11" x14ac:dyDescent="0.4">
      <c r="A991" s="49">
        <v>988</v>
      </c>
      <c r="B991" s="49">
        <f>A991/$B$1</f>
        <v>41.166666666666664</v>
      </c>
      <c r="C991" s="49">
        <f>(('Input and Output'!B$23*'Input and Output'!$B$10)+('Input and Output'!B$24*Calculations!$C$5)+('Input and Output'!B$25*Calculations!$C$6)+('Input and Output'!B$26*(IF('Input and Output'!D$7="Detritus",Calculations!$C$4,G991))-(SUM('Input and Output'!B$27:B$32))*H990))</f>
        <v>7.4843626407528063E-7</v>
      </c>
      <c r="D991" s="49">
        <f>(('Input and Output'!C$23*'Input and Output'!$B$10)+('Input and Output'!C$24*Calculations!$C$5)+('Input and Output'!C$25*Calculations!$C$6)+('Input and Output'!C$26*(IF('Input and Output'!E$7="Detritus",Calculations!$C$4,H991))-(SUM('Input and Output'!C$27:C$32))*I990))</f>
        <v>6.2118306232150644E-6</v>
      </c>
      <c r="E991" s="49">
        <f>(('Input and Output'!D$23*'Input and Output'!$B$10)+('Input and Output'!D$24*Calculations!$C$5)+('Input and Output'!D$25*Calculations!$C$6)+('Input and Output'!D$26*(IF('Input and Output'!F$7="Detritus",Calculations!$C$4,I991))-(SUM('Input and Output'!D$27:D$32))*J990))</f>
        <v>-7.1106032919487916E-4</v>
      </c>
      <c r="F991" s="49" t="e">
        <f>(('Input and Output'!E$23*'Input and Output'!$B$10)+('Input and Output'!E$24*Calculations!$C$5)+('Input and Output'!E$25*Calculations!$C$6)+('Input and Output'!E$26*(IF('Input and Output'!G$7="Detritus",Calculations!$C$4,J991))-(SUM('Input and Output'!E$27:E$32))*K990))</f>
        <v>#N/A</v>
      </c>
      <c r="H991" s="49">
        <f>IF(H$2="",NA(),C991*$B991+H990)</f>
        <v>324480.77629832888</v>
      </c>
      <c r="I991" s="49">
        <f>IF(I$2="",NA(),D991*$B991+I990)</f>
        <v>2973162.414146923</v>
      </c>
      <c r="J991" s="49">
        <f>IF(J$2="",NA(),E991*$B991+J990)</f>
        <v>1381886.9857777429</v>
      </c>
      <c r="K991" s="49" t="e">
        <f>IF(K$2="",NA(),F991*$B991+K990)</f>
        <v>#N/A</v>
      </c>
    </row>
    <row r="992" spans="1:11" x14ac:dyDescent="0.4">
      <c r="A992" s="49">
        <v>989</v>
      </c>
      <c r="B992" s="49">
        <f>A992/$B$1</f>
        <v>41.208333333333336</v>
      </c>
      <c r="C992" s="49">
        <f>(('Input and Output'!B$23*'Input and Output'!$B$10)+('Input and Output'!B$24*Calculations!$C$5)+('Input and Output'!B$25*Calculations!$C$6)+('Input and Output'!B$26*(IF('Input and Output'!D$7="Detritus",Calculations!$C$4,G992))-(SUM('Input and Output'!B$27:B$32))*H991))</f>
        <v>7.1873125762067502E-7</v>
      </c>
      <c r="D992" s="49">
        <f>(('Input and Output'!C$23*'Input and Output'!$B$10)+('Input and Output'!C$24*Calculations!$C$5)+('Input and Output'!C$25*Calculations!$C$6)+('Input and Output'!C$26*(IF('Input and Output'!E$7="Detritus",Calculations!$C$4,H992))-(SUM('Input and Output'!C$27:C$32))*I991))</f>
        <v>5.9650301409419626E-6</v>
      </c>
      <c r="E992" s="49">
        <f>(('Input and Output'!D$23*'Input and Output'!$B$10)+('Input and Output'!D$24*Calculations!$C$5)+('Input and Output'!D$25*Calculations!$C$6)+('Input and Output'!D$26*(IF('Input and Output'!F$7="Detritus",Calculations!$C$4,I992))-(SUM('Input and Output'!D$27:D$32))*J991))</f>
        <v>9.35767780902097E-4</v>
      </c>
      <c r="F992" s="49" t="e">
        <f>(('Input and Output'!E$23*'Input and Output'!$B$10)+('Input and Output'!E$24*Calculations!$C$5)+('Input and Output'!E$25*Calculations!$C$6)+('Input and Output'!E$26*(IF('Input and Output'!G$7="Detritus",Calculations!$C$4,J992))-(SUM('Input and Output'!E$27:E$32))*K991))</f>
        <v>#N/A</v>
      </c>
      <c r="H992" s="49">
        <f>IF(H$2="",NA(),C992*$B992+H991)</f>
        <v>324480.77632794663</v>
      </c>
      <c r="I992" s="49">
        <f>IF(I$2="",NA(),D992*$B992+I991)</f>
        <v>2973162.4143927321</v>
      </c>
      <c r="J992" s="49">
        <f>IF(J$2="",NA(),E992*$B992+J991)</f>
        <v>1381887.0243391735</v>
      </c>
      <c r="K992" s="49" t="e">
        <f>IF(K$2="",NA(),F992*$B992+K991)</f>
        <v>#N/A</v>
      </c>
    </row>
    <row r="993" spans="1:11" x14ac:dyDescent="0.4">
      <c r="A993" s="49">
        <v>990</v>
      </c>
      <c r="B993" s="49">
        <f>A993/$B$1</f>
        <v>41.25</v>
      </c>
      <c r="C993" s="49">
        <f>(('Input and Output'!B$23*'Input and Output'!$B$10)+('Input and Output'!B$24*Calculations!$C$5)+('Input and Output'!B$25*Calculations!$C$6)+('Input and Output'!B$26*(IF('Input and Output'!D$7="Detritus",Calculations!$C$4,G993))-(SUM('Input and Output'!B$27:B$32))*H992))</f>
        <v>6.9017636405988014E-7</v>
      </c>
      <c r="D993" s="49">
        <f>(('Input and Output'!C$23*'Input and Output'!$B$10)+('Input and Output'!C$24*Calculations!$C$5)+('Input and Output'!C$25*Calculations!$C$6)+('Input and Output'!C$26*(IF('Input and Output'!E$7="Detritus",Calculations!$C$4,H993))-(SUM('Input and Output'!C$27:C$32))*I992))</f>
        <v>5.7277939049527049E-6</v>
      </c>
      <c r="E993" s="49">
        <f>(('Input and Output'!D$23*'Input and Output'!$B$10)+('Input and Output'!D$24*Calculations!$C$5)+('Input and Output'!D$25*Calculations!$C$6)+('Input and Output'!D$26*(IF('Input and Output'!F$7="Detritus",Calculations!$C$4,I993))-(SUM('Input and Output'!D$27:D$32))*J992))</f>
        <v>-1.2197748692415189E-3</v>
      </c>
      <c r="F993" s="49" t="e">
        <f>(('Input and Output'!E$23*'Input and Output'!$B$10)+('Input and Output'!E$24*Calculations!$C$5)+('Input and Output'!E$25*Calculations!$C$6)+('Input and Output'!E$26*(IF('Input and Output'!G$7="Detritus",Calculations!$C$4,J993))-(SUM('Input and Output'!E$27:E$32))*K992))</f>
        <v>#N/A</v>
      </c>
      <c r="H993" s="49">
        <f>IF(H$2="",NA(),C993*$B993+H992)</f>
        <v>324480.77635641641</v>
      </c>
      <c r="I993" s="49">
        <f>IF(I$2="",NA(),D993*$B993+I992)</f>
        <v>2973162.4146290035</v>
      </c>
      <c r="J993" s="49">
        <f>IF(J$2="",NA(),E993*$B993+J992)</f>
        <v>1381886.9740234602</v>
      </c>
      <c r="K993" s="49" t="e">
        <f>IF(K$2="",NA(),F993*$B993+K992)</f>
        <v>#N/A</v>
      </c>
    </row>
    <row r="994" spans="1:11" x14ac:dyDescent="0.4">
      <c r="A994" s="49">
        <v>991</v>
      </c>
      <c r="B994" s="49">
        <f>A994/$B$1</f>
        <v>41.291666666666664</v>
      </c>
      <c r="C994" s="49">
        <f>(('Input and Output'!B$23*'Input and Output'!$B$10)+('Input and Output'!B$24*Calculations!$C$5)+('Input and Output'!B$25*Calculations!$C$6)+('Input and Output'!B$26*(IF('Input and Output'!D$7="Detritus",Calculations!$C$4,G994))-(SUM('Input and Output'!B$27:B$32))*H993))</f>
        <v>6.6272826870772406E-7</v>
      </c>
      <c r="D994" s="49">
        <f>(('Input and Output'!C$23*'Input and Output'!$B$10)+('Input and Output'!C$24*Calculations!$C$5)+('Input and Output'!C$25*Calculations!$C$6)+('Input and Output'!C$26*(IF('Input and Output'!E$7="Detritus",Calculations!$C$4,H994))-(SUM('Input and Output'!C$27:C$32))*I993))</f>
        <v>5.4997644838294946E-6</v>
      </c>
      <c r="E994" s="49">
        <f>(('Input and Output'!D$23*'Input and Output'!$B$10)+('Input and Output'!D$24*Calculations!$C$5)+('Input and Output'!D$25*Calculations!$C$6)+('Input and Output'!D$26*(IF('Input and Output'!F$7="Detritus",Calculations!$C$4,I994))-(SUM('Input and Output'!D$27:D$32))*J993))</f>
        <v>1.6061117094068322E-3</v>
      </c>
      <c r="F994" s="49" t="e">
        <f>(('Input and Output'!E$23*'Input and Output'!$B$10)+('Input and Output'!E$24*Calculations!$C$5)+('Input and Output'!E$25*Calculations!$C$6)+('Input and Output'!E$26*(IF('Input and Output'!G$7="Detritus",Calculations!$C$4,J994))-(SUM('Input and Output'!E$27:E$32))*K993))</f>
        <v>#N/A</v>
      </c>
      <c r="H994" s="49">
        <f>IF(H$2="",NA(),C994*$B994+H993)</f>
        <v>324480.77638378157</v>
      </c>
      <c r="I994" s="49">
        <f>IF(I$2="",NA(),D994*$B994+I993)</f>
        <v>2973162.4148560981</v>
      </c>
      <c r="J994" s="49">
        <f>IF(J$2="",NA(),E994*$B994+J993)</f>
        <v>1381887.0403424895</v>
      </c>
      <c r="K994" s="49" t="e">
        <f>IF(K$2="",NA(),F994*$B994+K993)</f>
        <v>#N/A</v>
      </c>
    </row>
    <row r="995" spans="1:11" x14ac:dyDescent="0.4">
      <c r="A995" s="49">
        <v>992</v>
      </c>
      <c r="B995" s="49">
        <f>A995/$B$1</f>
        <v>41.333333333333336</v>
      </c>
      <c r="C995" s="49">
        <f>(('Input and Output'!B$23*'Input and Output'!$B$10)+('Input and Output'!B$24*Calculations!$C$5)+('Input and Output'!B$25*Calculations!$C$6)+('Input and Output'!B$26*(IF('Input and Output'!D$7="Detritus",Calculations!$C$4,G995))-(SUM('Input and Output'!B$27:B$32))*H994))</f>
        <v>6.3634513480792521E-7</v>
      </c>
      <c r="D995" s="49">
        <f>(('Input and Output'!C$23*'Input and Output'!$B$10)+('Input and Output'!C$24*Calculations!$C$5)+('Input and Output'!C$25*Calculations!$C$6)+('Input and Output'!C$26*(IF('Input and Output'!E$7="Detritus",Calculations!$C$4,H995))-(SUM('Input and Output'!C$27:C$32))*I994))</f>
        <v>5.2805889936280437E-6</v>
      </c>
      <c r="E995" s="49">
        <f>(('Input and Output'!D$23*'Input and Output'!$B$10)+('Input and Output'!D$24*Calculations!$C$5)+('Input and Output'!D$25*Calculations!$C$6)+('Input and Output'!D$26*(IF('Input and Output'!F$7="Detritus",Calculations!$C$4,I995))-(SUM('Input and Output'!D$27:D$32))*J994))</f>
        <v>-2.1057205121906009E-3</v>
      </c>
      <c r="F995" s="49" t="e">
        <f>(('Input and Output'!E$23*'Input and Output'!$B$10)+('Input and Output'!E$24*Calculations!$C$5)+('Input and Output'!E$25*Calculations!$C$6)+('Input and Output'!E$26*(IF('Input and Output'!G$7="Detritus",Calculations!$C$4,J995))-(SUM('Input and Output'!E$27:E$32))*K994))</f>
        <v>#N/A</v>
      </c>
      <c r="H995" s="49">
        <f>IF(H$2="",NA(),C995*$B995+H994)</f>
        <v>324480.77641008381</v>
      </c>
      <c r="I995" s="49">
        <f>IF(I$2="",NA(),D995*$B995+I994)</f>
        <v>2973162.4150743624</v>
      </c>
      <c r="J995" s="49">
        <f>IF(J$2="",NA(),E995*$B995+J994)</f>
        <v>1381886.9533060417</v>
      </c>
      <c r="K995" s="49" t="e">
        <f>IF(K$2="",NA(),F995*$B995+K994)</f>
        <v>#N/A</v>
      </c>
    </row>
    <row r="996" spans="1:11" x14ac:dyDescent="0.4">
      <c r="A996" s="49">
        <v>993</v>
      </c>
      <c r="B996" s="49">
        <f>A996/$B$1</f>
        <v>41.375</v>
      </c>
      <c r="C996" s="49">
        <f>(('Input and Output'!B$23*'Input and Output'!$B$10)+('Input and Output'!B$24*Calculations!$C$5)+('Input and Output'!B$25*Calculations!$C$6)+('Input and Output'!B$26*(IF('Input and Output'!D$7="Detritus",Calculations!$C$4,G996))-(SUM('Input and Output'!B$27:B$32))*H995))</f>
        <v>6.10986774063349E-7</v>
      </c>
      <c r="D996" s="49">
        <f>(('Input and Output'!C$23*'Input and Output'!$B$10)+('Input and Output'!C$24*Calculations!$C$5)+('Input and Output'!C$25*Calculations!$C$6)+('Input and Output'!C$26*(IF('Input and Output'!E$7="Detritus",Calculations!$C$4,H996))-(SUM('Input and Output'!C$27:C$32))*I995))</f>
        <v>5.0699381972663105E-6</v>
      </c>
      <c r="E996" s="49">
        <f>(('Input and Output'!D$23*'Input and Output'!$B$10)+('Input and Output'!D$24*Calculations!$C$5)+('Input and Output'!D$25*Calculations!$C$6)+('Input and Output'!D$26*(IF('Input and Output'!F$7="Detritus",Calculations!$C$4,I996))-(SUM('Input and Output'!D$27:D$32))*J995))</f>
        <v>2.7779715783253778E-3</v>
      </c>
      <c r="F996" s="49" t="e">
        <f>(('Input and Output'!E$23*'Input and Output'!$B$10)+('Input and Output'!E$24*Calculations!$C$5)+('Input and Output'!E$25*Calculations!$C$6)+('Input and Output'!E$26*(IF('Input and Output'!G$7="Detritus",Calculations!$C$4,J996))-(SUM('Input and Output'!E$27:E$32))*K995))</f>
        <v>#N/A</v>
      </c>
      <c r="H996" s="49">
        <f>IF(H$2="",NA(),C996*$B996+H995)</f>
        <v>324480.7764353634</v>
      </c>
      <c r="I996" s="49">
        <f>IF(I$2="",NA(),D996*$B996+I995)</f>
        <v>2973162.4152841312</v>
      </c>
      <c r="J996" s="49">
        <f>IF(J$2="",NA(),E996*$B996+J995)</f>
        <v>1381887.0682446158</v>
      </c>
      <c r="K996" s="49" t="e">
        <f>IF(K$2="",NA(),F996*$B996+K995)</f>
        <v>#N/A</v>
      </c>
    </row>
    <row r="997" spans="1:11" x14ac:dyDescent="0.4">
      <c r="A997" s="49">
        <v>994</v>
      </c>
      <c r="B997" s="49">
        <f>A997/$B$1</f>
        <v>41.416666666666664</v>
      </c>
      <c r="C997" s="49">
        <f>(('Input and Output'!B$23*'Input and Output'!$B$10)+('Input and Output'!B$24*Calculations!$C$5)+('Input and Output'!B$25*Calculations!$C$6)+('Input and Output'!B$26*(IF('Input and Output'!D$7="Detritus",Calculations!$C$4,G997))-(SUM('Input and Output'!B$27:B$32))*H996))</f>
        <v>5.8661436241891352E-7</v>
      </c>
      <c r="D997" s="49">
        <f>(('Input and Output'!C$23*'Input and Output'!$B$10)+('Input and Output'!C$24*Calculations!$C$5)+('Input and Output'!C$25*Calculations!$C$6)+('Input and Output'!C$26*(IF('Input and Output'!E$7="Detritus",Calculations!$C$4,H997))-(SUM('Input and Output'!C$27:C$32))*I996))</f>
        <v>4.8674846766516566E-6</v>
      </c>
      <c r="E997" s="49">
        <f>(('Input and Output'!D$23*'Input and Output'!$B$10)+('Input and Output'!D$24*Calculations!$C$5)+('Input and Output'!D$25*Calculations!$C$6)+('Input and Output'!D$26*(IF('Input and Output'!F$7="Detritus",Calculations!$C$4,I997))-(SUM('Input and Output'!D$27:D$32))*J996))</f>
        <v>-3.659450954728527E-3</v>
      </c>
      <c r="F997" s="49" t="e">
        <f>(('Input and Output'!E$23*'Input and Output'!$B$10)+('Input and Output'!E$24*Calculations!$C$5)+('Input and Output'!E$25*Calculations!$C$6)+('Input and Output'!E$26*(IF('Input and Output'!G$7="Detritus",Calculations!$C$4,J997))-(SUM('Input and Output'!E$27:E$32))*K996))</f>
        <v>#N/A</v>
      </c>
      <c r="H997" s="49">
        <f>IF(H$2="",NA(),C997*$B997+H996)</f>
        <v>324480.77645965898</v>
      </c>
      <c r="I997" s="49">
        <f>IF(I$2="",NA(),D997*$B997+I996)</f>
        <v>2973162.4154857262</v>
      </c>
      <c r="J997" s="49">
        <f>IF(J$2="",NA(),E997*$B997+J996)</f>
        <v>1381886.9166823553</v>
      </c>
      <c r="K997" s="49" t="e">
        <f>IF(K$2="",NA(),F997*$B997+K996)</f>
        <v>#N/A</v>
      </c>
    </row>
    <row r="998" spans="1:11" x14ac:dyDescent="0.4">
      <c r="A998" s="49">
        <v>995</v>
      </c>
      <c r="B998" s="49">
        <f>A998/$B$1</f>
        <v>41.458333333333336</v>
      </c>
      <c r="C998" s="49">
        <f>(('Input and Output'!B$23*'Input and Output'!$B$10)+('Input and Output'!B$24*Calculations!$C$5)+('Input and Output'!B$25*Calculations!$C$6)+('Input and Output'!B$26*(IF('Input and Output'!D$7="Detritus",Calculations!$C$4,G998))-(SUM('Input and Output'!B$27:B$32))*H997))</f>
        <v>5.6319061059184605E-7</v>
      </c>
      <c r="D998" s="49">
        <f>(('Input and Output'!C$23*'Input and Output'!$B$10)+('Input and Output'!C$24*Calculations!$C$5)+('Input and Output'!C$25*Calculations!$C$6)+('Input and Output'!C$26*(IF('Input and Output'!E$7="Detritus",Calculations!$C$4,H998))-(SUM('Input and Output'!C$27:C$32))*I997))</f>
        <v>4.6729219320695847E-6</v>
      </c>
      <c r="E998" s="49">
        <f>(('Input and Output'!D$23*'Input and Output'!$B$10)+('Input and Output'!D$24*Calculations!$C$5)+('Input and Output'!D$25*Calculations!$C$6)+('Input and Output'!D$26*(IF('Input and Output'!F$7="Detritus",Calculations!$C$4,I998))-(SUM('Input and Output'!D$27:D$32))*J997))</f>
        <v>4.8405823945358861E-3</v>
      </c>
      <c r="F998" s="49" t="e">
        <f>(('Input and Output'!E$23*'Input and Output'!$B$10)+('Input and Output'!E$24*Calculations!$C$5)+('Input and Output'!E$25*Calculations!$C$6)+('Input and Output'!E$26*(IF('Input and Output'!G$7="Detritus",Calculations!$C$4,J998))-(SUM('Input and Output'!E$27:E$32))*K997))</f>
        <v>#N/A</v>
      </c>
      <c r="H998" s="49">
        <f>IF(H$2="",NA(),C998*$B998+H997)</f>
        <v>324480.77648300794</v>
      </c>
      <c r="I998" s="49">
        <f>IF(I$2="",NA(),D998*$B998+I997)</f>
        <v>2973162.4156794576</v>
      </c>
      <c r="J998" s="49">
        <f>IF(J$2="",NA(),E998*$B998+J997)</f>
        <v>1381887.1173648338</v>
      </c>
      <c r="K998" s="49" t="e">
        <f>IF(K$2="",NA(),F998*$B998+K997)</f>
        <v>#N/A</v>
      </c>
    </row>
    <row r="999" spans="1:11" x14ac:dyDescent="0.4">
      <c r="A999" s="49">
        <v>996</v>
      </c>
      <c r="B999" s="49">
        <f>A999/$B$1</f>
        <v>41.5</v>
      </c>
      <c r="C999" s="49">
        <f>(('Input and Output'!B$23*'Input and Output'!$B$10)+('Input and Output'!B$24*Calculations!$C$5)+('Input and Output'!B$25*Calculations!$C$6)+('Input and Output'!B$26*(IF('Input and Output'!D$7="Detritus",Calculations!$C$4,G999))-(SUM('Input and Output'!B$27:B$32))*H998))</f>
        <v>5.4067959354142658E-7</v>
      </c>
      <c r="D999" s="49">
        <f>(('Input and Output'!C$23*'Input and Output'!$B$10)+('Input and Output'!C$24*Calculations!$C$5)+('Input and Output'!C$25*Calculations!$C$6)+('Input and Output'!C$26*(IF('Input and Output'!E$7="Detritus",Calculations!$C$4,H999))-(SUM('Input and Output'!C$27:C$32))*I998))</f>
        <v>4.4859489207738079E-6</v>
      </c>
      <c r="E999" s="49">
        <f>(('Input and Output'!D$23*'Input and Output'!$B$10)+('Input and Output'!D$24*Calculations!$C$5)+('Input and Output'!D$25*Calculations!$C$6)+('Input and Output'!D$26*(IF('Input and Output'!F$7="Detritus",Calculations!$C$4,I999))-(SUM('Input and Output'!D$27:D$32))*J998))</f>
        <v>-6.4032588961708825E-3</v>
      </c>
      <c r="F999" s="49" t="e">
        <f>(('Input and Output'!E$23*'Input and Output'!$B$10)+('Input and Output'!E$24*Calculations!$C$5)+('Input and Output'!E$25*Calculations!$C$6)+('Input and Output'!E$26*(IF('Input and Output'!G$7="Detritus",Calculations!$C$4,J999))-(SUM('Input and Output'!E$27:E$32))*K998))</f>
        <v>#N/A</v>
      </c>
      <c r="H999" s="49">
        <f>IF(H$2="",NA(),C999*$B999+H998)</f>
        <v>324480.77650544612</v>
      </c>
      <c r="I999" s="49">
        <f>IF(I$2="",NA(),D999*$B999+I998)</f>
        <v>2973162.4158656243</v>
      </c>
      <c r="J999" s="49">
        <f>IF(J$2="",NA(),E999*$B999+J998)</f>
        <v>1381886.8516295897</v>
      </c>
      <c r="K999" s="49" t="e">
        <f>IF(K$2="",NA(),F999*$B999+K998)</f>
        <v>#N/A</v>
      </c>
    </row>
    <row r="1000" spans="1:11" x14ac:dyDescent="0.4">
      <c r="A1000" s="49">
        <v>997</v>
      </c>
      <c r="B1000" s="49">
        <f>A1000/$B$1</f>
        <v>41.541666666666664</v>
      </c>
      <c r="C1000" s="49">
        <f>(('Input and Output'!B$23*'Input and Output'!$B$10)+('Input and Output'!B$24*Calculations!$C$5)+('Input and Output'!B$25*Calculations!$C$6)+('Input and Output'!B$26*(IF('Input and Output'!D$7="Detritus",Calculations!$C$4,G1000))-(SUM('Input and Output'!B$27:B$32))*H999))</f>
        <v>5.1904657993873116E-7</v>
      </c>
      <c r="D1000" s="49">
        <f>(('Input and Output'!C$23*'Input and Output'!$B$10)+('Input and Output'!C$24*Calculations!$C$5)+('Input and Output'!C$25*Calculations!$C$6)+('Input and Output'!C$26*(IF('Input and Output'!E$7="Detritus",Calculations!$C$4,H1000))-(SUM('Input and Output'!C$27:C$32))*I999))</f>
        <v>4.3062773329438642E-6</v>
      </c>
      <c r="E1000" s="49">
        <f>(('Input and Output'!D$23*'Input and Output'!$B$10)+('Input and Output'!D$24*Calculations!$C$5)+('Input and Output'!D$25*Calculations!$C$6)+('Input and Output'!D$26*(IF('Input and Output'!F$7="Detritus",Calculations!$C$4,I1000))-(SUM('Input and Output'!D$27:D$32))*J999))</f>
        <v>8.4959214182163123E-3</v>
      </c>
      <c r="F1000" s="49" t="e">
        <f>(('Input and Output'!E$23*'Input and Output'!$B$10)+('Input and Output'!E$24*Calculations!$C$5)+('Input and Output'!E$25*Calculations!$C$6)+('Input and Output'!E$26*(IF('Input and Output'!G$7="Detritus",Calculations!$C$4,J1000))-(SUM('Input and Output'!E$27:E$32))*K999))</f>
        <v>#N/A</v>
      </c>
      <c r="H1000" s="49">
        <f>IF(H$2="",NA(),C1000*$B1000+H999)</f>
        <v>324480.77652700816</v>
      </c>
      <c r="I1000" s="49">
        <f>IF(I$2="",NA(),D1000*$B1000+I999)</f>
        <v>2973162.4160445142</v>
      </c>
      <c r="J1000" s="49">
        <f>IF(J$2="",NA(),E1000*$B1000+J999)</f>
        <v>1381887.2045643253</v>
      </c>
      <c r="K1000" s="49" t="e">
        <f>IF(K$2="",NA(),F1000*$B1000+K999)</f>
        <v>#N/A</v>
      </c>
    </row>
    <row r="1001" spans="1:11" x14ac:dyDescent="0.4">
      <c r="A1001" s="49">
        <v>998</v>
      </c>
      <c r="B1001" s="49">
        <f>A1001/$B$1</f>
        <v>41.583333333333336</v>
      </c>
      <c r="C1001" s="49">
        <f>(('Input and Output'!B$23*'Input and Output'!$B$10)+('Input and Output'!B$24*Calculations!$C$5)+('Input and Output'!B$25*Calculations!$C$6)+('Input and Output'!B$26*(IF('Input and Output'!D$7="Detritus",Calculations!$C$4,G1001))-(SUM('Input and Output'!B$27:B$32))*H1000))</f>
        <v>4.982583163837262E-7</v>
      </c>
      <c r="D1001" s="49">
        <f>(('Input and Output'!C$23*'Input and Output'!$B$10)+('Input and Output'!C$24*Calculations!$C$5)+('Input and Output'!C$25*Calculations!$C$6)+('Input and Output'!C$26*(IF('Input and Output'!E$7="Detritus",Calculations!$C$4,H1001))-(SUM('Input and Output'!C$27:C$32))*I1000))</f>
        <v>4.1336270442116074E-6</v>
      </c>
      <c r="E1001" s="49">
        <f>(('Input and Output'!D$23*'Input and Output'!$B$10)+('Input and Output'!D$24*Calculations!$C$5)+('Input and Output'!D$25*Calculations!$C$6)+('Input and Output'!D$26*(IF('Input and Output'!F$7="Detritus",Calculations!$C$4,I1001))-(SUM('Input and Output'!D$27:D$32))*J1000))</f>
        <v>-1.1282172938081203E-2</v>
      </c>
      <c r="F1001" s="49" t="e">
        <f>(('Input and Output'!E$23*'Input and Output'!$B$10)+('Input and Output'!E$24*Calculations!$C$5)+('Input and Output'!E$25*Calculations!$C$6)+('Input and Output'!E$26*(IF('Input and Output'!G$7="Detritus",Calculations!$C$4,J1001))-(SUM('Input and Output'!E$27:E$32))*K1000))</f>
        <v>#N/A</v>
      </c>
      <c r="H1001" s="49">
        <f>IF(H$2="",NA(),C1001*$B1001+H1000)</f>
        <v>324480.77654772741</v>
      </c>
      <c r="I1001" s="49">
        <f>IF(I$2="",NA(),D1001*$B1001+I1000)</f>
        <v>2973162.4162164042</v>
      </c>
      <c r="J1001" s="49">
        <f>IF(J$2="",NA(),E1001*$B1001+J1000)</f>
        <v>1381886.7354139672</v>
      </c>
      <c r="K1001" s="49" t="e">
        <f>IF(K$2="",NA(),F1001*$B1001+K1000)</f>
        <v>#N/A</v>
      </c>
    </row>
    <row r="1002" spans="1:11" x14ac:dyDescent="0.4">
      <c r="A1002" s="49">
        <v>999</v>
      </c>
      <c r="B1002" s="49">
        <f>A1002/$B$1</f>
        <v>41.625</v>
      </c>
      <c r="C1002" s="49">
        <f>(('Input and Output'!B$23*'Input and Output'!$B$10)+('Input and Output'!B$24*Calculations!$C$5)+('Input and Output'!B$25*Calculations!$C$6)+('Input and Output'!B$26*(IF('Input and Output'!D$7="Detritus",Calculations!$C$4,G1002))-(SUM('Input and Output'!B$27:B$32))*H1001))</f>
        <v>4.7828262950133649E-7</v>
      </c>
      <c r="D1002" s="49">
        <f>(('Input and Output'!C$23*'Input and Output'!$B$10)+('Input and Output'!C$24*Calculations!$C$5)+('Input and Output'!C$25*Calculations!$C$6)+('Input and Output'!C$26*(IF('Input and Output'!E$7="Detritus",Calculations!$C$4,H1002))-(SUM('Input and Output'!C$27:C$32))*I1001))</f>
        <v>3.9677352106082253E-6</v>
      </c>
      <c r="E1002" s="49">
        <f>(('Input and Output'!D$23*'Input and Output'!$B$10)+('Input and Output'!D$24*Calculations!$C$5)+('Input and Output'!D$25*Calculations!$C$6)+('Input and Output'!D$26*(IF('Input and Output'!F$7="Detritus",Calculations!$C$4,I1002))-(SUM('Input and Output'!D$27:D$32))*J1001))</f>
        <v>1.5018296795460628E-2</v>
      </c>
      <c r="F1002" s="49" t="e">
        <f>(('Input and Output'!E$23*'Input and Output'!$B$10)+('Input and Output'!E$24*Calculations!$C$5)+('Input and Output'!E$25*Calculations!$C$6)+('Input and Output'!E$26*(IF('Input and Output'!G$7="Detritus",Calculations!$C$4,J1002))-(SUM('Input and Output'!E$27:E$32))*K1001))</f>
        <v>#N/A</v>
      </c>
      <c r="H1002" s="49">
        <f>IF(H$2="",NA(),C1002*$B1002+H1001)</f>
        <v>324480.77656763594</v>
      </c>
      <c r="I1002" s="49">
        <f>IF(I$2="",NA(),D1002*$B1002+I1001)</f>
        <v>2973162.4163815612</v>
      </c>
      <c r="J1002" s="49">
        <f>IF(J$2="",NA(),E1002*$B1002+J1001)</f>
        <v>1381887.3605505712</v>
      </c>
      <c r="K1002" s="49" t="e">
        <f>IF(K$2="",NA(),F1002*$B1002+K1001)</f>
        <v>#N/A</v>
      </c>
    </row>
    <row r="1003" spans="1:11" x14ac:dyDescent="0.4">
      <c r="A1003" s="49">
        <v>1000</v>
      </c>
      <c r="B1003" s="49">
        <f>A1003/$B$1</f>
        <v>41.666666666666664</v>
      </c>
      <c r="C1003" s="49">
        <f>(('Input and Output'!B$23*'Input and Output'!$B$10)+('Input and Output'!B$24*Calculations!$C$5)+('Input and Output'!B$25*Calculations!$C$6)+('Input and Output'!B$26*(IF('Input and Output'!D$7="Detritus",Calculations!$C$4,G1003))-(SUM('Input and Output'!B$27:B$32))*H1002))</f>
        <v>4.5908853962828289E-7</v>
      </c>
      <c r="D1003" s="49">
        <f>(('Input and Output'!C$23*'Input and Output'!$B$10)+('Input and Output'!C$24*Calculations!$C$5)+('Input and Output'!C$25*Calculations!$C$6)+('Input and Output'!C$26*(IF('Input and Output'!E$7="Detritus",Calculations!$C$4,H1003))-(SUM('Input and Output'!C$27:C$32))*I1002))</f>
        <v>3.8083398976596072E-6</v>
      </c>
      <c r="E1003" s="49">
        <f>(('Input and Output'!D$23*'Input and Output'!$B$10)+('Input and Output'!D$24*Calculations!$C$5)+('Input and Output'!D$25*Calculations!$C$6)+('Input and Output'!D$26*(IF('Input and Output'!F$7="Detritus",Calculations!$C$4,I1003))-(SUM('Input and Output'!D$27:D$32))*J1002))</f>
        <v>-2.0017325554363197E-2</v>
      </c>
      <c r="F1003" s="49" t="e">
        <f>(('Input and Output'!E$23*'Input and Output'!$B$10)+('Input and Output'!E$24*Calculations!$C$5)+('Input and Output'!E$25*Calculations!$C$6)+('Input and Output'!E$26*(IF('Input and Output'!G$7="Detritus",Calculations!$C$4,J1003))-(SUM('Input and Output'!E$27:E$32))*K1002))</f>
        <v>#N/A</v>
      </c>
      <c r="H1003" s="49">
        <f>IF(H$2="",NA(),C1003*$B1003+H1002)</f>
        <v>324480.77658676461</v>
      </c>
      <c r="I1003" s="49">
        <f>IF(I$2="",NA(),D1003*$B1003+I1002)</f>
        <v>2973162.4165402418</v>
      </c>
      <c r="J1003" s="49">
        <f>IF(J$2="",NA(),E1003*$B1003+J1002)</f>
        <v>1381886.5264953398</v>
      </c>
      <c r="K1003" s="49" t="e">
        <f>IF(K$2="",NA(),F1003*$B1003+K1002)</f>
        <v>#N/A</v>
      </c>
    </row>
  </sheetData>
  <mergeCells count="2">
    <mergeCell ref="H1:K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and Output</vt:lpstr>
      <vt:lpstr>Calculations</vt:lpstr>
      <vt:lpstr>Kinetic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Davey</dc:creator>
  <cp:lastModifiedBy>Charlie Davey</cp:lastModifiedBy>
  <dcterms:created xsi:type="dcterms:W3CDTF">2026-07-01T08:53:08Z</dcterms:created>
  <dcterms:modified xsi:type="dcterms:W3CDTF">2026-07-02T13:25:19Z</dcterms:modified>
</cp:coreProperties>
</file>